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75785b03b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33eb17d39c4240be"/>
    <x:sheet xmlns:r="http://schemas.openxmlformats.org/officeDocument/2006/relationships" name="Parametros" sheetId="2" r:id="Rfefe9e4b022a4f2a"/>
    <x:sheet xmlns:r="http://schemas.openxmlformats.org/officeDocument/2006/relationships" name="Resumen" sheetId="3" r:id="R918c0bf5be3f4f76"/>
    <x:sheet xmlns:r="http://schemas.openxmlformats.org/officeDocument/2006/relationships" name="Catalogo Maestro" sheetId="4" r:id="R7f7a548bf2b9414c"/>
    <x:sheet xmlns:r="http://schemas.openxmlformats.org/officeDocument/2006/relationships" name="Desarrollo" sheetId="5" r:id="R99b3f0f59e1e43d0"/>
    <x:sheet xmlns:r="http://schemas.openxmlformats.org/officeDocument/2006/relationships" name="Mantenimiento" sheetId="6" r:id="R98006b58727e4869"/>
    <x:sheet xmlns:r="http://schemas.openxmlformats.org/officeDocument/2006/relationships" name="Monitoreo" sheetId="7" r:id="R792349f95e5d4d6a"/>
    <x:sheet xmlns:r="http://schemas.openxmlformats.org/officeDocument/2006/relationships" name="Continuidad" sheetId="8" r:id="R50d0bc8a4fdf4c75"/>
    <x:sheet xmlns:r="http://schemas.openxmlformats.org/officeDocument/2006/relationships" name="Ciberseguridad" sheetId="9" r:id="Rad1a285a24eb463e"/>
    <x:sheet xmlns:r="http://schemas.openxmlformats.org/officeDocument/2006/relationships" name="Soporte" sheetId="10" r:id="R0b75c68ba261424f"/>
    <x:sheet xmlns:r="http://schemas.openxmlformats.org/officeDocument/2006/relationships" name="Validacion HH" sheetId="11" r:id="R803dfd25dd30494c"/>
    <x:sheet xmlns:r="http://schemas.openxmlformats.org/officeDocument/2006/relationships" name="Diccionarios" sheetId="12" r:id="R62c00dddaf134d33"/>
    <x:sheet xmlns:r="http://schemas.openxmlformats.org/officeDocument/2006/relationships" name="Control redundancias" sheetId="13" r:id="Rd5e064754d7f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yyyy-mm-dd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11"/>
      <x:color rgb="FF00D7E9"/>
      <x:name val="Carlito"/>
    </x:font>
    <x:font>
      <x:b/>
      <x:sz val="11"/>
      <x:color rgb="FF071B2D"/>
      <x:name val="Carlito"/>
    </x:font>
    <x:font>
      <x:b/>
      <x:sz val="14"/>
      <x:color rgb="FF071B2D"/>
      <x:name val="Carlito"/>
    </x:font>
    <x:font>
      <x:b/>
      <x:sz val="11"/>
      <x:color rgb="FFFFFFFF"/>
      <x:name val="Carlito"/>
    </x:font>
    <x:font>
      <x:b/>
      <x:sz val="24"/>
      <x:color rgb="FFFFFFFF"/>
      <x:name val="Carlito"/>
    </x:font>
    <x:font>
      <x:b/>
      <x:sz val="12"/>
      <x:color rgb="FF00D7E9"/>
      <x:name val="Carlito"/>
    </x:font>
    <x:font>
      <x:b/>
      <x:sz val="16"/>
      <x:color rgb="FF071B2D"/>
      <x:name val="Carlito"/>
    </x:font>
    <x:font>
      <x:sz val="11"/>
      <x:color rgb="FF172033"/>
      <x:name val="Carlito"/>
    </x:font>
    <x:font>
      <x:b/>
      <x:sz val="12"/>
      <x:color rgb="FFFFFFFF"/>
      <x:name val="Carlito"/>
    </x:font>
    <x:font>
      <x:i/>
      <x:sz val="11"/>
      <x:color rgb="FF0B1F33"/>
      <x:name val="Carlito"/>
    </x:font>
    <x:font>
      <x:b/>
      <x:sz val="11"/>
      <x:color rgb="FF0B1F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B2D"/>
      </x:patternFill>
    </x:fill>
    <x:fill>
      <x:patternFill patternType="solid">
        <x:fgColor rgb="FF0B2742"/>
      </x:patternFill>
    </x:fill>
    <x:fill>
      <x:patternFill patternType="solid">
        <x:fgColor rgb="FFDDFBFF"/>
      </x:patternFill>
    </x:fill>
    <x:fill>
      <x:patternFill patternType="solid">
        <x:fgColor rgb="FFFFFFFF"/>
      </x:patternFill>
    </x:fill>
    <x:fill>
      <x:patternFill patternType="solid">
        <x:fgColor rgb="FF1F7AFC"/>
      </x:patternFill>
    </x:fill>
    <x:fill>
      <x:patternFill patternType="solid">
        <x:fgColor rgb="FF0B1F33"/>
      </x:patternFill>
    </x:fill>
    <x:fill>
      <x:patternFill patternType="solid">
        <x:fgColor rgb="FFEAFBFD"/>
      </x:patternFill>
    </x:fill>
    <x:fill>
      <x:patternFill patternType="solid">
        <x:fgColor rgb="FF18CFE3"/>
      </x:patternFill>
    </x:fill>
  </x:fills>
  <x:borders count="34">
    <x:border/>
    <x:border/>
    <x:border>
      <x:left style="thin">
        <x:color rgb="FFC9D6E2"/>
      </x:left>
      <x:top style="thin">
        <x:color rgb="FF00D7E9"/>
      </x:top>
      <x:bottom style="thin">
        <x:color rgb="FF00D7E9"/>
      </x:bottom>
    </x:border>
    <x:border>
      <x:top style="thin">
        <x:color rgb="FF00D7E9"/>
      </x:top>
      <x:bottom style="thin">
        <x:color rgb="FF00D7E9"/>
      </x:bottom>
    </x:border>
    <x:border>
      <x:right style="thin">
        <x:color rgb="FFC9D6E2"/>
      </x:right>
      <x:top style="thin">
        <x:color rgb="FF00D7E9"/>
      </x:top>
      <x:bottom style="thin">
        <x:color rgb="FF00D7E9"/>
      </x:bottom>
    </x:border>
    <x:border>
      <x:left style="thin">
        <x:color rgb="FFC9D6E2"/>
      </x:left>
      <x:top style="thin">
        <x:color rgb="FF00D7E9"/>
      </x:top>
      <x:bottom style="thin">
        <x:color rgb="FF00D7E9"/>
      </x:bottom>
    </x:border>
    <x:border>
      <x:top style="thin">
        <x:color rgb="FF00D7E9"/>
      </x:top>
      <x:bottom style="thin">
        <x:color rgb="FF00D7E9"/>
      </x:bottom>
    </x:border>
    <x:border>
      <x:right style="thin">
        <x:color rgb="FFC9D6E2"/>
      </x:right>
      <x:top style="thin">
        <x:color rgb="FF00D7E9"/>
      </x:top>
      <x:bottom style="thin">
        <x:color rgb="FF00D7E9"/>
      </x:bottom>
    </x:border>
    <x:border>
      <x:left style="hair">
        <x:color rgb="FFC9D6E2"/>
      </x:left>
      <x:top style="hair">
        <x:color rgb="FFC9D6E2"/>
      </x:top>
    </x:border>
    <x:border>
      <x:top style="hair">
        <x:color rgb="FFC9D6E2"/>
      </x:top>
    </x:border>
    <x:border>
      <x:right style="hair">
        <x:color rgb="FFC9D6E2"/>
      </x:right>
      <x:top style="hair">
        <x:color rgb="FFC9D6E2"/>
      </x:top>
    </x:border>
    <x:border>
      <x:left style="hair">
        <x:color rgb="FFC9D6E2"/>
      </x:left>
    </x:border>
    <x:border>
      <x:right style="hair">
        <x:color rgb="FFC9D6E2"/>
      </x:right>
    </x:border>
    <x:border>
      <x:left style="hair">
        <x:color rgb="FFC9D6E2"/>
      </x:left>
      <x:bottom style="hair">
        <x:color rgb="FFC9D6E2"/>
      </x:bottom>
    </x:border>
    <x:border>
      <x:bottom style="hair">
        <x:color rgb="FFC9D6E2"/>
      </x:bottom>
    </x:border>
    <x:border>
      <x:right style="hair">
        <x:color rgb="FFC9D6E2"/>
      </x:right>
      <x:bottom style="hair">
        <x:color rgb="FFC9D6E2"/>
      </x:bottom>
    </x:border>
    <x:border>
      <x:left style="hair">
        <x:color rgb="FFC9D6E2"/>
      </x:left>
      <x:top style="hair">
        <x:color rgb="FFC9D6E2"/>
      </x:top>
    </x:border>
    <x:border>
      <x:top style="hair">
        <x:color rgb="FFC9D6E2"/>
      </x:top>
    </x:border>
    <x:border>
      <x:right style="hair">
        <x:color rgb="FFC9D6E2"/>
      </x:right>
      <x:top style="hair">
        <x:color rgb="FFC9D6E2"/>
      </x:top>
    </x:border>
    <x:border>
      <x:left style="hair">
        <x:color rgb="FFC9D6E2"/>
      </x:left>
    </x:border>
    <x:border>
      <x:right style="hair">
        <x:color rgb="FFC9D6E2"/>
      </x:right>
    </x:border>
    <x:border>
      <x:left style="hair">
        <x:color rgb="FFC9D6E2"/>
      </x:left>
      <x:bottom style="hair">
        <x:color rgb="FFC9D6E2"/>
      </x:bottom>
    </x:border>
    <x:border>
      <x:bottom style="hair">
        <x:color rgb="FFC9D6E2"/>
      </x:bottom>
    </x:border>
    <x:border>
      <x:right style="hair">
        <x:color rgb="FFC9D6E2"/>
      </x:right>
      <x:bottom style="hair">
        <x:color rgb="FFC9D6E2"/>
      </x:bottom>
    </x:border>
    <x:border>
      <x:left style="hair">
        <x:color rgb="FFC9D6E2"/>
      </x:left>
      <x:top style="hair">
        <x:color rgb="FFC9D6E2"/>
      </x:top>
      <x:bottom style="hair">
        <x:color rgb="FFC9D6E2"/>
      </x:bottom>
    </x:border>
    <x:border>
      <x:top style="hair">
        <x:color rgb="FFC9D6E2"/>
      </x:top>
      <x:bottom style="hair">
        <x:color rgb="FFC9D6E2"/>
      </x:bottom>
    </x:border>
    <x:border>
      <x:right style="hair">
        <x:color rgb="FFC9D6E2"/>
      </x:right>
      <x:top style="hair">
        <x:color rgb="FFC9D6E2"/>
      </x:top>
      <x:bottom style="hair">
        <x:color rgb="FFC9D6E2"/>
      </x:bottom>
    </x:border>
    <x:border>
      <x:left style="hair">
        <x:color rgb="FFC9D6E2"/>
      </x:left>
      <x:top style="hair">
        <x:color rgb="FFC9D6E2"/>
      </x:top>
      <x:bottom style="hair">
        <x:color rgb="FFC9D6E2"/>
      </x:bottom>
    </x:border>
    <x:border>
      <x:top style="hair">
        <x:color rgb="FFC9D6E2"/>
      </x:top>
      <x:bottom style="hair">
        <x:color rgb="FFC9D6E2"/>
      </x:bottom>
    </x:border>
    <x:border>
      <x:right style="hair">
        <x:color rgb="FFC9D6E2"/>
      </x:right>
      <x:top style="hair">
        <x:color rgb="FFC9D6E2"/>
      </x:top>
      <x:bottom style="hair">
        <x:color rgb="FFC9D6E2"/>
      </x:bottom>
    </x:border>
    <x:border>
      <x:left style="hair">
        <x:color rgb="FFC9D6E2"/>
      </x:left>
      <x:right style="hair">
        <x:color rgb="FFC9D6E2"/>
      </x:right>
      <x:top style="hair">
        <x:color rgb="FFC9D6E2"/>
      </x:top>
      <x:bottom style="hair">
        <x:color rgb="FFC9D6E2"/>
      </x:bottom>
    </x:border>
    <x:border>
      <x:left style="hair">
        <x:color rgb="FFC9D6E2"/>
      </x:left>
      <x:right style="hair">
        <x:color rgb="FFC9D6E2"/>
      </x:right>
      <x:top style="hair">
        <x:color rgb="FFC9D6E2"/>
      </x:top>
      <x:bottom style="hair">
        <x:color rgb="FFC9D6E2"/>
      </x:bottom>
    </x:border>
    <x:border>
      <x:left style="thin">
        <x:color rgb="FF00D7E9"/>
      </x:left>
      <x:right style="thin">
        <x:color rgb="FF00D7E9"/>
      </x:right>
      <x:top style="thin">
        <x:color rgb="FF00D7E9"/>
      </x:top>
      <x:bottom style="thin">
        <x:color rgb="FF00D7E9"/>
      </x:bottom>
    </x:border>
    <x:border>
      <x:left style="thin">
        <x:color rgb="FF00D7E9"/>
      </x:left>
      <x:right style="thin">
        <x:color rgb="FF00D7E9"/>
      </x:right>
      <x:top style="thin">
        <x:color rgb="FF00D7E9"/>
      </x:top>
      <x:bottom style="thin">
        <x:color rgb="FF00D7E9"/>
      </x:bottom>
    </x:border>
  </x:borders>
  <x:cellStyleXfs count="1">
    <x:xf numFmtId="0" fontId="0" fillId="0" borderId="0"/>
  </x:cellStyleXfs>
  <x:cellXfs count="2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7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22" xfId="0" applyNumberFormat="1" applyFont="1" applyFill="1" applyBorder="1" applyAlignment="1">
      <x:alignment wrapText="1"/>
    </x:xf>
    <x:xf numFmtId="0" fontId="4" fillId="4" borderId="24" xfId="0" applyNumberFormat="1" applyFont="1" applyFill="1" applyBorder="1"/>
    <x:xf numFmtId="0" fontId="4" fillId="4" borderId="25" xfId="0" applyNumberFormat="1" applyFont="1" applyFill="1" applyBorder="1"/>
    <x:xf numFmtId="0" fontId="4" fillId="4" borderId="26" xfId="0" applyNumberFormat="1" applyFont="1" applyFill="1" applyBorder="1"/>
    <x:xf numFmtId="0" fontId="4" fillId="4" borderId="27" xfId="0" applyNumberFormat="1" applyFont="1" applyFill="1" applyBorder="1"/>
    <x:xf numFmtId="0" fontId="4" fillId="4" borderId="28" xfId="0" applyNumberFormat="1" applyFont="1" applyFill="1" applyBorder="1"/>
    <x:xf numFmtId="0" fontId="4" fillId="4" borderId="29" xfId="0" applyNumberFormat="1" applyFont="1" applyFill="1" applyBorder="1"/>
    <x:xf numFmtId="201" fontId="4" fillId="4" borderId="25" xfId="0" applyNumberFormat="1" applyFont="1" applyFill="1" applyBorder="1"/>
    <x:xf numFmtId="201" fontId="4" fillId="4" borderId="28" xfId="0" applyNumberFormat="1" applyFont="1" applyFill="1" applyBorder="1"/>
    <x:xf numFmtId="0" fontId="5" fillId="4" borderId="0" xfId="0" applyNumberFormat="1" applyFont="1" applyFill="1" applyBorder="1"/>
    <x:xf numFmtId="0" fontId="5" fillId="4" borderId="30" xfId="0" applyNumberFormat="1" applyFont="1" applyFill="1" applyBorder="1"/>
    <x:xf numFmtId="0" fontId="5" fillId="4" borderId="30" xfId="0" applyNumberFormat="1" applyFont="1" applyFill="1" applyBorder="1" applyAlignment="1">
      <x:alignment wrapText="1"/>
    </x:xf>
    <x:xf numFmtId="0" fontId="5" fillId="4" borderId="30" xfId="0" applyNumberFormat="1" applyFont="1" applyFill="1" applyBorder="1" applyAlignment="1">
      <x:alignment horizontal="center" wrapText="1"/>
    </x:xf>
    <x:xf numFmtId="0" fontId="5" fillId="4" borderId="3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31" xfId="0" applyNumberFormat="1" applyFont="1" applyFill="1" applyBorder="1"/>
    <x:xf numFmtId="0" fontId="5" fillId="4" borderId="31" xfId="0" applyNumberFormat="1" applyFont="1" applyFill="1" applyBorder="1" applyAlignment="1">
      <x:alignment wrapText="1"/>
    </x:xf>
    <x:xf numFmtId="0" fontId="5" fillId="4" borderId="31" xfId="0" applyNumberFormat="1" applyFont="1" applyFill="1" applyBorder="1" applyAlignment="1">
      <x:alignment horizontal="center" wrapText="1"/>
    </x:xf>
    <x:xf numFmtId="0" fontId="5" fillId="4" borderId="31" xfId="0" applyNumberFormat="1" applyFont="1" applyFill="1" applyBorder="1" applyAlignment="1">
      <x:alignment horizontal="center" vertical="center" wrapText="1"/>
    </x:xf>
    <x:xf numFmtId="0" fontId="0" fillId="2" borderId="13" xfId="0" applyNumberFormat="1" applyFont="1" applyFill="1" applyBorder="1"/>
    <x:xf numFmtId="0" fontId="0" fillId="2" borderId="14" xfId="0" applyNumberFormat="1" applyFont="1" applyFill="1" applyBorder="1"/>
    <x:xf numFmtId="0" fontId="0" fillId="2" borderId="15" xfId="0" applyNumberFormat="1" applyFont="1" applyFill="1" applyBorder="1"/>
    <x:xf numFmtId="0" fontId="6" fillId="2" borderId="13" xfId="0" applyNumberFormat="1" applyFont="1" applyFill="1" applyBorder="1"/>
    <x:xf numFmtId="0" fontId="6" fillId="2" borderId="14" xfId="0" applyNumberFormat="1" applyFont="1" applyFill="1" applyBorder="1"/>
    <x:xf numFmtId="0" fontId="6" fillId="2" borderId="15" xfId="0" applyNumberFormat="1" applyFont="1" applyFill="1" applyBorder="1"/>
    <x:xf numFmtId="0" fontId="6" fillId="2" borderId="24" xfId="0" applyNumberFormat="1" applyFont="1" applyFill="1" applyBorder="1"/>
    <x:xf numFmtId="0" fontId="6" fillId="2" borderId="25" xfId="0" applyNumberFormat="1" applyFont="1" applyFill="1" applyBorder="1"/>
    <x:xf numFmtId="0" fontId="6" fillId="2" borderId="26" xfId="0" applyNumberFormat="1" applyFont="1" applyFill="1" applyBorder="1"/>
    <x:xf numFmtId="0" fontId="0" fillId="2" borderId="21" xfId="0" applyNumberFormat="1" applyFont="1" applyFill="1" applyBorder="1"/>
    <x:xf numFmtId="0" fontId="0" fillId="2" borderId="22" xfId="0" applyNumberFormat="1" applyFont="1" applyFill="1" applyBorder="1"/>
    <x:xf numFmtId="0" fontId="0" fillId="2" borderId="23" xfId="0" applyNumberFormat="1" applyFont="1" applyFill="1" applyBorder="1"/>
    <x:xf numFmtId="0" fontId="6" fillId="2" borderId="21" xfId="0" applyNumberFormat="1" applyFont="1" applyFill="1" applyBorder="1"/>
    <x:xf numFmtId="0" fontId="6" fillId="2" borderId="22" xfId="0" applyNumberFormat="1" applyFont="1" applyFill="1" applyBorder="1"/>
    <x:xf numFmtId="0" fontId="6" fillId="2" borderId="23" xfId="0" applyNumberFormat="1" applyFont="1" applyFill="1" applyBorder="1"/>
    <x:xf numFmtId="0" fontId="6" fillId="2" borderId="27" xfId="0" applyNumberFormat="1" applyFont="1" applyFill="1" applyBorder="1"/>
    <x:xf numFmtId="0" fontId="6" fillId="2" borderId="28" xfId="0" applyNumberFormat="1" applyFont="1" applyFill="1" applyBorder="1"/>
    <x:xf numFmtId="0" fontId="6" fillId="2" borderId="29" xfId="0" applyNumberFormat="1" applyFont="1" applyFill="1" applyBorder="1"/>
    <x:xf numFmtId="201" fontId="6" fillId="2" borderId="25" xfId="0" applyNumberFormat="1" applyFont="1" applyFill="1" applyBorder="1"/>
    <x:xf numFmtId="201" fontId="6" fillId="2" borderId="28" xfId="0" applyNumberFormat="1" applyFont="1" applyFill="1" applyBorder="1"/>
    <x:xf numFmtId="200" fontId="0" fillId="0" borderId="9" xfId="0" applyNumberFormat="1" applyFont="1" applyFill="1" applyBorder="1"/>
    <x:xf numFmtId="200" fontId="6" fillId="2" borderId="25" xfId="0" applyNumberFormat="1" applyFont="1" applyFill="1" applyBorder="1"/>
    <x:xf numFmtId="200" fontId="0" fillId="0" borderId="17" xfId="0" applyNumberFormat="1" applyFont="1" applyFill="1" applyBorder="1"/>
    <x:xf numFmtId="200" fontId="6" fillId="2" borderId="28" xfId="0" applyNumberFormat="1" applyFont="1" applyFill="1" applyBorder="1"/>
    <x:xf numFmtId="201" fontId="0" fillId="0" borderId="14" xfId="0" applyNumberFormat="1" applyFont="1" applyFill="1" applyBorder="1"/>
    <x:xf numFmtId="201" fontId="0" fillId="0" borderId="22" xfId="0" applyNumberFormat="1" applyFont="1" applyFill="1" applyBorder="1"/>
    <x:xf numFmtId="202" fontId="0" fillId="0" borderId="8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2" fontId="0" fillId="0" borderId="19" xfId="0" applyNumberFormat="1" applyFont="1" applyFill="1" applyBorder="1" applyAlignment="1">
      <x:alignment wrapText="1"/>
    </x:xf>
    <x:xf numFmtId="202" fontId="0" fillId="0" borderId="21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30" xfId="0" applyNumberFormat="1" applyFont="1" applyFill="1" applyBorder="1"/>
    <x:xf numFmtId="0" fontId="9" fillId="4" borderId="30" xfId="0" applyNumberFormat="1" applyFont="1" applyFill="1" applyBorder="1" applyAlignment="1">
      <x:alignment wrapText="1"/>
    </x:xf>
    <x:xf numFmtId="0" fontId="9" fillId="4" borderId="30" xfId="0" applyNumberFormat="1" applyFont="1" applyFill="1" applyBorder="1" applyAlignment="1">
      <x:alignment horizontal="center" wrapText="1"/>
    </x:xf>
    <x:xf numFmtId="0" fontId="9" fillId="4" borderId="30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/>
    <x:xf numFmtId="0" fontId="9" fillId="4" borderId="31" xfId="0" applyNumberFormat="1" applyFont="1" applyFill="1" applyBorder="1"/>
    <x:xf numFmtId="0" fontId="9" fillId="4" borderId="31" xfId="0" applyNumberFormat="1" applyFont="1" applyFill="1" applyBorder="1" applyAlignment="1">
      <x:alignment wrapText="1"/>
    </x:xf>
    <x:xf numFmtId="0" fontId="9" fillId="4" borderId="31" xfId="0" applyNumberFormat="1" applyFont="1" applyFill="1" applyBorder="1" applyAlignment="1">
      <x:alignment horizontal="center" wrapText="1"/>
    </x:xf>
    <x:xf numFmtId="0" fontId="9" fillId="4" borderId="3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6" xfId="0" applyNumberFormat="1" applyFont="1" applyFill="1" applyBorder="1"/>
    <x:xf numFmtId="0" fontId="10" fillId="5" borderId="17" xfId="0" applyNumberFormat="1" applyFont="1" applyFill="1" applyBorder="1"/>
    <x:xf numFmtId="0" fontId="10" fillId="5" borderId="18" xfId="0" applyNumberFormat="1" applyFont="1" applyFill="1" applyBorder="1"/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0" fillId="5" borderId="21" xfId="0" applyNumberFormat="1" applyFont="1" applyFill="1" applyBorder="1"/>
    <x:xf numFmtId="0" fontId="10" fillId="5" borderId="22" xfId="0" applyNumberFormat="1" applyFont="1" applyFill="1" applyBorder="1"/>
    <x:xf numFmtId="0" fontId="10" fillId="5" borderId="23" xfId="0" applyNumberFormat="1" applyFont="1" applyFill="1" applyBorder="1"/>
    <x:xf numFmtId="0" fontId="10" fillId="5" borderId="16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wrapText="1"/>
    </x:xf>
    <x:xf numFmtId="0" fontId="10" fillId="5" borderId="18" xfId="0" applyNumberFormat="1" applyFont="1" applyFill="1" applyBorder="1" applyAlignment="1">
      <x:alignment wrapText="1"/>
    </x:xf>
    <x:xf numFmtId="0" fontId="10" fillId="5" borderId="19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10" fillId="5" borderId="20" xfId="0" applyNumberFormat="1" applyFont="1" applyFill="1" applyBorder="1" applyAlignment="1">
      <x:alignment wrapText="1"/>
    </x:xf>
    <x:xf numFmtId="0" fontId="10" fillId="5" borderId="21" xfId="0" applyNumberFormat="1" applyFont="1" applyFill="1" applyBorder="1" applyAlignment="1">
      <x:alignment wrapText="1"/>
    </x:xf>
    <x:xf numFmtId="0" fontId="10" fillId="5" borderId="22" xfId="0" applyNumberFormat="1" applyFont="1" applyFill="1" applyBorder="1" applyAlignment="1">
      <x:alignment wrapText="1"/>
    </x:xf>
    <x:xf numFmtId="0" fontId="10" fillId="5" borderId="23" xfId="0" applyNumberFormat="1" applyFont="1" applyFill="1" applyBorder="1" applyAlignment="1">
      <x:alignment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5" borderId="17" xfId="0" applyNumberFormat="1" applyFont="1" applyFill="1" applyBorder="1" applyAlignment="1">
      <x:alignment vertical="center" wrapText="1"/>
    </x:xf>
    <x:xf numFmtId="0" fontId="10" fillId="5" borderId="18" xfId="0" applyNumberFormat="1" applyFont="1" applyFill="1" applyBorder="1" applyAlignment="1">
      <x:alignment vertical="center" wrapText="1"/>
    </x:xf>
    <x:xf numFmtId="0" fontId="10" fillId="5" borderId="19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11" fillId="2" borderId="32" xfId="0" applyNumberFormat="1" applyFont="1" applyFill="1" applyBorder="1"/>
    <x:xf numFmtId="0" fontId="11" fillId="2" borderId="32" xfId="0" applyNumberFormat="1" applyFont="1" applyFill="1" applyBorder="1" applyAlignment="1">
      <x:alignment wrapText="1"/>
    </x:xf>
    <x:xf numFmtId="0" fontId="11" fillId="2" borderId="32" xfId="0" applyNumberFormat="1" applyFont="1" applyFill="1" applyBorder="1" applyAlignment="1">
      <x:alignment horizontal="center" wrapText="1"/>
    </x:xf>
    <x:xf numFmtId="0" fontId="11" fillId="2" borderId="32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/>
    <x:xf numFmtId="0" fontId="11" fillId="2" borderId="33" xfId="0" applyNumberFormat="1" applyFont="1" applyFill="1" applyBorder="1"/>
    <x:xf numFmtId="0" fontId="11" fillId="2" borderId="33" xfId="0" applyNumberFormat="1" applyFont="1" applyFill="1" applyBorder="1" applyAlignment="1">
      <x:alignment wrapText="1"/>
    </x:xf>
    <x:xf numFmtId="0" fontId="11" fillId="2" borderId="33" xfId="0" applyNumberFormat="1" applyFont="1" applyFill="1" applyBorder="1" applyAlignment="1">
      <x:alignment horizontal="center" wrapText="1"/>
    </x:xf>
    <x:xf numFmtId="0" fontId="11" fillId="2" borderId="3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wrapText="1"/>
    </x:xf>
    <x:xf numFmtId="0" fontId="10" fillId="4" borderId="13" xfId="0" applyNumberFormat="1" applyFont="1" applyFill="1" applyBorder="1" applyAlignment="1">
      <x:alignment horizontal="center" vertical="center" wrapText="1"/>
    </x:xf>
    <x:xf numFmtId="0" fontId="10" fillId="4" borderId="14" xfId="0" applyNumberFormat="1" applyFont="1" applyFill="1" applyBorder="1" applyAlignment="1">
      <x:alignment horizontal="center" vertical="center" wrapText="1"/>
    </x:xf>
    <x:xf numFmtId="0" fontId="10" fillId="4" borderId="15" xfId="0" applyNumberFormat="1" applyFont="1" applyFill="1" applyBorder="1" applyAlignment="1">
      <x:alignment horizontal="center" vertical="center" wrapText="1"/>
    </x:xf>
    <x:xf numFmtId="0" fontId="6" fillId="6" borderId="16" xfId="0" applyNumberFormat="1" applyFont="1" applyFill="1" applyBorder="1" applyAlignment="1">
      <x:alignment horizontal="center" wrapText="1"/>
    </x:xf>
    <x:xf numFmtId="0" fontId="6" fillId="6" borderId="17" xfId="0" applyNumberFormat="1" applyFont="1" applyFill="1" applyBorder="1" applyAlignment="1">
      <x:alignment horizontal="center" wrapText="1"/>
    </x:xf>
    <x:xf numFmtId="0" fontId="6" fillId="6" borderId="18" xfId="0" applyNumberFormat="1" applyFont="1" applyFill="1" applyBorder="1" applyAlignment="1">
      <x:alignment horizontal="center" wrapText="1"/>
    </x:xf>
    <x:xf numFmtId="0" fontId="10" fillId="4" borderId="21" xfId="0" applyNumberFormat="1" applyFont="1" applyFill="1" applyBorder="1" applyAlignment="1">
      <x:alignment horizontal="center" vertical="center" wrapText="1"/>
    </x:xf>
    <x:xf numFmtId="0" fontId="10" fillId="4" borderId="22" xfId="0" applyNumberFormat="1" applyFont="1" applyFill="1" applyBorder="1" applyAlignment="1">
      <x:alignment horizontal="center" vertical="center" wrapText="1"/>
    </x:xf>
    <x:xf numFmtId="0" fontId="10" fillId="4" borderId="23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horizont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7A5A00"/>
      </x:font>
      <x:fill>
        <x:patternFill>
          <x:bgColor rgb="FFFFF4CC"/>
        </x:patternFill>
      </x:fill>
    </x:dxf>
    <x:dxf>
      <x:font>
        <x:b/>
        <x:color rgb="FF126232"/>
      </x:font>
      <x:fill>
        <x:patternFill>
          <x:bgColor rgb="FFDDF7E7"/>
        </x:patternFill>
      </x:fill>
    </x:dxf>
    <x:dxf>
      <x:font>
        <x:b/>
        <x:color rgb="FF071B2D"/>
      </x:font>
      <x:fill>
        <x:patternFill>
          <x:bgColor rgb="FFDDFBFF"/>
        </x:patternFill>
      </x:fill>
    </x:dxf>
    <x:dxf>
      <x:font>
        <x:b/>
        <x:color rgb="FF14532D"/>
      </x:font>
      <x:fill>
        <x:patternFill>
          <x:bgColor rgb="FFDDF5E7"/>
        </x:patternFill>
      </x:fill>
    </x:dxf>
    <x:dxf>
      <x:font>
        <x:b/>
        <x:color rgb="FF7C4A03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05659374b46a5" /><Relationship Type="http://schemas.openxmlformats.org/officeDocument/2006/relationships/theme" Target="/xl/theme/theme1.xml" Id="Rb2c440063a6f4ecd" /><Relationship Type="http://schemas.openxmlformats.org/officeDocument/2006/relationships/sharedStrings" Target="/xl/sharedStrings.xml" Id="Rf8c27d5b48414648" /><Relationship Type="http://schemas.openxmlformats.org/officeDocument/2006/relationships/worksheet" Target="/xl/worksheets/sheet1.xml" Id="R33eb17d39c4240be" /><Relationship Type="http://schemas.openxmlformats.org/officeDocument/2006/relationships/worksheet" Target="/xl/worksheets/sheet2.xml" Id="Rfefe9e4b022a4f2a" /><Relationship Type="http://schemas.openxmlformats.org/officeDocument/2006/relationships/worksheet" Target="/xl/worksheets/sheet3.xml" Id="R918c0bf5be3f4f76" /><Relationship Type="http://schemas.openxmlformats.org/officeDocument/2006/relationships/worksheet" Target="/xl/worksheets/sheet4.xml" Id="R7f7a548bf2b9414c" /><Relationship Type="http://schemas.openxmlformats.org/officeDocument/2006/relationships/worksheet" Target="/xl/worksheets/sheet5.xml" Id="R99b3f0f59e1e43d0" /><Relationship Type="http://schemas.openxmlformats.org/officeDocument/2006/relationships/worksheet" Target="/xl/worksheets/sheet6.xml" Id="R98006b58727e4869" /><Relationship Type="http://schemas.openxmlformats.org/officeDocument/2006/relationships/worksheet" Target="/xl/worksheets/sheet7.xml" Id="R792349f95e5d4d6a" /><Relationship Type="http://schemas.openxmlformats.org/officeDocument/2006/relationships/worksheet" Target="/xl/worksheets/sheet8.xml" Id="R50d0bc8a4fdf4c75" /><Relationship Type="http://schemas.openxmlformats.org/officeDocument/2006/relationships/worksheet" Target="/xl/worksheets/sheet9.xml" Id="Rad1a285a24eb463e" /><Relationship Type="http://schemas.openxmlformats.org/officeDocument/2006/relationships/worksheet" Target="/xl/worksheets/sheet10.xml" Id="R0b75c68ba261424f" /><Relationship Type="http://schemas.openxmlformats.org/officeDocument/2006/relationships/worksheet" Target="/xl/worksheets/sheet11.xml" Id="R803dfd25dd30494c" /><Relationship Type="http://schemas.openxmlformats.org/officeDocument/2006/relationships/worksheet" Target="/xl/worksheets/sheet12.xml" Id="R62c00dddaf134d33" /><Relationship Type="http://schemas.openxmlformats.org/officeDocument/2006/relationships/worksheet" Target="/xl/worksheets/sheet13.xml" Id="Rd5e064754d7f42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4fa5ade7e3420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HH Estándar</c:v>
          </c:tx>
          <c:cat>
            <c:strRef>
              <c:f>'Resumen'!$A$8:$A$13</c:f>
              <c:strCache>
                <c:ptCount val="0"/>
              </c:strCache>
            </c:strRef>
          </c:cat>
          <c:val>
            <c:numRef>
              <c:f>'Resumen'!$E$8:$E$13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4fa5ade7e342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ResumenLineasTable" displayName="ResumenLineasTable" ref="A7:J14" headerRowCount="1">
  <x:tableColumns count="10">
    <x:tableColumn id="1" name="Línea de servicio"/>
    <x:tableColumn id="2" name="Servicios"/>
    <x:tableColumn id="3" name="Actividades"/>
    <x:tableColumn id="4" name="HH Inicial"/>
    <x:tableColumn id="5" name="HH Estándar"/>
    <x:tableColumn id="6" name="HH Avanzado"/>
    <x:tableColumn id="7" name="HH comercial estándar"/>
    <x:tableColumn id="8" name="Actividades validadas"/>
    <x:tableColumn id="9" name="% validado"/>
    <x:tableColumn id="10" name="Estado"/>
  </x:tableColumns>
  <x:tableStyleInfo name="TableStyleMedium2" showRowStripes="1"/>
</x:table>
</file>

<file path=xl/tables/table2.xml><?xml version="1.0" encoding="utf-8"?>
<x:table xmlns:x="http://schemas.openxmlformats.org/spreadsheetml/2006/main" id="11" name="ResumenServiciosTable" displayName="ResumenServiciosTable" ref="A19:J40" headerRowCount="1">
  <x:tableColumns count="10">
    <x:tableColumn id="1" name="Línea"/>
    <x:tableColumn id="2" name="Código"/>
    <x:tableColumn id="3" name="Servicio / solución"/>
    <x:tableColumn id="4" name="Madurez"/>
    <x:tableColumn id="5" name="Actividades"/>
    <x:tableColumn id="6" name="HH Inicial"/>
    <x:tableColumn id="7" name="HH Estándar"/>
    <x:tableColumn id="8" name="HH Avanzado"/>
    <x:tableColumn id="9" name="Comercial estándar"/>
    <x:tableColumn id="10" name="Estado"/>
  </x:tableColumns>
  <x:tableStyleInfo name="TableStyleMedium2" showRowStripes="1"/>
</x:table>
</file>

<file path=xl/tables/table3.xml><?xml version="1.0" encoding="utf-8"?>
<x:table xmlns:x="http://schemas.openxmlformats.org/spreadsheetml/2006/main" id="1" name="CatalogoMaestroTable" displayName="CatalogoMaestroTable" ref="A5:AB287" headerRowCount="1">
  <x:tableColumns count="28">
    <x:tableColumn id="1" name="Línea de servicio"/>
    <x:tableColumn id="2" name="Código servicio"/>
    <x:tableColumn id="3" name="Servicio / solución"/>
    <x:tableColumn id="4" name="Madurez"/>
    <x:tableColumn id="5" name="Fase"/>
    <x:tableColumn id="6" name="Código actividad"/>
    <x:tableColumn id="7" name="Actividad / entregable"/>
    <x:tableColumn id="8" name="Unidad"/>
    <x:tableColumn id="9" name="Cantidad base"/>
    <x:tableColumn id="10" name="Incluida base"/>
    <x:tableColumn id="11" name="Obligatoria"/>
    <x:tableColumn id="12" name="HH unitarias desde cero"/>
    <x:tableColumn id="13" name="Reutilización"/>
    <x:tableColumn id="14" name="Factor reutilización ISM"/>
    <x:tableColumn id="15" name="HH unitarias configurador"/>
    <x:tableColumn id="16" name="Complejidad"/>
    <x:tableColumn id="17" name="Factor Inicial"/>
    <x:tableColumn id="18" name="Factor Estándar"/>
    <x:tableColumn id="19" name="Factor Avanzado"/>
    <x:tableColumn id="20" name="HH Inicial"/>
    <x:tableColumn id="21" name="HH Estándar"/>
    <x:tableColumn id="22" name="HH Avanzado"/>
    <x:tableColumn id="23" name="Dependencias"/>
    <x:tableColumn id="24" name="Entregable verificable"/>
    <x:tableColumn id="25" name="Alcance / criterio"/>
    <x:tableColumn id="26" name="Exclusiones"/>
    <x:tableColumn id="27" name="Estado validación"/>
    <x:tableColumn id="28" name="Fuente / calibración"/>
  </x:tableColumns>
  <x:tableStyleInfo name="TableStyleMedium2" showRowStripes="1"/>
</x:table>
</file>

<file path=xl/tables/table4.xml><?xml version="1.0" encoding="utf-8"?>
<x:table xmlns:x="http://schemas.openxmlformats.org/spreadsheetml/2006/main" id="2" name="DesarrolloCatalogTable" displayName="DesarrolloCatalogTable" ref="A5:AB83" headerRowCount="1">
  <x:tableColumns count="28">
    <x:tableColumn id="1" name="Línea de servicio"/>
    <x:tableColumn id="2" name="Código servicio"/>
    <x:tableColumn id="3" name="Servicio / solución"/>
    <x:tableColumn id="4" name="Madurez"/>
    <x:tableColumn id="5" name="Fase"/>
    <x:tableColumn id="6" name="Código actividad"/>
    <x:tableColumn id="7" name="Actividad / entregable"/>
    <x:tableColumn id="8" name="Unidad"/>
    <x:tableColumn id="9" name="Cantidad base"/>
    <x:tableColumn id="10" name="Incluida base"/>
    <x:tableColumn id="11" name="Obligatoria"/>
    <x:tableColumn id="12" name="HH unitarias desde cero"/>
    <x:tableColumn id="13" name="Reutilización"/>
    <x:tableColumn id="14" name="Factor reutilización ISM"/>
    <x:tableColumn id="15" name="HH unitarias configurador"/>
    <x:tableColumn id="16" name="Complejidad"/>
    <x:tableColumn id="17" name="Factor Inicial"/>
    <x:tableColumn id="18" name="Factor Estándar"/>
    <x:tableColumn id="19" name="Factor Avanzado"/>
    <x:tableColumn id="20" name="HH Inicial"/>
    <x:tableColumn id="21" name="HH Estándar"/>
    <x:tableColumn id="22" name="HH Avanzado"/>
    <x:tableColumn id="23" name="Dependencias"/>
    <x:tableColumn id="24" name="Entregable verificable"/>
    <x:tableColumn id="25" name="Alcance / criterio"/>
    <x:tableColumn id="26" name="Exclusiones"/>
    <x:tableColumn id="27" name="Estado validación"/>
    <x:tableColumn id="28" name="Fuente / calibración"/>
  </x:tableColumns>
  <x:tableStyleInfo name="TableStyleMedium2" showRowStripes="1"/>
</x:table>
</file>

<file path=xl/tables/table5.xml><?xml version="1.0" encoding="utf-8"?>
<x:table xmlns:x="http://schemas.openxmlformats.org/spreadsheetml/2006/main" id="3" name="MantenimientoCatalogTable" displayName="MantenimientoCatalogTable" ref="A5:AB60" headerRowCount="1">
  <x:tableColumns count="28">
    <x:tableColumn id="1" name="Línea de servicio"/>
    <x:tableColumn id="2" name="Código servicio"/>
    <x:tableColumn id="3" name="Servicio / solución"/>
    <x:tableColumn id="4" name="Madurez"/>
    <x:tableColumn id="5" name="Fase"/>
    <x:tableColumn id="6" name="Código actividad"/>
    <x:tableColumn id="7" name="Actividad / entregable"/>
    <x:tableColumn id="8" name="Unidad"/>
    <x:tableColumn id="9" name="Cantidad base"/>
    <x:tableColumn id="10" name="Incluida base"/>
    <x:tableColumn id="11" name="Obligatoria"/>
    <x:tableColumn id="12" name="HH unitarias desde cero"/>
    <x:tableColumn id="13" name="Reutilización"/>
    <x:tableColumn id="14" name="Factor reutilización ISM"/>
    <x:tableColumn id="15" name="HH unitarias configurador"/>
    <x:tableColumn id="16" name="Complejidad"/>
    <x:tableColumn id="17" name="Factor Inicial"/>
    <x:tableColumn id="18" name="Factor Estándar"/>
    <x:tableColumn id="19" name="Factor Avanzado"/>
    <x:tableColumn id="20" name="HH Inicial"/>
    <x:tableColumn id="21" name="HH Estándar"/>
    <x:tableColumn id="22" name="HH Avanzado"/>
    <x:tableColumn id="23" name="Dependencias"/>
    <x:tableColumn id="24" name="Entregable verificable"/>
    <x:tableColumn id="25" name="Alcance / criterio"/>
    <x:tableColumn id="26" name="Exclusiones"/>
    <x:tableColumn id="27" name="Estado validación"/>
    <x:tableColumn id="28" name="Fuente / calibración"/>
  </x:tableColumns>
  <x:tableStyleInfo name="TableStyleMedium2" showRowStripes="1"/>
</x:table>
</file>

<file path=xl/tables/table6.xml><?xml version="1.0" encoding="utf-8"?>
<x:table xmlns:x="http://schemas.openxmlformats.org/spreadsheetml/2006/main" id="4" name="MonitoreoCatalogTable" displayName="MonitoreoCatalogTable" ref="A5:AB35" headerRowCount="1">
  <x:tableColumns count="28">
    <x:tableColumn id="1" name="Línea de servicio"/>
    <x:tableColumn id="2" name="Código servicio"/>
    <x:tableColumn id="3" name="Servicio / solución"/>
    <x:tableColumn id="4" name="Madurez"/>
    <x:tableColumn id="5" name="Fase"/>
    <x:tableColumn id="6" name="Código actividad"/>
    <x:tableColumn id="7" name="Actividad / entregable"/>
    <x:tableColumn id="8" name="Unidad"/>
    <x:tableColumn id="9" name="Cantidad base"/>
    <x:tableColumn id="10" name="Incluida base"/>
    <x:tableColumn id="11" name="Obligatoria"/>
    <x:tableColumn id="12" name="HH unitarias desde cero"/>
    <x:tableColumn id="13" name="Reutilización"/>
    <x:tableColumn id="14" name="Factor reutilización ISM"/>
    <x:tableColumn id="15" name="HH unitarias configurador"/>
    <x:tableColumn id="16" name="Complejidad"/>
    <x:tableColumn id="17" name="Factor Inicial"/>
    <x:tableColumn id="18" name="Factor Estándar"/>
    <x:tableColumn id="19" name="Factor Avanzado"/>
    <x:tableColumn id="20" name="HH Inicial"/>
    <x:tableColumn id="21" name="HH Estándar"/>
    <x:tableColumn id="22" name="HH Avanzado"/>
    <x:tableColumn id="23" name="Dependencias"/>
    <x:tableColumn id="24" name="Entregable verificable"/>
    <x:tableColumn id="25" name="Alcance / criterio"/>
    <x:tableColumn id="26" name="Exclusiones"/>
    <x:tableColumn id="27" name="Estado validación"/>
    <x:tableColumn id="28" name="Fuente / calibración"/>
  </x:tableColumns>
  <x:tableStyleInfo name="TableStyleMedium2" showRowStripes="1"/>
</x:table>
</file>

<file path=xl/tables/table7.xml><?xml version="1.0" encoding="utf-8"?>
<x:table xmlns:x="http://schemas.openxmlformats.org/spreadsheetml/2006/main" id="5" name="ContinuidadCatalogTable" displayName="ContinuidadCatalogTable" ref="A5:AB34" headerRowCount="1">
  <x:tableColumns count="28">
    <x:tableColumn id="1" name="Línea de servicio"/>
    <x:tableColumn id="2" name="Código servicio"/>
    <x:tableColumn id="3" name="Servicio / solución"/>
    <x:tableColumn id="4" name="Madurez"/>
    <x:tableColumn id="5" name="Fase"/>
    <x:tableColumn id="6" name="Código actividad"/>
    <x:tableColumn id="7" name="Actividad / entregable"/>
    <x:tableColumn id="8" name="Unidad"/>
    <x:tableColumn id="9" name="Cantidad base"/>
    <x:tableColumn id="10" name="Incluida base"/>
    <x:tableColumn id="11" name="Obligatoria"/>
    <x:tableColumn id="12" name="HH unitarias desde cero"/>
    <x:tableColumn id="13" name="Reutilización"/>
    <x:tableColumn id="14" name="Factor reutilización ISM"/>
    <x:tableColumn id="15" name="HH unitarias configurador"/>
    <x:tableColumn id="16" name="Complejidad"/>
    <x:tableColumn id="17" name="Factor Inicial"/>
    <x:tableColumn id="18" name="Factor Estándar"/>
    <x:tableColumn id="19" name="Factor Avanzado"/>
    <x:tableColumn id="20" name="HH Inicial"/>
    <x:tableColumn id="21" name="HH Estándar"/>
    <x:tableColumn id="22" name="HH Avanzado"/>
    <x:tableColumn id="23" name="Dependencias"/>
    <x:tableColumn id="24" name="Entregable verificable"/>
    <x:tableColumn id="25" name="Alcance / criterio"/>
    <x:tableColumn id="26" name="Exclusiones"/>
    <x:tableColumn id="27" name="Estado validación"/>
    <x:tableColumn id="28" name="Fuente / calibración"/>
  </x:tableColumns>
  <x:tableStyleInfo name="TableStyleMedium2" showRowStripes="1"/>
</x:table>
</file>

<file path=xl/tables/table8.xml><?xml version="1.0" encoding="utf-8"?>
<x:table xmlns:x="http://schemas.openxmlformats.org/spreadsheetml/2006/main" id="6" name="CiberseguridadCatalogTable" displayName="CiberseguridadCatalogTable" ref="A5:AB51" headerRowCount="1">
  <x:tableColumns count="28">
    <x:tableColumn id="1" name="Línea de servicio"/>
    <x:tableColumn id="2" name="Código servicio"/>
    <x:tableColumn id="3" name="Servicio / solución"/>
    <x:tableColumn id="4" name="Madurez"/>
    <x:tableColumn id="5" name="Fase"/>
    <x:tableColumn id="6" name="Código actividad"/>
    <x:tableColumn id="7" name="Actividad / entregable"/>
    <x:tableColumn id="8" name="Unidad"/>
    <x:tableColumn id="9" name="Cantidad base"/>
    <x:tableColumn id="10" name="Incluida base"/>
    <x:tableColumn id="11" name="Obligatoria"/>
    <x:tableColumn id="12" name="HH unitarias desde cero"/>
    <x:tableColumn id="13" name="Reutilización"/>
    <x:tableColumn id="14" name="Factor reutilización ISM"/>
    <x:tableColumn id="15" name="HH unitarias configurador"/>
    <x:tableColumn id="16" name="Complejidad"/>
    <x:tableColumn id="17" name="Factor Inicial"/>
    <x:tableColumn id="18" name="Factor Estándar"/>
    <x:tableColumn id="19" name="Factor Avanzado"/>
    <x:tableColumn id="20" name="HH Inicial"/>
    <x:tableColumn id="21" name="HH Estándar"/>
    <x:tableColumn id="22" name="HH Avanzado"/>
    <x:tableColumn id="23" name="Dependencias"/>
    <x:tableColumn id="24" name="Entregable verificable"/>
    <x:tableColumn id="25" name="Alcance / criterio"/>
    <x:tableColumn id="26" name="Exclusiones"/>
    <x:tableColumn id="27" name="Estado validación"/>
    <x:tableColumn id="28" name="Fuente / calibración"/>
  </x:tableColumns>
  <x:tableStyleInfo name="TableStyleMedium2" showRowStripes="1"/>
</x:table>
</file>

<file path=xl/tables/table9.xml><?xml version="1.0" encoding="utf-8"?>
<x:table xmlns:x="http://schemas.openxmlformats.org/spreadsheetml/2006/main" id="7" name="SoporteCatalogTable" displayName="SoporteCatalogTable" ref="A5:AB49" headerRowCount="1">
  <x:tableColumns count="28">
    <x:tableColumn id="1" name="Línea de servicio"/>
    <x:tableColumn id="2" name="Código servicio"/>
    <x:tableColumn id="3" name="Servicio / solución"/>
    <x:tableColumn id="4" name="Madurez"/>
    <x:tableColumn id="5" name="Fase"/>
    <x:tableColumn id="6" name="Código actividad"/>
    <x:tableColumn id="7" name="Actividad / entregable"/>
    <x:tableColumn id="8" name="Unidad"/>
    <x:tableColumn id="9" name="Cantidad base"/>
    <x:tableColumn id="10" name="Incluida base"/>
    <x:tableColumn id="11" name="Obligatoria"/>
    <x:tableColumn id="12" name="HH unitarias desde cero"/>
    <x:tableColumn id="13" name="Reutilización"/>
    <x:tableColumn id="14" name="Factor reutilización ISM"/>
    <x:tableColumn id="15" name="HH unitarias configurador"/>
    <x:tableColumn id="16" name="Complejidad"/>
    <x:tableColumn id="17" name="Factor Inicial"/>
    <x:tableColumn id="18" name="Factor Estándar"/>
    <x:tableColumn id="19" name="Factor Avanzado"/>
    <x:tableColumn id="20" name="HH Inicial"/>
    <x:tableColumn id="21" name="HH Estándar"/>
    <x:tableColumn id="22" name="HH Avanzado"/>
    <x:tableColumn id="23" name="Dependencias"/>
    <x:tableColumn id="24" name="Entregable verificable"/>
    <x:tableColumn id="25" name="Alcance / criterio"/>
    <x:tableColumn id="26" name="Exclusiones"/>
    <x:tableColumn id="27" name="Estado validación"/>
    <x:tableColumn id="28" name="Fuente / calibración"/>
  </x:tableColumns>
  <x:tableStyleInfo name="TableStyleMedium2" showRowStripes="1"/>
</x:table>
</file>

<file path=xl/tables/table10.xml><?xml version="1.0" encoding="utf-8"?>
<x:table xmlns:x="http://schemas.openxmlformats.org/spreadsheetml/2006/main" id="8" name="ValidacionHorasTable" displayName="ValidacionHorasTable" ref="A5:N45" headerRowCount="1">
  <x:tableColumns count="14">
    <x:tableColumn id="1" name="Fecha"/>
    <x:tableColumn id="2" name="Proyecto"/>
    <x:tableColumn id="3" name="Cliente"/>
    <x:tableColumn id="4" name="Código servicio"/>
    <x:tableColumn id="5" name="Código actividad"/>
    <x:tableColumn id="6" name="Descripción / alcance"/>
    <x:tableColumn id="7" name="HH estimadas"/>
    <x:tableColumn id="8" name="HH reales"/>
    <x:tableColumn id="9" name="Diferencia HH"/>
    <x:tableColumn id="10" name="Desviación %"/>
    <x:tableColumn id="11" name="Motivo de desviación"/>
    <x:tableColumn id="12" name="Ajuste propuesto"/>
    <x:tableColumn id="13" name="Responsable"/>
    <x:tableColumn id="14" name="Estado"/>
  </x:tableColumns>
  <x:tableStyleInfo name="TableStyleMedium2" showRowStripes="1"/>
</x:table>
</file>

<file path=xl/tables/table11.xml><?xml version="1.0" encoding="utf-8"?>
<x:table xmlns:x="http://schemas.openxmlformats.org/spreadsheetml/2006/main" id="9" name="ControlRedundanciasTable" displayName="ControlRedundanciasTable" ref="A4:H19" headerRowCount="1">
  <x:tableColumns count="8">
    <x:tableColumn id="1" name="ID"/>
    <x:tableColumn id="2" name="Códigos afectados"/>
    <x:tableColumn id="3" name="Tipo de caso"/>
    <x:tableColumn id="4" name="Riesgo detectado"/>
    <x:tableColumn id="5" name="Decisión"/>
    <x:tableColumn id="6" name="Regla aplicada"/>
    <x:tableColumn id="7" name="Impacto"/>
    <x:tableColumn id="8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1949ccacb214167" /><Relationship Type="http://schemas.openxmlformats.org/officeDocument/2006/relationships/table" Target="/xl/tables/table1.xml" Id="R3a178478fc1f4486" /><Relationship Type="http://schemas.openxmlformats.org/officeDocument/2006/relationships/table" Target="/xl/tables/table2.xml" Id="Rb716025250c146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ef00c2a51642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5eceb5f81b4b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50583aa37a44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6e5d59a05246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5cf3adbf7445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390f8864424c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07c68ac26714d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5402056370e42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3beb5db784d472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73" t="str">
        <x:v>ISM DEVELOPER · CATÁLOGO TÉCNICO DE SERVICIOS</x:v>
      </x:c>
      <x:c r="B1" s="273"/>
      <x:c r="C1" s="273"/>
      <x:c r="D1" s="273"/>
      <x:c r="E1" s="273"/>
      <x:c r="F1" s="273"/>
      <x:c r="G1" s="273"/>
      <x:c r="H1" s="273"/>
      <x:c r="I1" s="273"/>
      <x:c r="J1" s="273"/>
      <x:c r="K1" s="273"/>
      <x:c r="L1" s="273"/>
    </x:row>
    <x:row r="2">
      <x:c r="A2" s="273"/>
      <x:c r="B2" s="273"/>
      <x:c r="C2" s="273"/>
      <x:c r="D2" s="273"/>
      <x:c r="E2" s="273"/>
      <x:c r="F2" s="273"/>
      <x:c r="G2" s="273"/>
      <x:c r="H2" s="273"/>
      <x:c r="I2" s="273"/>
      <x:c r="J2" s="273"/>
      <x:c r="K2" s="273"/>
      <x:c r="L2" s="273"/>
    </x:row>
    <x:row r="3">
      <x:c r="A3" s="274" t="str">
        <x:v>De ideas a soluciones · Versión 2.1 auditada</x:v>
      </x:c>
      <x:c r="B3" s="274"/>
      <x:c r="C3" s="274"/>
      <x:c r="D3" s="274"/>
      <x:c r="E3" s="274"/>
      <x:c r="F3" s="274"/>
      <x:c r="G3" s="274"/>
      <x:c r="H3" s="274"/>
      <x:c r="I3" s="274"/>
      <x:c r="J3" s="274"/>
      <x:c r="K3" s="274"/>
      <x:c r="L3" s="274"/>
    </x:row>
    <x:row r="4">
      <x:c r="A4" s="73"/>
      <x:c r="B4" s="73"/>
      <x:c r="C4" s="73"/>
      <x:c r="D4" s="73"/>
      <x:c r="E4" s="73"/>
      <x:c r="F4" s="73"/>
      <x:c r="G4" s="73"/>
      <x:c r="H4" s="73"/>
      <x:c r="I4" s="73"/>
      <x:c r="J4" s="73"/>
      <x:c r="K4" s="73"/>
      <x:c r="L4" s="73"/>
    </x:row>
    <x:row r="5">
      <x:c r="A5" s="173" t="str">
        <x:v>6
Líneas de servicio</x:v>
      </x:c>
      <x:c r="B5" s="73"/>
      <x:c r="C5" s="73"/>
      <x:c r="D5" s="73"/>
      <x:c r="E5" s="173" t="str">
        <x:v>21
Servicios / soluciones</x:v>
      </x:c>
      <x:c r="F5" s="73"/>
      <x:c r="G5" s="73"/>
      <x:c r="H5" s="73"/>
      <x:c r="I5" s="173" t="str">
        <x:v>282
Actividades técnicas</x:v>
      </x:c>
      <x:c r="J5" s="73"/>
      <x:c r="K5" s="73"/>
      <x:c r="L5" s="73"/>
    </x:row>
    <x:row r="6">
      <x:c r="A6" s="73"/>
      <x:c r="B6" s="73"/>
      <x:c r="C6" s="73"/>
      <x:c r="D6" s="73"/>
      <x:c r="E6" s="73"/>
      <x:c r="F6" s="73"/>
      <x:c r="G6" s="73"/>
      <x:c r="H6" s="73"/>
      <x:c r="I6" s="73"/>
      <x:c r="J6" s="73"/>
      <x:c r="K6" s="73"/>
      <x:c r="L6" s="73"/>
    </x:row>
    <x:row r="7">
      <x:c r="A7" s="73"/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3"/>
    </x:row>
    <x:row r="8">
      <x:c r="A8" s="83" t="str">
        <x:v>OBJETIVO DE ESTA VERSIÓN</x:v>
      </x:c>
      <x:c r="B8" s="83"/>
      <x:c r="C8" s="83"/>
      <x:c r="D8" s="83"/>
      <x:c r="E8" s="83"/>
      <x:c r="F8" s="83"/>
      <x:c r="G8" s="83"/>
      <x:c r="H8" s="83"/>
      <x:c r="I8" s="83"/>
      <x:c r="J8" s="83"/>
      <x:c r="K8" s="83"/>
      <x:c r="L8" s="83"/>
    </x:row>
    <x:row r="9">
      <x:c r="A9" s="198" t="str">
        <x:v>Versión sometida a una segunda auditoría estricta para eliminar solapamientos, diferenciar diseño, implementación y control de calidad, establecer reglas excluyentes y evitar que una misma actividad se contabilice dos veces en propuestas combinadas.</x:v>
      </x:c>
      <x:c r="B9" s="199"/>
      <x:c r="C9" s="199"/>
      <x:c r="D9" s="199"/>
      <x:c r="E9" s="199"/>
      <x:c r="F9" s="199"/>
      <x:c r="G9" s="199"/>
      <x:c r="H9" s="199"/>
      <x:c r="I9" s="199"/>
      <x:c r="J9" s="199"/>
      <x:c r="K9" s="199"/>
      <x:c r="L9" s="200"/>
    </x:row>
    <x:row r="10">
      <x:c r="A10" s="201"/>
      <x:c r="B10" s="202"/>
      <x:c r="C10" s="202"/>
      <x:c r="D10" s="202"/>
      <x:c r="E10" s="202"/>
      <x:c r="F10" s="202"/>
      <x:c r="G10" s="202"/>
      <x:c r="H10" s="202"/>
      <x:c r="I10" s="202"/>
      <x:c r="J10" s="202"/>
      <x:c r="K10" s="202"/>
      <x:c r="L10" s="203"/>
    </x:row>
    <x:row r="11">
      <x:c r="A11" s="204"/>
      <x:c r="B11" s="205"/>
      <x:c r="C11" s="205"/>
      <x:c r="D11" s="205"/>
      <x:c r="E11" s="205"/>
      <x:c r="F11" s="205"/>
      <x:c r="G11" s="205"/>
      <x:c r="H11" s="205"/>
      <x:c r="I11" s="205"/>
      <x:c r="J11" s="205"/>
      <x:c r="K11" s="205"/>
      <x:c r="L11" s="206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</x:row>
    <x:row r="13">
      <x:c r="A13" s="239" t="str">
        <x:v>1 · Desarrollo e Implementación
Sitios, sistemas web, aplicaciones, integraciones y automatización.</x:v>
      </x:c>
      <x:c r="B13" s="73"/>
      <x:c r="C13" s="73"/>
      <x:c r="D13" s="73"/>
      <x:c r="E13" s="73"/>
      <x:c r="F13" s="73"/>
      <x:c r="G13" s="239" t="str">
        <x:v>2 · Mantenimiento y Evolución
Errores, funcionalidades, modernización, refactorización y rendimiento.</x:v>
      </x:c>
      <x:c r="H13" s="73"/>
      <x:c r="I13" s="73"/>
      <x:c r="J13" s="73"/>
      <x:c r="K13" s="73"/>
      <x:c r="L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</x:row>
    <x:row r="18">
      <x:c r="A18" s="239" t="str">
        <x:v>3 · Monitoreo y Observabilidad
Disponibilidad, logs, métricas, alertas y rendimiento operacional.</x:v>
      </x:c>
      <x:c r="B18" s="73"/>
      <x:c r="C18" s="73"/>
      <x:c r="D18" s="73"/>
      <x:c r="E18" s="73"/>
      <x:c r="F18" s="73"/>
      <x:c r="G18" s="239" t="str">
        <x:v>4 · Respaldo y Continuidad
Respaldos, recuperación, retención y continuidad de información.</x:v>
      </x:c>
      <x:c r="H18" s="73"/>
      <x:c r="I18" s="73"/>
      <x:c r="J18" s="73"/>
      <x:c r="K18" s="73"/>
      <x:c r="L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</x:row>
    <x:row r="23">
      <x:c r="A23" s="239" t="str">
        <x:v>5 · Ciberseguridad
Hardening, vulnerabilidades, identidad y respuesta a incidentes.</x:v>
      </x:c>
      <x:c r="B23" s="73"/>
      <x:c r="C23" s="73"/>
      <x:c r="D23" s="73"/>
      <x:c r="E23" s="73"/>
      <x:c r="F23" s="73"/>
      <x:c r="G23" s="239" t="str">
        <x:v>6 · Soporte y Gestión
Mesa de ayuda, ITSM, bolsa mensual y documentación.</x:v>
      </x:c>
      <x:c r="H23" s="73"/>
      <x:c r="I23" s="73"/>
      <x:c r="J23" s="73"/>
      <x:c r="K23" s="73"/>
      <x:c r="L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</x:row>
    <x:row r="28">
      <x:c r="A28" s="83" t="str">
        <x:v>METODOLOGÍA DE USO</x:v>
      </x:c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</x:row>
    <x:row r="29">
      <x:c r="A29" s="261" t="str">
        <x:v>1. Definir alcance</x:v>
      </x:c>
      <x:c r="B29" s="262"/>
      <x:c r="C29" s="262" t="str">
        <x:v>2. Seleccionar actividades</x:v>
      </x:c>
      <x:c r="D29" s="262"/>
      <x:c r="E29" s="262" t="str">
        <x:v>3. Ajustar cantidades</x:v>
      </x:c>
      <x:c r="F29" s="262"/>
      <x:c r="G29" s="262" t="str">
        <x:v>4. Elegir escenario</x:v>
      </x:c>
      <x:c r="H29" s="262"/>
      <x:c r="I29" s="262" t="str">
        <x:v>5. Validar HH reales</x:v>
      </x:c>
      <x:c r="J29" s="262"/>
      <x:c r="K29" s="262" t="str">
        <x:v>6. Aprobar catálogo</x:v>
      </x:c>
      <x:c r="L29" s="263"/>
    </x:row>
    <x:row r="30">
      <x:c r="A30" s="264" t="str">
        <x:v>Cliente, objetivo, usuarios y restricciones.</x:v>
      </x:c>
      <x:c r="B30" s="265"/>
      <x:c r="C30" s="265" t="str">
        <x:v>Incluir solo lo que corresponde al proyecto.</x:v>
      </x:c>
      <x:c r="D30" s="265"/>
      <x:c r="E30" s="265" t="str">
        <x:v>Páginas, roles, flujos, ambientes y unidades.</x:v>
      </x:c>
      <x:c r="F30" s="265"/>
      <x:c r="G30" s="265" t="str">
        <x:v>Inicial, Estándar o Avanzado.</x:v>
      </x:c>
      <x:c r="H30" s="265"/>
      <x:c r="I30" s="265" t="str">
        <x:v>Comparar estimado contra ejecutado.</x:v>
      </x:c>
      <x:c r="J30" s="265"/>
      <x:c r="K30" s="265" t="str">
        <x:v>Cambiar estado a validado o aprobado.</x:v>
      </x:c>
      <x:c r="L30" s="266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</x:row>
  </x:sheetData>
  <x:mergeCells>
    <x:mergeCell ref="A1:L2"/>
    <x:mergeCell ref="A3:L3"/>
    <x:mergeCell ref="A5:D6"/>
    <x:mergeCell ref="E5:H6"/>
    <x:mergeCell ref="I5:L6"/>
    <x:mergeCell ref="A8:L8"/>
    <x:mergeCell ref="A9:L11"/>
    <x:mergeCell ref="A13:F16"/>
    <x:mergeCell ref="G13:L16"/>
    <x:mergeCell ref="A18:F21"/>
    <x:mergeCell ref="G18:L21"/>
    <x:mergeCell ref="A23:F26"/>
    <x:mergeCell ref="G23:L26"/>
    <x:mergeCell ref="A28:L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24" hidden="0" customWidth="1"/>
    <x:col min="6" max="6" width="38" hidden="0" customWidth="1"/>
  </x:cols>
  <x:sheetData>
    <x:row r="1">
      <x:c r="A1" s="71" t="str">
        <x:v>PARÁMETROS DEL CATÁLOGO TÉCNICO ISM DEVELOPER</x:v>
      </x:c>
      <x:c r="B1" s="71"/>
      <x:c r="C1" s="71"/>
      <x:c r="D1" s="71"/>
      <x:c r="E1" s="71"/>
      <x:c r="F1" s="71"/>
    </x:row>
    <x:row r="2">
      <x:c r="A2" s="72" t="str">
        <x:v>Versión 2.0 preliminar · Los valores deben calibrarse con proyectos reales antes de aprobar tarifas comerciales.</x:v>
      </x:c>
      <x:c r="B2" s="72"/>
      <x:c r="C2" s="72"/>
      <x:c r="D2" s="72"/>
      <x:c r="E2" s="72"/>
      <x:c r="F2" s="72"/>
    </x:row>
    <x:row r="3">
      <x:c r="A3" s="73"/>
      <x:c r="B3" s="73"/>
      <x:c r="C3" s="73"/>
      <x:c r="D3" s="73"/>
      <x:c r="E3" s="73"/>
      <x:c r="F3" s="73"/>
    </x:row>
    <x:row r="4">
      <x:c r="A4" s="20" t="str">
        <x:v>Parámetro</x:v>
      </x:c>
      <x:c r="B4" s="21" t="str">
        <x:v>Valor</x:v>
      </x:c>
      <x:c r="C4" s="21" t="str">
        <x:v>Unidad / formato</x:v>
      </x:c>
      <x:c r="D4" s="21" t="str">
        <x:v>Uso</x:v>
      </x:c>
      <x:c r="E4" s="21" t="str">
        <x:v>Estado</x:v>
      </x:c>
      <x:c r="F4" s="22" t="str">
        <x:v>Observación</x:v>
      </x:c>
    </x:row>
    <x:row r="5">
      <x:c r="A5" s="74" t="str">
        <x:v>Versión del catálogo</x:v>
      </x:c>
      <x:c r="B5" s="75" t="str">
        <x:v>2.1</x:v>
      </x:c>
      <x:c r="C5" s="75" t="str">
        <x:v>Texto</x:v>
      </x:c>
      <x:c r="D5" s="75" t="str">
        <x:v>Control documental</x:v>
      </x:c>
      <x:c r="E5" s="75" t="str">
        <x:v>Activo</x:v>
      </x:c>
      <x:c r="F5" s="76" t="str">
        <x:v>Auditoría estricta de redundancias, alcances y reglas de consolidación.</x:v>
      </x:c>
    </x:row>
    <x:row r="6">
      <x:c r="A6" s="77" t="str">
        <x:v>Fecha de emisión</x:v>
      </x:c>
      <x:c r="B6" s="73" t="str">
        <x:v>2026-08-05</x:v>
      </x:c>
      <x:c r="C6" s="73" t="str">
        <x:v>AAAA-MM-DD</x:v>
      </x:c>
      <x:c r="D6" s="73" t="str">
        <x:v>Control documental</x:v>
      </x:c>
      <x:c r="E6" s="73" t="str">
        <x:v>Activo</x:v>
      </x:c>
      <x:c r="F6" s="78" t="str">
        <x:v>Fecha de creación de esta versión.</x:v>
      </x:c>
    </x:row>
    <x:row r="7">
      <x:c r="A7" s="77" t="str">
        <x:v>Responsable</x:v>
      </x:c>
      <x:c r="B7" s="73" t="str">
        <x:v>ISM Developer</x:v>
      </x:c>
      <x:c r="C7" s="73" t="str">
        <x:v>Texto</x:v>
      </x:c>
      <x:c r="D7" s="73" t="str">
        <x:v>Propietario del catálogo</x:v>
      </x:c>
      <x:c r="E7" s="73" t="str">
        <x:v>Activo</x:v>
      </x:c>
      <x:c r="F7" s="78" t="str">
        <x:v>Responsable de validar y aprobar actividades.</x:v>
      </x:c>
    </x:row>
    <x:row r="8">
      <x:c r="A8" s="77" t="str">
        <x:v>Valor hora comercial</x:v>
      </x:c>
      <x:c r="B8" s="73" t="n">
        <x:v>0</x:v>
      </x:c>
      <x:c r="C8" s="73" t="str">
        <x:v>CLP / HH</x:v>
      </x:c>
      <x:c r="D8" s="73" t="str">
        <x:v>Cotización económica</x:v>
      </x:c>
      <x:c r="E8" s="73" t="str">
        <x:v>Pendiente</x:v>
      </x:c>
      <x:c r="F8" s="78" t="str">
        <x:v>Completar cuando se defina la tarifa comercial oficial.</x:v>
      </x:c>
    </x:row>
    <x:row r="9">
      <x:c r="A9" s="77" t="str">
        <x:v>Contingencia comercial</x:v>
      </x:c>
      <x:c r="B9" s="79" t="n">
        <x:v>0.2</x:v>
      </x:c>
      <x:c r="C9" s="73" t="str">
        <x:v>%</x:v>
      </x:c>
      <x:c r="D9" s="73" t="str">
        <x:v>Horas comerciales</x:v>
      </x:c>
      <x:c r="E9" s="73" t="str">
        <x:v>Activo</x:v>
      </x:c>
      <x:c r="F9" s="78" t="str">
        <x:v>Aplicada en el resumen comercial, no en las horas técnicas.</x:v>
      </x:c>
    </x:row>
    <x:row r="10">
      <x:c r="A10" s="77" t="str">
        <x:v>Vigencia de propuesta</x:v>
      </x:c>
      <x:c r="B10" s="73" t="n">
        <x:v>15</x:v>
      </x:c>
      <x:c r="C10" s="73" t="str">
        <x:v>Días</x:v>
      </x:c>
      <x:c r="D10" s="73" t="str">
        <x:v>Documentos comerciales</x:v>
      </x:c>
      <x:c r="E10" s="73" t="str">
        <x:v>Propuesto</x:v>
      </x:c>
      <x:c r="F10" s="78" t="str">
        <x:v>Ajustable por cotización.</x:v>
      </x:c>
    </x:row>
    <x:row r="11">
      <x:c r="A11" s="80" t="str">
        <x:v>Ciclo de revisión incluido</x:v>
      </x:c>
      <x:c r="B11" s="81" t="n">
        <x:v>1</x:v>
      </x:c>
      <x:c r="C11" s="81" t="str">
        <x:v>Ciclo</x:v>
      </x:c>
      <x:c r="D11" s="81" t="str">
        <x:v>Alcance base</x:v>
      </x:c>
      <x:c r="E11" s="81" t="str">
        <x:v>Propuesto</x:v>
      </x:c>
      <x:c r="F11" s="82" t="str">
        <x:v>Ciclos adicionales deben cotizarse.</x:v>
      </x:c>
    </x:row>
    <x:row r="12">
      <x:c r="A12" s="73"/>
      <x:c r="B12" s="73"/>
      <x:c r="C12" s="73"/>
      <x:c r="D12" s="73"/>
      <x:c r="E12" s="73"/>
      <x:c r="F12" s="73"/>
    </x:row>
    <x:row r="13">
      <x:c r="A13" s="83" t="str">
        <x:v>MATRIZ REFERENCIAL DE ESCENARIOS</x:v>
      </x:c>
      <x:c r="B13" s="83"/>
      <x:c r="C13" s="83"/>
      <x:c r="D13" s="83"/>
      <x:c r="E13" s="83"/>
      <x:c r="F13" s="83"/>
    </x:row>
    <x:row r="14">
      <x:c r="A14" s="20" t="str">
        <x:v>Complejidad</x:v>
      </x:c>
      <x:c r="B14" s="21" t="str">
        <x:v>Inicial</x:v>
      </x:c>
      <x:c r="C14" s="21" t="str">
        <x:v>Estándar</x:v>
      </x:c>
      <x:c r="D14" s="21" t="str">
        <x:v>Avanzado</x:v>
      </x:c>
      <x:c r="E14" s="21" t="str">
        <x:v>Uso sugerido</x:v>
      </x:c>
      <x:c r="F14" s="22" t="str">
        <x:v>Observación</x:v>
      </x:c>
    </x:row>
    <x:row r="15">
      <x:c r="A15" s="74" t="str">
        <x:v>Baja</x:v>
      </x:c>
      <x:c r="B15" s="84" t="n">
        <x:v>1</x:v>
      </x:c>
      <x:c r="C15" s="84" t="n">
        <x:v>1.15</x:v>
      </x:c>
      <x:c r="D15" s="84" t="n">
        <x:v>1.3</x:v>
      </x:c>
      <x:c r="E15" s="75" t="str">
        <x:v>Componentes conocidos o ajustes acotados</x:v>
      </x:c>
      <x:c r="F15" s="76" t="str">
        <x:v>Puede modificarse por actividad.</x:v>
      </x:c>
    </x:row>
    <x:row r="16">
      <x:c r="A16" s="77" t="str">
        <x:v>Media</x:v>
      </x:c>
      <x:c r="B16" s="85" t="n">
        <x:v>1</x:v>
      </x:c>
      <x:c r="C16" s="85" t="n">
        <x:v>1.3</x:v>
      </x:c>
      <x:c r="D16" s="85" t="n">
        <x:v>1.55</x:v>
      </x:c>
      <x:c r="E16" s="73" t="str">
        <x:v>Trabajo con validaciones y coordinación media</x:v>
      </x:c>
      <x:c r="F16" s="78" t="str">
        <x:v>Puede modificarse por actividad.</x:v>
      </x:c>
    </x:row>
    <x:row r="17">
      <x:c r="A17" s="77" t="str">
        <x:v>Alta</x:v>
      </x:c>
      <x:c r="B17" s="85" t="n">
        <x:v>1</x:v>
      </x:c>
      <x:c r="C17" s="85" t="n">
        <x:v>1.45</x:v>
      </x:c>
      <x:c r="D17" s="85" t="n">
        <x:v>1.8</x:v>
      </x:c>
      <x:c r="E17" s="73" t="str">
        <x:v>Lógica, integración, datos o riesgo elevado</x:v>
      </x:c>
      <x:c r="F17" s="78" t="str">
        <x:v>Puede modificarse por actividad.</x:v>
      </x:c>
    </x:row>
    <x:row r="18">
      <x:c r="A18" s="80" t="str">
        <x:v>Nota</x:v>
      </x:c>
      <x:c r="B18" s="81"/>
      <x:c r="C18" s="81"/>
      <x:c r="D18" s="81"/>
      <x:c r="E18" s="81" t="str">
        <x:v>Los factores del catálogo se guardan por actividad.</x:v>
      </x:c>
      <x:c r="F18" s="82" t="str">
        <x:v>No se asume un único multiplicador para todos los servicios.</x:v>
      </x:c>
    </x:row>
    <x:row r="19">
      <x:c r="A19" s="73"/>
      <x:c r="B19" s="73"/>
      <x:c r="C19" s="73"/>
      <x:c r="D19" s="73"/>
      <x:c r="E19" s="73"/>
      <x:c r="F19" s="73"/>
    </x:row>
    <x:row r="20">
      <x:c r="A20" s="83" t="str">
        <x:v>FACTORES DE REUTILIZACIÓN ISM</x:v>
      </x:c>
      <x:c r="B20" s="83"/>
      <x:c r="C20" s="83"/>
      <x:c r="D20" s="83"/>
      <x:c r="E20" s="83"/>
      <x:c r="F20" s="83"/>
    </x:row>
    <x:row r="21">
      <x:c r="A21" s="20" t="str">
        <x:v>Tipo</x:v>
      </x:c>
      <x:c r="B21" s="21" t="str">
        <x:v>Factor referencial</x:v>
      </x:c>
      <x:c r="C21" s="21" t="str">
        <x:v>Interpretación</x:v>
      </x:c>
      <x:c r="D21" s="21" t="str">
        <x:v>Ejemplos</x:v>
      </x:c>
      <x:c r="E21" s="21" t="str">
        <x:v>Estado</x:v>
      </x:c>
      <x:c r="F21" s="22" t="str">
        <x:v>Observación</x:v>
      </x:c>
    </x:row>
    <x:row r="22">
      <x:c r="A22" s="74" t="str">
        <x:v>Alta</x:v>
      </x:c>
      <x:c r="B22" s="84" t="n">
        <x:v>0.55</x:v>
      </x:c>
      <x:c r="C22" s="75" t="str">
        <x:v>Base o componente ISM ya probado</x:v>
      </x:c>
      <x:c r="D22" s="75" t="str">
        <x:v>Navbar, footer, componentes estándar</x:v>
      </x:c>
      <x:c r="E22" s="75" t="str">
        <x:v>Propuesto</x:v>
      </x:c>
      <x:c r="F22" s="76" t="str">
        <x:v>Reduce la construcción, no elimina QA ni adaptación.</x:v>
      </x:c>
    </x:row>
    <x:row r="23">
      <x:c r="A23" s="77" t="str">
        <x:v>Parcial</x:v>
      </x:c>
      <x:c r="B23" s="85" t="n">
        <x:v>0.8</x:v>
      </x:c>
      <x:c r="C23" s="73" t="str">
        <x:v>Existe una base reutilizable, pero requiere adaptación</x:v>
      </x:c>
      <x:c r="D23" s="73" t="str">
        <x:v>Formulario, dashboard, integración conocida</x:v>
      </x:c>
      <x:c r="E23" s="73" t="str">
        <x:v>Propuesto</x:v>
      </x:c>
      <x:c r="F23" s="78" t="str">
        <x:v>Puede variar entre 0,70 y 0,90.</x:v>
      </x:c>
    </x:row>
    <x:row r="24">
      <x:c r="A24" s="77" t="str">
        <x:v>No</x:v>
      </x:c>
      <x:c r="B24" s="85" t="n">
        <x:v>1</x:v>
      </x:c>
      <x:c r="C24" s="73" t="str">
        <x:v>Trabajo nuevo o totalmente personalizado</x:v>
      </x:c>
      <x:c r="D24" s="73" t="str">
        <x:v>Arquitectura específica, regla compleja</x:v>
      </x:c>
      <x:c r="E24" s="73" t="str">
        <x:v>Propuesto</x:v>
      </x:c>
      <x:c r="F24" s="78" t="str">
        <x:v>Se conserva la hora desde cero.</x:v>
      </x:c>
    </x:row>
    <x:row r="25">
      <x:c r="A25" s="80" t="str">
        <x:v>Nota</x:v>
      </x:c>
      <x:c r="B25" s="81"/>
      <x:c r="C25" s="81" t="str">
        <x:v>La columna HH configurador aplica este factor.</x:v>
      </x:c>
      <x:c r="D25" s="81" t="str"/>
      <x:c r="E25" s="81" t="str"/>
      <x:c r="F25" s="82" t="str">
        <x:v>Debe calibrarse con horas reales.</x:v>
      </x:c>
    </x:row>
  </x:sheetData>
  <x:mergeCells>
    <x:mergeCell ref="A1:F1"/>
    <x:mergeCell ref="A2:F2"/>
    <x:mergeCell ref="A13:F13"/>
    <x:mergeCell ref="A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34" hidden="0" customWidth="1"/>
    <x:col min="4" max="4" width="25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5" hidden="0" customWidth="1"/>
    <x:col min="10" max="10" width="16" hidden="0" customWidth="1"/>
  </x:cols>
  <x:sheetData>
    <x:row r="1">
      <x:c r="A1" s="71" t="str">
        <x:v>RESUMEN CONSOLIDADO · CATÁLOGO TÉCNICO ISM DEVELOPER</x:v>
      </x:c>
      <x:c r="B1" s="71"/>
      <x:c r="C1" s="71"/>
      <x:c r="D1" s="71"/>
      <x:c r="E1" s="71"/>
      <x:c r="F1" s="71"/>
      <x:c r="G1" s="71"/>
      <x:c r="H1" s="71"/>
      <x:c r="I1" s="71"/>
      <x:c r="J1" s="71"/>
    </x:row>
    <x:row r="2">
      <x:c r="A2" s="55" t="str">
        <x:v>Versión 2.1 auditada · Resumen de líneas, servicios, actividades y escenarios de horas.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4">
      <x:c r="A4" s="115" t="str">
        <x:v>6
Líneas de servicio</x:v>
      </x:c>
      <x:c r="C4" s="115" t="str">
        <x:v>21
Servicios definidos</x:v>
      </x:c>
      <x:c r="E4" s="115" t="str">
        <x:v>282
Actividades técnicas</x:v>
      </x:c>
      <x:c r="G4" s="115" t="str">
        <x:v>0%
Validado con proyectos</x:v>
      </x:c>
      <x:c r="I4" s="115" t="str">
        <x:v>20%
Contingencia comercial</x:v>
      </x:c>
    </x:row>
    <x:row r="7">
      <x:c r="A7" s="20" t="str">
        <x:v>Línea de servicio</x:v>
      </x:c>
      <x:c r="B7" s="21" t="str">
        <x:v>Servicios</x:v>
      </x:c>
      <x:c r="C7" s="21" t="str">
        <x:v>Actividades</x:v>
      </x:c>
      <x:c r="D7" s="21" t="str">
        <x:v>HH Inicial</x:v>
      </x:c>
      <x:c r="E7" s="21" t="str">
        <x:v>HH Estándar</x:v>
      </x:c>
      <x:c r="F7" s="21" t="str">
        <x:v>HH Avanzado</x:v>
      </x:c>
      <x:c r="G7" s="21" t="str">
        <x:v>HH comercial estándar</x:v>
      </x:c>
      <x:c r="H7" s="21" t="str">
        <x:v>Actividades validadas</x:v>
      </x:c>
      <x:c r="I7" s="21" t="str">
        <x:v>% validado</x:v>
      </x:c>
      <x:c r="J7" s="22" t="str">
        <x:v>Estado</x:v>
      </x:c>
    </x:row>
    <x:row r="8">
      <x:c r="A8" s="36" t="str">
        <x:v>Desarrollo e Implementación</x:v>
      </x:c>
      <x:c r="B8" s="37" t="n">
        <x:v>3</x:v>
      </x:c>
      <x:c r="C8" s="37" t="n">
        <x:v>78</x:v>
      </x:c>
      <x:c r="D8" s="67" t="n">
        <x:f>SUMIF('Catalogo Maestro'!$A$6:$A$287,A8,'Catalogo Maestro'!$T$6:$T$287)</x:f>
        <x:v>147.93125000000003</x:v>
      </x:c>
      <x:c r="E8" s="67" t="n">
        <x:f>SUMIF('Catalogo Maestro'!$A$6:$A$287,A8,'Catalogo Maestro'!$U$6:$U$287)</x:f>
        <x:v>207.89656250000002</x:v>
      </x:c>
      <x:c r="F8" s="67" t="n">
        <x:f>SUMIF('Catalogo Maestro'!$A$6:$A$287,A8,'Catalogo Maestro'!$V$6:$V$287)</x:f>
        <x:v>255.26999999999998</x:v>
      </x:c>
      <x:c r="G8" s="67" t="n">
        <x:f>E8*(1+Parametros!$B$9)</x:f>
        <x:v>249.475875</x:v>
      </x:c>
      <x:c r="H8" s="67" t="n">
        <x:f>COUNTIFS('Catalogo Maestro'!$A$6:$A$287,A8,'Catalogo Maestro'!$AA$6:$AA$287,"Validado con proyecto")+COUNTIFS('Catalogo Maestro'!$A$6:$A$287,A8,'Catalogo Maestro'!$AA$6:$AA$287,"Aprobado")</x:f>
        <x:v>0</x:v>
      </x:c>
      <x:c r="I8" s="141" t="n">
        <x:f>IF(C8=0,0,H8/C8)</x:f>
        <x:v>0</x:v>
      </x:c>
      <x:c r="J8" s="38" t="str">
        <x:v>Preliminar</x:v>
      </x:c>
    </x:row>
    <x:row r="9">
      <x:c r="A9" s="39" t="str">
        <x:v>Mantenimiento y Evolución</x:v>
      </x:c>
      <x:c r="B9" s="40" t="n">
        <x:v>4</x:v>
      </x:c>
      <x:c r="C9" s="40" t="n">
        <x:v>55</x:v>
      </x:c>
      <x:c r="D9" s="68" t="n">
        <x:f>SUMIF('Catalogo Maestro'!$A$6:$A$287,A9,'Catalogo Maestro'!$T$6:$T$287)</x:f>
        <x:v>108.575</x:v>
      </x:c>
      <x:c r="E9" s="68" t="n">
        <x:f>SUMIF('Catalogo Maestro'!$A$6:$A$287,A9,'Catalogo Maestro'!$U$6:$U$287)</x:f>
        <x:v>153.80749999999998</x:v>
      </x:c>
      <x:c r="F9" s="68" t="n">
        <x:f>SUMIF('Catalogo Maestro'!$A$6:$A$287,A9,'Catalogo Maestro'!$V$6:$V$287)</x:f>
        <x:v>189.39125000000004</x:v>
      </x:c>
      <x:c r="G9" s="68" t="n">
        <x:f>E9*(1+Parametros!$B$9)</x:f>
        <x:v>184.56899999999996</x:v>
      </x:c>
      <x:c r="H9" s="68" t="n">
        <x:f>COUNTIFS('Catalogo Maestro'!$A$6:$A$287,A9,'Catalogo Maestro'!$AA$6:$AA$287,"Validado con proyecto")+COUNTIFS('Catalogo Maestro'!$A$6:$A$287,A9,'Catalogo Maestro'!$AA$6:$AA$287,"Aprobado")</x:f>
        <x:v>0</x:v>
      </x:c>
      <x:c r="I9" s="59" t="n">
        <x:f>IF(C9=0,0,H9/C9)</x:f>
        <x:v>0</x:v>
      </x:c>
      <x:c r="J9" s="41" t="str">
        <x:v>Preliminar</x:v>
      </x:c>
    </x:row>
    <x:row r="10">
      <x:c r="A10" s="39" t="str">
        <x:v>Monitoreo y Observabilidad</x:v>
      </x:c>
      <x:c r="B10" s="40" t="n">
        <x:v>3</x:v>
      </x:c>
      <x:c r="C10" s="40" t="n">
        <x:v>30</x:v>
      </x:c>
      <x:c r="D10" s="68" t="n">
        <x:f>SUMIF('Catalogo Maestro'!$A$6:$A$287,A10,'Catalogo Maestro'!$T$6:$T$287)</x:f>
        <x:v>60.56249999999998</x:v>
      </x:c>
      <x:c r="E10" s="68" t="n">
        <x:f>SUMIF('Catalogo Maestro'!$A$6:$A$287,A10,'Catalogo Maestro'!$U$6:$U$287)</x:f>
        <x:v>83.799375</x:v>
      </x:c>
      <x:c r="F10" s="68" t="n">
        <x:f>SUMIF('Catalogo Maestro'!$A$6:$A$287,A10,'Catalogo Maestro'!$V$6:$V$287)</x:f>
        <x:v>102.31875000000001</x:v>
      </x:c>
      <x:c r="G10" s="68" t="n">
        <x:f>E10*(1+Parametros!$B$9)</x:f>
        <x:v>100.55924999999999</x:v>
      </x:c>
      <x:c r="H10" s="68" t="n">
        <x:f>COUNTIFS('Catalogo Maestro'!$A$6:$A$287,A10,'Catalogo Maestro'!$AA$6:$AA$287,"Validado con proyecto")+COUNTIFS('Catalogo Maestro'!$A$6:$A$287,A10,'Catalogo Maestro'!$AA$6:$AA$287,"Aprobado")</x:f>
        <x:v>0</x:v>
      </x:c>
      <x:c r="I10" s="59" t="n">
        <x:f>IF(C10=0,0,H10/C10)</x:f>
        <x:v>0</x:v>
      </x:c>
      <x:c r="J10" s="41" t="str">
        <x:v>Preliminar</x:v>
      </x:c>
    </x:row>
    <x:row r="11">
      <x:c r="A11" s="39" t="str">
        <x:v>Respaldo y Continuidad</x:v>
      </x:c>
      <x:c r="B11" s="40" t="n">
        <x:v>3</x:v>
      </x:c>
      <x:c r="C11" s="40" t="n">
        <x:v>29</x:v>
      </x:c>
      <x:c r="D11" s="68" t="n">
        <x:f>SUMIF('Catalogo Maestro'!$A$6:$A$287,A11,'Catalogo Maestro'!$T$6:$T$287)</x:f>
        <x:v>73.26</x:v>
      </x:c>
      <x:c r="E11" s="68" t="n">
        <x:f>SUMIF('Catalogo Maestro'!$A$6:$A$287,A11,'Catalogo Maestro'!$U$6:$U$287)</x:f>
        <x:v>102.828</x:v>
      </x:c>
      <x:c r="F11" s="68" t="n">
        <x:f>SUMIF('Catalogo Maestro'!$A$6:$A$287,A11,'Catalogo Maestro'!$V$6:$V$287)</x:f>
        <x:v>126.203</x:v>
      </x:c>
      <x:c r="G11" s="68" t="n">
        <x:f>E11*(1+Parametros!$B$9)</x:f>
        <x:v>123.39359999999999</x:v>
      </x:c>
      <x:c r="H11" s="68" t="n">
        <x:f>COUNTIFS('Catalogo Maestro'!$A$6:$A$287,A11,'Catalogo Maestro'!$AA$6:$AA$287,"Validado con proyecto")+COUNTIFS('Catalogo Maestro'!$A$6:$A$287,A11,'Catalogo Maestro'!$AA$6:$AA$287,"Aprobado")</x:f>
        <x:v>0</x:v>
      </x:c>
      <x:c r="I11" s="59" t="n">
        <x:f>IF(C11=0,0,H11/C11)</x:f>
        <x:v>0</x:v>
      </x:c>
      <x:c r="J11" s="41" t="str">
        <x:v>Preliminar</x:v>
      </x:c>
    </x:row>
    <x:row r="12">
      <x:c r="A12" s="39" t="str">
        <x:v>Ciberseguridad</x:v>
      </x:c>
      <x:c r="B12" s="40" t="n">
        <x:v>4</x:v>
      </x:c>
      <x:c r="C12" s="40" t="n">
        <x:v>46</x:v>
      </x:c>
      <x:c r="D12" s="68" t="n">
        <x:f>SUMIF('Catalogo Maestro'!$A$6:$A$287,A12,'Catalogo Maestro'!$T$6:$T$287)</x:f>
        <x:v>95.84999999999998</x:v>
      </x:c>
      <x:c r="E12" s="68" t="n">
        <x:f>SUMIF('Catalogo Maestro'!$A$6:$A$287,A12,'Catalogo Maestro'!$U$6:$U$287)</x:f>
        <x:v>135.40500000000003</x:v>
      </x:c>
      <x:c r="F12" s="68" t="n">
        <x:f>SUMIF('Catalogo Maestro'!$A$6:$A$287,A12,'Catalogo Maestro'!$V$6:$V$287)</x:f>
        <x:v>166.5675000000001</x:v>
      </x:c>
      <x:c r="G12" s="68" t="n">
        <x:f>E12*(1+Parametros!$B$9)</x:f>
        <x:v>162.48600000000002</x:v>
      </x:c>
      <x:c r="H12" s="68" t="n">
        <x:f>COUNTIFS('Catalogo Maestro'!$A$6:$A$287,A12,'Catalogo Maestro'!$AA$6:$AA$287,"Validado con proyecto")+COUNTIFS('Catalogo Maestro'!$A$6:$A$287,A12,'Catalogo Maestro'!$AA$6:$AA$287,"Aprobado")</x:f>
        <x:v>0</x:v>
      </x:c>
      <x:c r="I12" s="59" t="n">
        <x:f>IF(C12=0,0,H12/C12)</x:f>
        <x:v>0</x:v>
      </x:c>
      <x:c r="J12" s="41" t="str">
        <x:v>Preliminar</x:v>
      </x:c>
    </x:row>
    <x:row r="13">
      <x:c r="A13" s="39" t="str">
        <x:v>Soporte y Gestión</x:v>
      </x:c>
      <x:c r="B13" s="40" t="n">
        <x:v>4</x:v>
      </x:c>
      <x:c r="C13" s="40" t="n">
        <x:v>44</x:v>
      </x:c>
      <x:c r="D13" s="68" t="n">
        <x:f>SUMIF('Catalogo Maestro'!$A$6:$A$287,A13,'Catalogo Maestro'!$T$6:$T$287)</x:f>
        <x:v>96.79999999999998</x:v>
      </x:c>
      <x:c r="E13" s="68" t="n">
        <x:f>SUMIF('Catalogo Maestro'!$A$6:$A$287,A13,'Catalogo Maestro'!$U$6:$U$287)</x:f>
        <x:v>131.549</x:v>
      </x:c>
      <x:c r="F13" s="68" t="n">
        <x:f>SUMIF('Catalogo Maestro'!$A$6:$A$287,A13,'Catalogo Maestro'!$V$6:$V$287)</x:f>
        <x:v>159.55499999999998</x:v>
      </x:c>
      <x:c r="G13" s="68" t="n">
        <x:f>E13*(1+Parametros!$B$9)</x:f>
        <x:v>157.8588</x:v>
      </x:c>
      <x:c r="H13" s="68" t="n">
        <x:f>COUNTIFS('Catalogo Maestro'!$A$6:$A$287,A13,'Catalogo Maestro'!$AA$6:$AA$287,"Validado con proyecto")+COUNTIFS('Catalogo Maestro'!$A$6:$A$287,A13,'Catalogo Maestro'!$AA$6:$AA$287,"Aprobado")</x:f>
        <x:v>0</x:v>
      </x:c>
      <x:c r="I13" s="59" t="n">
        <x:f>IF(C13=0,0,H13/C13)</x:f>
        <x:v>0</x:v>
      </x:c>
      <x:c r="J13" s="41" t="str">
        <x:v>Preliminar</x:v>
      </x:c>
    </x:row>
    <x:row r="14">
      <x:c r="A14" s="127" t="str">
        <x:v>TOTAL GENERAL</x:v>
      </x:c>
      <x:c r="B14" s="128" t="n">
        <x:v>21</x:v>
      </x:c>
      <x:c r="C14" s="128" t="n">
        <x:v>282</x:v>
      </x:c>
      <x:c r="D14" s="139" t="n">
        <x:f>SUM(D8:D13)</x:f>
        <x:v>582.97875</x:v>
      </x:c>
      <x:c r="E14" s="139" t="n">
        <x:f>SUM(E8:E13)</x:f>
        <x:v>815.2854375</x:v>
      </x:c>
      <x:c r="F14" s="139" t="n">
        <x:f>SUM(F8:F13)</x:f>
        <x:v>999.3055</x:v>
      </x:c>
      <x:c r="G14" s="139" t="n">
        <x:f>SUM(G8:G13)</x:f>
        <x:v>978.3425249999999</x:v>
      </x:c>
      <x:c r="H14" s="139" t="n">
        <x:f>SUM(H8:H13)</x:f>
        <x:v>0</x:v>
      </x:c>
      <x:c r="I14" s="142" t="n">
        <x:f>IF(C14=0,0,H14/C14)</x:f>
        <x:v>0</x:v>
      </x:c>
      <x:c r="J14" s="129" t="str">
        <x:v>Preliminar</x:v>
      </x:c>
    </x:row>
    <x:row r="18">
      <x:c r="A18" s="63" t="str">
        <x:v>DETALLE POR SERVICIO / SOLUCIÓN</x:v>
      </x:c>
      <x:c r="B18" s="63"/>
      <x:c r="C18" s="63"/>
      <x:c r="D18" s="63"/>
      <x:c r="E18" s="63"/>
      <x:c r="F18" s="63"/>
      <x:c r="G18" s="63"/>
      <x:c r="H18" s="63"/>
      <x:c r="I18" s="63"/>
      <x:c r="J18" s="63"/>
    </x:row>
    <x:row r="19">
      <x:c r="A19" s="20" t="str">
        <x:v>Línea</x:v>
      </x:c>
      <x:c r="B19" s="21" t="str">
        <x:v>Código</x:v>
      </x:c>
      <x:c r="C19" s="21" t="str">
        <x:v>Servicio / solución</x:v>
      </x:c>
      <x:c r="D19" s="21" t="str">
        <x:v>Madurez</x:v>
      </x:c>
      <x:c r="E19" s="21" t="str">
        <x:v>Actividades</x:v>
      </x:c>
      <x:c r="F19" s="21" t="str">
        <x:v>HH Inicial</x:v>
      </x:c>
      <x:c r="G19" s="21" t="str">
        <x:v>HH Estándar</x:v>
      </x:c>
      <x:c r="H19" s="21" t="str">
        <x:v>HH Avanzado</x:v>
      </x:c>
      <x:c r="I19" s="21" t="str">
        <x:v>Comercial estándar</x:v>
      </x:c>
      <x:c r="J19" s="22" t="str">
        <x:v>Estado</x:v>
      </x:c>
    </x:row>
    <x:row r="20">
      <x:c r="A20" s="36" t="str">
        <x:v>Desarrollo e Implementación</x:v>
      </x:c>
      <x:c r="B20" s="37" t="str">
        <x:v>WEB-01</x:v>
      </x:c>
      <x:c r="C20" s="37" t="str">
        <x:v>Sitio web profesional</x:v>
      </x:c>
      <x:c r="D20" s="37" t="str">
        <x:v>01 · Primeros pasos digitales</x:v>
      </x:c>
      <x:c r="E20" s="37" t="n">
        <x:v>34</x:v>
      </x:c>
      <x:c r="F20" s="67" t="n">
        <x:f>SUMIF('Catalogo Maestro'!$B$6:$B$287,B20,'Catalogo Maestro'!$T$6:$T$287)</x:f>
        <x:v>30.231250000000003</x:v>
      </x:c>
      <x:c r="G20" s="67" t="n">
        <x:f>SUMIF('Catalogo Maestro'!$B$6:$B$287,B20,'Catalogo Maestro'!$U$6:$U$287)</x:f>
        <x:v>40.074062500000004</x:v>
      </x:c>
      <x:c r="H20" s="67" t="n">
        <x:f>SUMIF('Catalogo Maestro'!$B$6:$B$287,B20,'Catalogo Maestro'!$V$6:$V$287)</x:f>
        <x:v>48.1475</x:v>
      </x:c>
      <x:c r="I20" s="67" t="n">
        <x:f>G20*(1+Parametros!$B$9)</x:f>
        <x:v>48.088875</x:v>
      </x:c>
      <x:c r="J20" s="38" t="str">
        <x:v>Preliminar</x:v>
      </x:c>
    </x:row>
    <x:row r="21">
      <x:c r="A21" s="39" t="str">
        <x:v>Desarrollo e Implementación</x:v>
      </x:c>
      <x:c r="B21" s="40" t="str">
        <x:v>APP-01</x:v>
      </x:c>
      <x:c r="C21" s="40" t="str">
        <x:v>Sistema web o aplicación de gestión</x:v>
      </x:c>
      <x:c r="D21" s="40" t="str">
        <x:v>02 · Optimización digital</x:v>
      </x:c>
      <x:c r="E21" s="40" t="n">
        <x:v>27</x:v>
      </x:c>
      <x:c r="F21" s="68" t="n">
        <x:f>SUMIF('Catalogo Maestro'!$B$6:$B$287,B21,'Catalogo Maestro'!$T$6:$T$287)</x:f>
        <x:v>86.42500000000001</x:v>
      </x:c>
      <x:c r="G21" s="68" t="n">
        <x:f>SUMIF('Catalogo Maestro'!$B$6:$B$287,B21,'Catalogo Maestro'!$U$6:$U$287)</x:f>
        <x:v>123.50875</x:v>
      </x:c>
      <x:c r="H21" s="68" t="n">
        <x:f>SUMIF('Catalogo Maestro'!$B$6:$B$287,B21,'Catalogo Maestro'!$V$6:$V$287)</x:f>
        <x:v>152.5525</x:v>
      </x:c>
      <x:c r="I21" s="68" t="n">
        <x:f>G21*(1+Parametros!$B$9)</x:f>
        <x:v>148.2105</x:v>
      </x:c>
      <x:c r="J21" s="41" t="str">
        <x:v>Preliminar</x:v>
      </x:c>
    </x:row>
    <x:row r="22">
      <x:c r="A22" s="39" t="str">
        <x:v>Desarrollo e Implementación</x:v>
      </x:c>
      <x:c r="B22" s="40" t="str">
        <x:v>INT-01</x:v>
      </x:c>
      <x:c r="C22" s="40" t="str">
        <x:v>Integración y automatización de procesos</x:v>
      </x:c>
      <x:c r="D22" s="40" t="str">
        <x:v>02 · Optimización digital</x:v>
      </x:c>
      <x:c r="E22" s="40" t="n">
        <x:v>17</x:v>
      </x:c>
      <x:c r="F22" s="68" t="n">
        <x:f>SUMIF('Catalogo Maestro'!$B$6:$B$287,B22,'Catalogo Maestro'!$T$6:$T$287)</x:f>
        <x:v>31.275</x:v>
      </x:c>
      <x:c r="G22" s="68" t="n">
        <x:f>SUMIF('Catalogo Maestro'!$B$6:$B$287,B22,'Catalogo Maestro'!$U$6:$U$287)</x:f>
        <x:v>44.31375</x:v>
      </x:c>
      <x:c r="H22" s="68" t="n">
        <x:f>SUMIF('Catalogo Maestro'!$B$6:$B$287,B22,'Catalogo Maestro'!$V$6:$V$287)</x:f>
        <x:v>54.57000000000001</x:v>
      </x:c>
      <x:c r="I22" s="68" t="n">
        <x:f>G22*(1+Parametros!$B$9)</x:f>
        <x:v>53.1765</x:v>
      </x:c>
      <x:c r="J22" s="41" t="str">
        <x:v>Preliminar</x:v>
      </x:c>
    </x:row>
    <x:row r="23">
      <x:c r="A23" s="39" t="str">
        <x:v>Mantenimiento y Evolución</x:v>
      </x:c>
      <x:c r="B23" s="40" t="str">
        <x:v>MNT-01</x:v>
      </x:c>
      <x:c r="C23" s="40" t="str">
        <x:v>Corrección de errores y estabilización</x:v>
      </x:c>
      <x:c r="D23" s="40" t="str">
        <x:v>02 · Optimización digital</x:v>
      </x:c>
      <x:c r="E23" s="40" t="n">
        <x:v>14</x:v>
      </x:c>
      <x:c r="F23" s="68" t="n">
        <x:f>SUMIF('Catalogo Maestro'!$B$6:$B$287,B23,'Catalogo Maestro'!$T$6:$T$287)</x:f>
        <x:v>14.65</x:v>
      </x:c>
      <x:c r="G23" s="68" t="n">
        <x:f>SUMIF('Catalogo Maestro'!$B$6:$B$287,B23,'Catalogo Maestro'!$U$6:$U$287)</x:f>
        <x:v>20.2375</x:v>
      </x:c>
      <x:c r="H23" s="68" t="n">
        <x:f>SUMIF('Catalogo Maestro'!$B$6:$B$287,B23,'Catalogo Maestro'!$V$6:$V$287)</x:f>
        <x:v>24.695000000000004</x:v>
      </x:c>
      <x:c r="I23" s="68" t="n">
        <x:f>G23*(1+Parametros!$B$9)</x:f>
        <x:v>24.285</x:v>
      </x:c>
      <x:c r="J23" s="41" t="str">
        <x:v>Preliminar</x:v>
      </x:c>
    </x:row>
    <x:row r="24">
      <x:c r="A24" s="39" t="str">
        <x:v>Mantenimiento y Evolución</x:v>
      </x:c>
      <x:c r="B24" s="40" t="str">
        <x:v>MNT-02</x:v>
      </x:c>
      <x:c r="C24" s="40" t="str">
        <x:v>Incorporación de nueva funcionalidad</x:v>
      </x:c>
      <x:c r="D24" s="40" t="str">
        <x:v>02 · Optimización digital</x:v>
      </x:c>
      <x:c r="E24" s="40" t="n">
        <x:v>15</x:v>
      </x:c>
      <x:c r="F24" s="68" t="n">
        <x:f>SUMIF('Catalogo Maestro'!$B$6:$B$287,B24,'Catalogo Maestro'!$T$6:$T$287)</x:f>
        <x:v>30.5</x:v>
      </x:c>
      <x:c r="G24" s="68" t="n">
        <x:f>SUMIF('Catalogo Maestro'!$B$6:$B$287,B24,'Catalogo Maestro'!$U$6:$U$287)</x:f>
        <x:v>43.31</x:v>
      </x:c>
      <x:c r="H24" s="68" t="n">
        <x:f>SUMIF('Catalogo Maestro'!$B$6:$B$287,B24,'Catalogo Maestro'!$V$6:$V$287)</x:f>
        <x:v>53.37500000000001</x:v>
      </x:c>
      <x:c r="I24" s="68" t="n">
        <x:f>G24*(1+Parametros!$B$9)</x:f>
        <x:v>51.972</x:v>
      </x:c>
      <x:c r="J24" s="41" t="str">
        <x:v>Preliminar</x:v>
      </x:c>
    </x:row>
    <x:row r="25">
      <x:c r="A25" s="39" t="str">
        <x:v>Mantenimiento y Evolución</x:v>
      </x:c>
      <x:c r="B25" s="40" t="str">
        <x:v>MNT-03</x:v>
      </x:c>
      <x:c r="C25" s="40" t="str">
        <x:v>Modernización, refactorización y actualización tecnológica</x:v>
      </x:c>
      <x:c r="D25" s="40" t="str">
        <x:v>03 · Consolidación digital</x:v>
      </x:c>
      <x:c r="E25" s="40" t="n">
        <x:v>14</x:v>
      </x:c>
      <x:c r="F25" s="68" t="n">
        <x:f>SUMIF('Catalogo Maestro'!$B$6:$B$287,B25,'Catalogo Maestro'!$T$6:$T$287)</x:f>
        <x:v>41.875</x:v>
      </x:c>
      <x:c r="G25" s="68" t="n">
        <x:f>SUMIF('Catalogo Maestro'!$B$6:$B$287,B25,'Catalogo Maestro'!$U$6:$U$287)</x:f>
        <x:v>59.83749999999999</x:v>
      </x:c>
      <x:c r="H25" s="68" t="n">
        <x:f>SUMIF('Catalogo Maestro'!$B$6:$B$287,B25,'Catalogo Maestro'!$V$6:$V$287)</x:f>
        <x:v>73.90625</x:v>
      </x:c>
      <x:c r="I25" s="68" t="n">
        <x:f>G25*(1+Parametros!$B$9)</x:f>
        <x:v>71.80499999999999</x:v>
      </x:c>
      <x:c r="J25" s="41" t="str">
        <x:v>Preliminar</x:v>
      </x:c>
    </x:row>
    <x:row r="26">
      <x:c r="A26" s="39" t="str">
        <x:v>Mantenimiento y Evolución</x:v>
      </x:c>
      <x:c r="B26" s="40" t="str">
        <x:v>MNT-04</x:v>
      </x:c>
      <x:c r="C26" s="40" t="str">
        <x:v>Optimización de rendimiento</x:v>
      </x:c>
      <x:c r="D26" s="40" t="str">
        <x:v>03 · Consolidación digital</x:v>
      </x:c>
      <x:c r="E26" s="40" t="n">
        <x:v>12</x:v>
      </x:c>
      <x:c r="F26" s="68" t="n">
        <x:f>SUMIF('Catalogo Maestro'!$B$6:$B$287,B26,'Catalogo Maestro'!$T$6:$T$287)</x:f>
        <x:v>21.55</x:v>
      </x:c>
      <x:c r="G26" s="68" t="n">
        <x:f>SUMIF('Catalogo Maestro'!$B$6:$B$287,B26,'Catalogo Maestro'!$U$6:$U$287)</x:f>
        <x:v>30.422499999999996</x:v>
      </x:c>
      <x:c r="H26" s="68" t="n">
        <x:f>SUMIF('Catalogo Maestro'!$B$6:$B$287,B26,'Catalogo Maestro'!$V$6:$V$287)</x:f>
        <x:v>37.415</x:v>
      </x:c>
      <x:c r="I26" s="68" t="n">
        <x:f>G26*(1+Parametros!$B$9)</x:f>
        <x:v>36.50699999999999</x:v>
      </x:c>
      <x:c r="J26" s="41" t="str">
        <x:v>Preliminar</x:v>
      </x:c>
    </x:row>
    <x:row r="27">
      <x:c r="A27" s="39" t="str">
        <x:v>Monitoreo y Observabilidad</x:v>
      </x:c>
      <x:c r="B27" s="40" t="str">
        <x:v>MON-01</x:v>
      </x:c>
      <x:c r="C27" s="40" t="str">
        <x:v>Monitoreo de disponibilidad</x:v>
      </x:c>
      <x:c r="D27" s="40" t="str">
        <x:v>03 · Consolidación digital</x:v>
      </x:c>
      <x:c r="E27" s="40" t="n">
        <x:v>10</x:v>
      </x:c>
      <x:c r="F27" s="68" t="n">
        <x:f>SUMIF('Catalogo Maestro'!$B$6:$B$287,B27,'Catalogo Maestro'!$T$6:$T$287)</x:f>
        <x:v>16.15</x:v>
      </x:c>
      <x:c r="G27" s="68" t="n">
        <x:f>SUMIF('Catalogo Maestro'!$B$6:$B$287,B27,'Catalogo Maestro'!$U$6:$U$287)</x:f>
        <x:v>21.759999999999998</x:v>
      </x:c>
      <x:c r="H27" s="68" t="n">
        <x:f>SUMIF('Catalogo Maestro'!$B$6:$B$287,B27,'Catalogo Maestro'!$V$6:$V$287)</x:f>
        <x:v>26.307499999999997</x:v>
      </x:c>
      <x:c r="I27" s="68" t="n">
        <x:f>G27*(1+Parametros!$B$9)</x:f>
        <x:v>26.112</x:v>
      </x:c>
      <x:c r="J27" s="41" t="str">
        <x:v>Preliminar</x:v>
      </x:c>
    </x:row>
    <x:row r="28">
      <x:c r="A28" s="39" t="str">
        <x:v>Monitoreo y Observabilidad</x:v>
      </x:c>
      <x:c r="B28" s="40" t="str">
        <x:v>MON-02</x:v>
      </x:c>
      <x:c r="C28" s="40" t="str">
        <x:v>Centralización de logs y trazabilidad</x:v>
      </x:c>
      <x:c r="D28" s="40" t="str">
        <x:v>03 · Consolidación digital</x:v>
      </x:c>
      <x:c r="E28" s="40" t="n">
        <x:v>10</x:v>
      </x:c>
      <x:c r="F28" s="68" t="n">
        <x:f>SUMIF('Catalogo Maestro'!$B$6:$B$287,B28,'Catalogo Maestro'!$T$6:$T$287)</x:f>
        <x:v>22.95</x:v>
      </x:c>
      <x:c r="G28" s="68" t="n">
        <x:f>SUMIF('Catalogo Maestro'!$B$6:$B$287,B28,'Catalogo Maestro'!$U$6:$U$287)</x:f>
        <x:v>32.129999999999995</x:v>
      </x:c>
      <x:c r="H28" s="68" t="n">
        <x:f>SUMIF('Catalogo Maestro'!$B$6:$B$287,B28,'Catalogo Maestro'!$V$6:$V$287)</x:f>
        <x:v>39.3975</x:v>
      </x:c>
      <x:c r="I28" s="68" t="n">
        <x:f>G28*(1+Parametros!$B$9)</x:f>
        <x:v>38.55599999999999</x:v>
      </x:c>
      <x:c r="J28" s="41" t="str">
        <x:v>Preliminar</x:v>
      </x:c>
    </x:row>
    <x:row r="29">
      <x:c r="A29" s="39" t="str">
        <x:v>Monitoreo y Observabilidad</x:v>
      </x:c>
      <x:c r="B29" s="40" t="str">
        <x:v>MON-03</x:v>
      </x:c>
      <x:c r="C29" s="40" t="str">
        <x:v>Métricas y rendimiento</x:v>
      </x:c>
      <x:c r="D29" s="40" t="str">
        <x:v>03 · Consolidación digital</x:v>
      </x:c>
      <x:c r="E29" s="40" t="n">
        <x:v>10</x:v>
      </x:c>
      <x:c r="F29" s="68" t="n">
        <x:f>SUMIF('Catalogo Maestro'!$B$6:$B$287,B29,'Catalogo Maestro'!$T$6:$T$287)</x:f>
        <x:v>21.4625</x:v>
      </x:c>
      <x:c r="G29" s="68" t="n">
        <x:f>SUMIF('Catalogo Maestro'!$B$6:$B$287,B29,'Catalogo Maestro'!$U$6:$U$287)</x:f>
        <x:v>29.909374999999997</x:v>
      </x:c>
      <x:c r="H29" s="68" t="n">
        <x:f>SUMIF('Catalogo Maestro'!$B$6:$B$287,B29,'Catalogo Maestro'!$V$6:$V$287)</x:f>
        <x:v>36.613749999999996</x:v>
      </x:c>
      <x:c r="I29" s="68" t="n">
        <x:f>G29*(1+Parametros!$B$9)</x:f>
        <x:v>35.89124999999999</x:v>
      </x:c>
      <x:c r="J29" s="41" t="str">
        <x:v>Preliminar</x:v>
      </x:c>
    </x:row>
    <x:row r="30">
      <x:c r="A30" s="39" t="str">
        <x:v>Respaldo y Continuidad</x:v>
      </x:c>
      <x:c r="B30" s="40" t="str">
        <x:v>BCP-01</x:v>
      </x:c>
      <x:c r="C30" s="40" t="str">
        <x:v>Implementación de respaldos</x:v>
      </x:c>
      <x:c r="D30" s="40" t="str">
        <x:v>03 · Consolidación digital</x:v>
      </x:c>
      <x:c r="E30" s="40" t="n">
        <x:v>10</x:v>
      </x:c>
      <x:c r="F30" s="68" t="n">
        <x:f>SUMIF('Catalogo Maestro'!$B$6:$B$287,B30,'Catalogo Maestro'!$T$6:$T$287)</x:f>
        <x:v>20.900000000000002</x:v>
      </x:c>
      <x:c r="G30" s="68" t="n">
        <x:f>SUMIF('Catalogo Maestro'!$B$6:$B$287,B30,'Catalogo Maestro'!$U$6:$U$287)</x:f>
        <x:v>29.150000000000002</x:v>
      </x:c>
      <x:c r="H30" s="68" t="n">
        <x:f>SUMIF('Catalogo Maestro'!$B$6:$B$287,B30,'Catalogo Maestro'!$V$6:$V$287)</x:f>
        <x:v>35.695</x:v>
      </x:c>
      <x:c r="I30" s="68" t="n">
        <x:f>G30*(1+Parametros!$B$9)</x:f>
        <x:v>34.980000000000004</x:v>
      </x:c>
      <x:c r="J30" s="41" t="str">
        <x:v>Preliminar</x:v>
      </x:c>
    </x:row>
    <x:row r="31">
      <x:c r="A31" s="39" t="str">
        <x:v>Respaldo y Continuidad</x:v>
      </x:c>
      <x:c r="B31" s="40" t="str">
        <x:v>BCP-02</x:v>
      </x:c>
      <x:c r="C31" s="40" t="str">
        <x:v>Plan de recuperación ante desastres</x:v>
      </x:c>
      <x:c r="D31" s="40" t="str">
        <x:v>03 · Consolidación digital</x:v>
      </x:c>
      <x:c r="E31" s="40" t="n">
        <x:v>10</x:v>
      </x:c>
      <x:c r="F31" s="68" t="n">
        <x:f>SUMIF('Catalogo Maestro'!$B$6:$B$287,B31,'Catalogo Maestro'!$T$6:$T$287)</x:f>
        <x:v>31.680000000000003</x:v>
      </x:c>
      <x:c r="G31" s="68" t="n">
        <x:f>SUMIF('Catalogo Maestro'!$B$6:$B$287,B31,'Catalogo Maestro'!$U$6:$U$287)</x:f>
        <x:v>44.81399999999999</x:v>
      </x:c>
      <x:c r="H31" s="68" t="n">
        <x:f>SUMIF('Catalogo Maestro'!$B$6:$B$287,B31,'Catalogo Maestro'!$V$6:$V$287)</x:f>
        <x:v>55.153999999999996</x:v>
      </x:c>
      <x:c r="I31" s="68" t="n">
        <x:f>G31*(1+Parametros!$B$9)</x:f>
        <x:v>53.77679999999999</x:v>
      </x:c>
      <x:c r="J31" s="41" t="str">
        <x:v>Preliminar</x:v>
      </x:c>
    </x:row>
    <x:row r="32">
      <x:c r="A32" s="39" t="str">
        <x:v>Respaldo y Continuidad</x:v>
      </x:c>
      <x:c r="B32" s="40" t="str">
        <x:v>BCP-03</x:v>
      </x:c>
      <x:c r="C32" s="40" t="str">
        <x:v>Retención y ciclo de vida de datos</x:v>
      </x:c>
      <x:c r="D32" s="40" t="str">
        <x:v>03 · Consolidación digital</x:v>
      </x:c>
      <x:c r="E32" s="40" t="n">
        <x:v>9</x:v>
      </x:c>
      <x:c r="F32" s="68" t="n">
        <x:f>SUMIF('Catalogo Maestro'!$B$6:$B$287,B32,'Catalogo Maestro'!$T$6:$T$287)</x:f>
        <x:v>20.68</x:v>
      </x:c>
      <x:c r="G32" s="68" t="n">
        <x:f>SUMIF('Catalogo Maestro'!$B$6:$B$287,B32,'Catalogo Maestro'!$U$6:$U$287)</x:f>
        <x:v>28.864000000000004</x:v>
      </x:c>
      <x:c r="H32" s="68" t="n">
        <x:f>SUMIF('Catalogo Maestro'!$B$6:$B$287,B32,'Catalogo Maestro'!$V$6:$V$287)</x:f>
        <x:v>35.35399999999999</x:v>
      </x:c>
      <x:c r="I32" s="68" t="n">
        <x:f>G32*(1+Parametros!$B$9)</x:f>
        <x:v>34.6368</x:v>
      </x:c>
      <x:c r="J32" s="41" t="str">
        <x:v>Preliminar</x:v>
      </x:c>
    </x:row>
    <x:row r="33">
      <x:c r="A33" s="39" t="str">
        <x:v>Ciberseguridad</x:v>
      </x:c>
      <x:c r="B33" s="40" t="str">
        <x:v>SEC-01</x:v>
      </x:c>
      <x:c r="C33" s="40" t="str">
        <x:v>Hardening de plataforma</x:v>
      </x:c>
      <x:c r="D33" s="40" t="str">
        <x:v>03 · Consolidación digital</x:v>
      </x:c>
      <x:c r="E33" s="40" t="n">
        <x:v>13</x:v>
      </x:c>
      <x:c r="F33" s="68" t="n">
        <x:f>SUMIF('Catalogo Maestro'!$B$6:$B$287,B33,'Catalogo Maestro'!$T$6:$T$287)</x:f>
        <x:v>21.15</x:v>
      </x:c>
      <x:c r="G33" s="68" t="n">
        <x:f>SUMIF('Catalogo Maestro'!$B$6:$B$287,B33,'Catalogo Maestro'!$U$6:$U$287)</x:f>
        <x:v>29.5875</x:v>
      </x:c>
      <x:c r="H33" s="68" t="n">
        <x:f>SUMIF('Catalogo Maestro'!$B$6:$B$287,B33,'Catalogo Maestro'!$V$6:$V$287)</x:f>
        <x:v>36.27</x:v>
      </x:c>
      <x:c r="I33" s="68" t="n">
        <x:f>G33*(1+Parametros!$B$9)</x:f>
        <x:v>35.504999999999995</x:v>
      </x:c>
      <x:c r="J33" s="41" t="str">
        <x:v>Preliminar</x:v>
      </x:c>
    </x:row>
    <x:row r="34">
      <x:c r="A34" s="39" t="str">
        <x:v>Ciberseguridad</x:v>
      </x:c>
      <x:c r="B34" s="40" t="str">
        <x:v>SEC-02</x:v>
      </x:c>
      <x:c r="C34" s="40" t="str">
        <x:v>Gestión de vulnerabilidades y parches</x:v>
      </x:c>
      <x:c r="D34" s="40" t="str">
        <x:v>03 · Consolidación digital</x:v>
      </x:c>
      <x:c r="E34" s="40" t="n">
        <x:v>11</x:v>
      </x:c>
      <x:c r="F34" s="68" t="n">
        <x:f>SUMIF('Catalogo Maestro'!$B$6:$B$287,B34,'Catalogo Maestro'!$T$6:$T$287)</x:f>
        <x:v>22.950000000000003</x:v>
      </x:c>
      <x:c r="G34" s="68" t="n">
        <x:f>SUMIF('Catalogo Maestro'!$B$6:$B$287,B34,'Catalogo Maestro'!$U$6:$U$287)</x:f>
        <x:v>32.129999999999995</x:v>
      </x:c>
      <x:c r="H34" s="68" t="n">
        <x:f>SUMIF('Catalogo Maestro'!$B$6:$B$287,B34,'Catalogo Maestro'!$V$6:$V$287)</x:f>
        <x:v>39.3975</x:v>
      </x:c>
      <x:c r="I34" s="68" t="n">
        <x:f>G34*(1+Parametros!$B$9)</x:f>
        <x:v>38.55599999999999</x:v>
      </x:c>
      <x:c r="J34" s="41" t="str">
        <x:v>Preliminar</x:v>
      </x:c>
    </x:row>
    <x:row r="35">
      <x:c r="A35" s="39" t="str">
        <x:v>Ciberseguridad</x:v>
      </x:c>
      <x:c r="B35" s="40" t="str">
        <x:v>SEC-03</x:v>
      </x:c>
      <x:c r="C35" s="40" t="str">
        <x:v>Identidad y control de accesos</x:v>
      </x:c>
      <x:c r="D35" s="40" t="str">
        <x:v>03 · Consolidación digital</x:v>
      </x:c>
      <x:c r="E35" s="40" t="n">
        <x:v>11</x:v>
      </x:c>
      <x:c r="F35" s="68" t="n">
        <x:f>SUMIF('Catalogo Maestro'!$B$6:$B$287,B35,'Catalogo Maestro'!$T$6:$T$287)</x:f>
        <x:v>26.100000000000005</x:v>
      </x:c>
      <x:c r="G35" s="68" t="n">
        <x:f>SUMIF('Catalogo Maestro'!$B$6:$B$287,B35,'Catalogo Maestro'!$U$6:$U$287)</x:f>
        <x:v>37.305</x:v>
      </x:c>
      <x:c r="H35" s="68" t="n">
        <x:f>SUMIF('Catalogo Maestro'!$B$6:$B$287,B35,'Catalogo Maestro'!$V$6:$V$287)</x:f>
        <x:v>46.080000000000005</x:v>
      </x:c>
      <x:c r="I35" s="68" t="n">
        <x:f>G35*(1+Parametros!$B$9)</x:f>
        <x:v>44.766</x:v>
      </x:c>
      <x:c r="J35" s="41" t="str">
        <x:v>Preliminar</x:v>
      </x:c>
    </x:row>
    <x:row r="36">
      <x:c r="A36" s="39" t="str">
        <x:v>Ciberseguridad</x:v>
      </x:c>
      <x:c r="B36" s="40" t="str">
        <x:v>SEC-04</x:v>
      </x:c>
      <x:c r="C36" s="40" t="str">
        <x:v>Preparación para respuesta a incidentes</x:v>
      </x:c>
      <x:c r="D36" s="40" t="str">
        <x:v>04 · Evolución digital</x:v>
      </x:c>
      <x:c r="E36" s="40" t="n">
        <x:v>11</x:v>
      </x:c>
      <x:c r="F36" s="68" t="n">
        <x:f>SUMIF('Catalogo Maestro'!$B$6:$B$287,B36,'Catalogo Maestro'!$T$6:$T$287)</x:f>
        <x:v>25.650000000000002</x:v>
      </x:c>
      <x:c r="G36" s="68" t="n">
        <x:f>SUMIF('Catalogo Maestro'!$B$6:$B$287,B36,'Catalogo Maestro'!$U$6:$U$287)</x:f>
        <x:v>36.3825</x:v>
      </x:c>
      <x:c r="H36" s="68" t="n">
        <x:f>SUMIF('Catalogo Maestro'!$B$6:$B$287,B36,'Catalogo Maestro'!$V$6:$V$287)</x:f>
        <x:v>44.82000000000001</x:v>
      </x:c>
      <x:c r="I36" s="68" t="n">
        <x:f>G36*(1+Parametros!$B$9)</x:f>
        <x:v>43.659</x:v>
      </x:c>
      <x:c r="J36" s="41" t="str">
        <x:v>Preliminar</x:v>
      </x:c>
    </x:row>
    <x:row r="37">
      <x:c r="A37" s="39" t="str">
        <x:v>Soporte y Gestión</x:v>
      </x:c>
      <x:c r="B37" s="40" t="str">
        <x:v>SUP-01</x:v>
      </x:c>
      <x:c r="C37" s="40" t="str">
        <x:v>Implementación de mesa de ayuda</x:v>
      </x:c>
      <x:c r="D37" s="40" t="str">
        <x:v>02 · Optimización digital</x:v>
      </x:c>
      <x:c r="E37" s="40" t="n">
        <x:v>12</x:v>
      </x:c>
      <x:c r="F37" s="68" t="n">
        <x:f>SUMIF('Catalogo Maestro'!$B$6:$B$287,B37,'Catalogo Maestro'!$T$6:$T$287)</x:f>
        <x:v>26.180000000000003</x:v>
      </x:c>
      <x:c r="G37" s="68" t="n">
        <x:f>SUMIF('Catalogo Maestro'!$B$6:$B$287,B37,'Catalogo Maestro'!$U$6:$U$287)</x:f>
        <x:v>35.387</x:v>
      </x:c>
      <x:c r="H37" s="68" t="n">
        <x:f>SUMIF('Catalogo Maestro'!$B$6:$B$287,B37,'Catalogo Maestro'!$V$6:$V$287)</x:f>
        <x:v>42.834</x:v>
      </x:c>
      <x:c r="I37" s="68" t="n">
        <x:f>G37*(1+Parametros!$B$9)</x:f>
        <x:v>42.4644</x:v>
      </x:c>
      <x:c r="J37" s="41" t="str">
        <x:v>Preliminar</x:v>
      </x:c>
    </x:row>
    <x:row r="38">
      <x:c r="A38" s="39" t="str">
        <x:v>Soporte y Gestión</x:v>
      </x:c>
      <x:c r="B38" s="40" t="str">
        <x:v>SUP-02</x:v>
      </x:c>
      <x:c r="C38" s="40" t="str">
        <x:v>Gestión de incidentes, solicitudes y cambios</x:v>
      </x:c>
      <x:c r="D38" s="40" t="str">
        <x:v>03 · Consolidación digital</x:v>
      </x:c>
      <x:c r="E38" s="40" t="n">
        <x:v>12</x:v>
      </x:c>
      <x:c r="F38" s="68" t="n">
        <x:f>SUMIF('Catalogo Maestro'!$B$6:$B$287,B38,'Catalogo Maestro'!$T$6:$T$287)</x:f>
        <x:v>25.520000000000003</x:v>
      </x:c>
      <x:c r="G38" s="68" t="n">
        <x:f>SUMIF('Catalogo Maestro'!$B$6:$B$287,B38,'Catalogo Maestro'!$U$6:$U$287)</x:f>
        <x:v>35.75</x:v>
      </x:c>
      <x:c r="H38" s="68" t="n">
        <x:f>SUMIF('Catalogo Maestro'!$B$6:$B$287,B38,'Catalogo Maestro'!$V$6:$V$287)</x:f>
        <x:v>43.846000000000004</x:v>
      </x:c>
      <x:c r="I38" s="68" t="n">
        <x:f>G38*(1+Parametros!$B$9)</x:f>
        <x:v>42.9</x:v>
      </x:c>
      <x:c r="J38" s="41" t="str">
        <x:v>Preliminar</x:v>
      </x:c>
    </x:row>
    <x:row r="39">
      <x:c r="A39" s="39" t="str">
        <x:v>Soporte y Gestión</x:v>
      </x:c>
      <x:c r="B39" s="40" t="str">
        <x:v>SUP-03</x:v>
      </x:c>
      <x:c r="C39" s="40" t="str">
        <x:v>Bolsa mensual de soporte evolutivo</x:v>
      </x:c>
      <x:c r="D39" s="40" t="str">
        <x:v>03 · Consolidación digital</x:v>
      </x:c>
      <x:c r="E39" s="40" t="n">
        <x:v>9</x:v>
      </x:c>
      <x:c r="F39" s="68" t="n">
        <x:f>SUMIF('Catalogo Maestro'!$B$6:$B$287,B39,'Catalogo Maestro'!$T$6:$T$287)</x:f>
        <x:v>19.8</x:v>
      </x:c>
      <x:c r="G39" s="68" t="n">
        <x:f>SUMIF('Catalogo Maestro'!$B$6:$B$287,B39,'Catalogo Maestro'!$U$6:$U$287)</x:f>
        <x:v>26.136000000000003</x:v>
      </x:c>
      <x:c r="H39" s="68" t="n">
        <x:f>SUMIF('Catalogo Maestro'!$B$6:$B$287,B39,'Catalogo Maestro'!$V$6:$V$287)</x:f>
        <x:v>31.35</x:v>
      </x:c>
      <x:c r="I39" s="68" t="n">
        <x:f>G39*(1+Parametros!$B$9)</x:f>
        <x:v>31.363200000000003</x:v>
      </x:c>
      <x:c r="J39" s="41" t="str">
        <x:v>Preliminar</x:v>
      </x:c>
    </x:row>
    <x:row r="40">
      <x:c r="A40" s="42" t="str">
        <x:v>Soporte y Gestión</x:v>
      </x:c>
      <x:c r="B40" s="43" t="str">
        <x:v>SUP-04</x:v>
      </x:c>
      <x:c r="C40" s="43" t="str">
        <x:v>Documentación y base de conocimiento</x:v>
      </x:c>
      <x:c r="D40" s="43" t="str">
        <x:v>02 · Optimización digital</x:v>
      </x:c>
      <x:c r="E40" s="43" t="n">
        <x:v>11</x:v>
      </x:c>
      <x:c r="F40" s="145" t="n">
        <x:f>SUMIF('Catalogo Maestro'!$B$6:$B$287,B40,'Catalogo Maestro'!$T$6:$T$287)</x:f>
        <x:v>25.300000000000004</x:v>
      </x:c>
      <x:c r="G40" s="145" t="n">
        <x:f>SUMIF('Catalogo Maestro'!$B$6:$B$287,B40,'Catalogo Maestro'!$U$6:$U$287)</x:f>
        <x:v>34.276</x:v>
      </x:c>
      <x:c r="H40" s="145" t="n">
        <x:f>SUMIF('Catalogo Maestro'!$B$6:$B$287,B40,'Catalogo Maestro'!$V$6:$V$287)</x:f>
        <x:v>41.525000000000006</x:v>
      </x:c>
      <x:c r="I40" s="145" t="n">
        <x:f>G40*(1+Parametros!$B$9)</x:f>
        <x:v>41.1312</x:v>
      </x:c>
      <x:c r="J40" s="44" t="str">
        <x:v>Preliminar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8:J18"/>
  </x:mergeCells>
  <x:pageMargins left="0.7" right="0.7" top="0.75" bottom="0.75" header="0.3" footer="0.3"/>
  <x:drawing xmlns:r="http://schemas.openxmlformats.org/officeDocument/2006/relationships" r:id="R01949ccacb214167"/>
  <x:tableParts count="2">
    <x:tablePart xmlns:r="http://schemas.openxmlformats.org/officeDocument/2006/relationships" r:id="R3a178478fc1f4486"/>
    <x:tablePart xmlns:r="http://schemas.openxmlformats.org/officeDocument/2006/relationships" r:id="Rb716025250c146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5" hidden="0" customWidth="1"/>
    <x:col min="5" max="5" width="18" hidden="0" customWidth="1"/>
    <x:col min="6" max="6" width="14" hidden="0" customWidth="1"/>
    <x:col min="7" max="7" width="42" hidden="0" customWidth="1"/>
    <x:col min="8" max="8" width="16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4" hidden="0" customWidth="1"/>
    <x:col min="24" max="24" width="28" hidden="0" customWidth="1"/>
    <x:col min="25" max="25" width="38" hidden="0" customWidth="1"/>
    <x:col min="26" max="26" width="32" hidden="0" customWidth="1"/>
    <x:col min="27" max="27" width="18" hidden="0" customWidth="1"/>
    <x:col min="28" max="28" width="30" hidden="0" customWidth="1"/>
  </x:cols>
  <x:sheetData>
    <x:row r="1">
      <x:c r="A1" s="5" t="str">
        <x:v>CATÁLOGO MAESTRO DE ACTIVIDADES · ISM DEVELOPER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>
      <x:c r="A2" s="55" t="str">
        <x:v>Fuente de verdad del catálogo. Segunda auditoría aplicada para separar diseño, implementación, QA y reglas de no duplicación.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</x:row>
    <x:row r="3">
      <x:c r="A3" s="63" t="str">
        <x:v>Cobertura actual: 6 líneas · 21 servicios · 282 actividades · 1 actividad condicional retirada del alcance base.</x:v>
      </x:c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</x:row>
    <x:row r="5">
      <x:c r="A5" s="20" t="str">
        <x:v>Línea de servicio</x:v>
      </x:c>
      <x:c r="B5" s="21" t="str">
        <x:v>Código servicio</x:v>
      </x:c>
      <x:c r="C5" s="21" t="str">
        <x:v>Servicio / solución</x:v>
      </x:c>
      <x:c r="D5" s="21" t="str">
        <x:v>Madurez</x:v>
      </x:c>
      <x:c r="E5" s="21" t="str">
        <x:v>Fase</x:v>
      </x:c>
      <x:c r="F5" s="21" t="str">
        <x:v>Código actividad</x:v>
      </x:c>
      <x:c r="G5" s="21" t="str">
        <x:v>Actividad / entregable</x:v>
      </x:c>
      <x:c r="H5" s="21" t="str">
        <x:v>Unidad</x:v>
      </x:c>
      <x:c r="I5" s="21" t="str">
        <x:v>Cantidad base</x:v>
      </x:c>
      <x:c r="J5" s="21" t="str">
        <x:v>Incluida base</x:v>
      </x:c>
      <x:c r="K5" s="21" t="str">
        <x:v>Obligatoria</x:v>
      </x:c>
      <x:c r="L5" s="21" t="str">
        <x:v>HH unitarias desde cero</x:v>
      </x:c>
      <x:c r="M5" s="21" t="str">
        <x:v>Reutilización</x:v>
      </x:c>
      <x:c r="N5" s="21" t="str">
        <x:v>Factor reutilización ISM</x:v>
      </x:c>
      <x:c r="O5" s="21" t="str">
        <x:v>HH unitarias configurador</x:v>
      </x:c>
      <x:c r="P5" s="21" t="str">
        <x:v>Complejidad</x:v>
      </x:c>
      <x:c r="Q5" s="21" t="str">
        <x:v>Factor Inicial</x:v>
      </x:c>
      <x:c r="R5" s="21" t="str">
        <x:v>Factor Estándar</x:v>
      </x:c>
      <x:c r="S5" s="21" t="str">
        <x:v>Factor Avanzado</x:v>
      </x:c>
      <x:c r="T5" s="21" t="str">
        <x:v>HH Inicial</x:v>
      </x:c>
      <x:c r="U5" s="21" t="str">
        <x:v>HH Estándar</x:v>
      </x:c>
      <x:c r="V5" s="21" t="str">
        <x:v>HH Avanzado</x:v>
      </x:c>
      <x:c r="W5" s="21" t="str">
        <x:v>Dependencias</x:v>
      </x:c>
      <x:c r="X5" s="21" t="str">
        <x:v>Entregable verificable</x:v>
      </x:c>
      <x:c r="Y5" s="21" t="str">
        <x:v>Alcance / criterio</x:v>
      </x:c>
      <x:c r="Z5" s="21" t="str">
        <x:v>Exclusiones</x:v>
      </x:c>
      <x:c r="AA5" s="21" t="str">
        <x:v>Estado validación</x:v>
      </x:c>
      <x:c r="AB5" s="22" t="str">
        <x:v>Fuente / calibración</x:v>
      </x:c>
    </x:row>
    <x:row r="6">
      <x:c r="A6" s="74" t="str">
        <x:v>Desarrollo e Implementación</x:v>
      </x:c>
      <x:c r="B6" s="75" t="str">
        <x:v>WEB-01</x:v>
      </x:c>
      <x:c r="C6" s="75" t="str">
        <x:v>Sitio web profesional</x:v>
      </x:c>
      <x:c r="D6" s="75" t="str">
        <x:v>01 · Primeros pasos digitales</x:v>
      </x:c>
      <x:c r="E6" s="75" t="str">
        <x:v>Diagnóstico</x:v>
      </x:c>
      <x:c r="F6" s="75" t="str">
        <x:v>WEB-001</x:v>
      </x:c>
      <x:c r="G6" s="75" t="str">
        <x:v>Reunión inicial y levantamiento de objetivos</x:v>
      </x:c>
      <x:c r="H6" s="75" t="str">
        <x:v>Proyecto</x:v>
      </x:c>
      <x:c r="I6" s="84" t="n">
        <x:v>1</x:v>
      </x:c>
      <x:c r="J6" s="75" t="str">
        <x:v>Sí</x:v>
      </x:c>
      <x:c r="K6" s="75" t="str">
        <x:v>Sí</x:v>
      </x:c>
      <x:c r="L6" s="84" t="n">
        <x:v>1.5</x:v>
      </x:c>
      <x:c r="M6" s="84" t="str">
        <x:v>No</x:v>
      </x:c>
      <x:c r="N6" s="84" t="n">
        <x:v>1</x:v>
      </x:c>
      <x:c r="O6" s="84" t="n">
        <x:f>L6*N6</x:f>
        <x:v>1.5</x:v>
      </x:c>
      <x:c r="P6" s="84" t="str">
        <x:v>Media</x:v>
      </x:c>
      <x:c r="Q6" s="84" t="n">
        <x:v>1</x:v>
      </x:c>
      <x:c r="R6" s="84" t="n">
        <x:v>1.3</x:v>
      </x:c>
      <x:c r="S6" s="84" t="n">
        <x:v>1.55</x:v>
      </x:c>
      <x:c r="T6" s="84" t="n">
        <x:f>IF(J6="Sí",I6*O6*Q6,0)</x:f>
        <x:v>1.5</x:v>
      </x:c>
      <x:c r="U6" s="84" t="n">
        <x:f>IF(J6="Sí",I6*O6*R6,0)</x:f>
        <x:v>1.9500000000000002</x:v>
      </x:c>
      <x:c r="V6" s="84" t="n">
        <x:f>IF(J6="Sí",I6*O6*S6,0)</x:f>
        <x:v>2.325</x:v>
      </x:c>
      <x:c r="W6" s="75"/>
      <x:c r="X6" s="75" t="str">
        <x:v>Brief de proyecto</x:v>
      </x:c>
      <x:c r="Y6" s="75" t="str">
        <x:v>Objetivos, público, oferta y resultados esperados</x:v>
      </x:c>
      <x:c r="Z6" s="75"/>
      <x:c r="AA6" s="75" t="str">
        <x:v>Preliminar</x:v>
      </x:c>
      <x:c r="AB6" s="76" t="str">
        <x:v>Estimación técnica ISM · Validar</x:v>
      </x:c>
    </x:row>
    <x:row r="7">
      <x:c r="A7" s="77" t="str">
        <x:v>Desarrollo e Implementación</x:v>
      </x:c>
      <x:c r="B7" s="73" t="str">
        <x:v>WEB-01</x:v>
      </x:c>
      <x:c r="C7" s="73" t="str">
        <x:v>Sitio web profesional</x:v>
      </x:c>
      <x:c r="D7" s="73" t="str">
        <x:v>01 · Primeros pasos digitales</x:v>
      </x:c>
      <x:c r="E7" s="73" t="str">
        <x:v>Diagnóstico</x:v>
      </x:c>
      <x:c r="F7" s="73" t="str">
        <x:v>WEB-002</x:v>
      </x:c>
      <x:c r="G7" s="73" t="str">
        <x:v>Inventario de contenidos y recursos disponibles</x:v>
      </x:c>
      <x:c r="H7" s="73" t="str">
        <x:v>Proyecto</x:v>
      </x:c>
      <x:c r="I7" s="85" t="n">
        <x:v>1</x:v>
      </x:c>
      <x:c r="J7" s="73" t="str">
        <x:v>Sí</x:v>
      </x:c>
      <x:c r="K7" s="73" t="str">
        <x:v>Sí</x:v>
      </x:c>
      <x:c r="L7" s="85" t="n">
        <x:v>1</x:v>
      </x:c>
      <x:c r="M7" s="85" t="str">
        <x:v>No</x:v>
      </x:c>
      <x:c r="N7" s="85" t="n">
        <x:v>1</x:v>
      </x:c>
      <x:c r="O7" s="85" t="n">
        <x:f>L7*N7</x:f>
        <x:v>1</x:v>
      </x:c>
      <x:c r="P7" s="85" t="str">
        <x:v>Baja</x:v>
      </x:c>
      <x:c r="Q7" s="85" t="n">
        <x:v>1</x:v>
      </x:c>
      <x:c r="R7" s="85" t="n">
        <x:v>1.15</x:v>
      </x:c>
      <x:c r="S7" s="85" t="n">
        <x:v>1.3</x:v>
      </x:c>
      <x:c r="T7" s="85" t="n">
        <x:f>IF(J7="Sí",I7*O7*Q7,0)</x:f>
        <x:v>1</x:v>
      </x:c>
      <x:c r="U7" s="85" t="n">
        <x:f>IF(J7="Sí",I7*O7*R7,0)</x:f>
        <x:v>1.15</x:v>
      </x:c>
      <x:c r="V7" s="85" t="n">
        <x:f>IF(J7="Sí",I7*O7*S7,0)</x:f>
        <x:v>1.3</x:v>
      </x:c>
      <x:c r="W7" s="73"/>
      <x:c r="X7" s="73" t="str">
        <x:v>Inventario de contenidos</x:v>
      </x:c>
      <x:c r="Y7" s="73" t="str">
        <x:v>Textos, imágenes, documentos, accesos y recursos de marca</x:v>
      </x:c>
      <x:c r="Z7" s="73"/>
      <x:c r="AA7" s="73" t="str">
        <x:v>Preliminar</x:v>
      </x:c>
      <x:c r="AB7" s="78" t="str">
        <x:v>Estimación técnica ISM · Validar</x:v>
      </x:c>
    </x:row>
    <x:row r="8">
      <x:c r="A8" s="77" t="str">
        <x:v>Desarrollo e Implementación</x:v>
      </x:c>
      <x:c r="B8" s="73" t="str">
        <x:v>WEB-01</x:v>
      </x:c>
      <x:c r="C8" s="73" t="str">
        <x:v>Sitio web profesional</x:v>
      </x:c>
      <x:c r="D8" s="73" t="str">
        <x:v>01 · Primeros pasos digitales</x:v>
      </x:c>
      <x:c r="E8" s="73" t="str">
        <x:v>Arquitectura</x:v>
      </x:c>
      <x:c r="F8" s="73" t="str">
        <x:v>WEB-003</x:v>
      </x:c>
      <x:c r="G8" s="73" t="str">
        <x:v>Definición del mapa de navegación</x:v>
      </x:c>
      <x:c r="H8" s="73" t="str">
        <x:v>Proyecto</x:v>
      </x:c>
      <x:c r="I8" s="85" t="n">
        <x:v>1</x:v>
      </x:c>
      <x:c r="J8" s="73" t="str">
        <x:v>Sí</x:v>
      </x:c>
      <x:c r="K8" s="73" t="str">
        <x:v>Sí</x:v>
      </x:c>
      <x:c r="L8" s="85" t="n">
        <x:v>1</x:v>
      </x:c>
      <x:c r="M8" s="85" t="str">
        <x:v>Parcial</x:v>
      </x:c>
      <x:c r="N8" s="85" t="n">
        <x:v>0.8</x:v>
      </x:c>
      <x:c r="O8" s="85" t="n">
        <x:f>L8*N8</x:f>
        <x:v>0.8</x:v>
      </x:c>
      <x:c r="P8" s="85" t="str">
        <x:v>Media</x:v>
      </x:c>
      <x:c r="Q8" s="85" t="n">
        <x:v>1</x:v>
      </x:c>
      <x:c r="R8" s="85" t="n">
        <x:v>1.3</x:v>
      </x:c>
      <x:c r="S8" s="85" t="n">
        <x:v>1.55</x:v>
      </x:c>
      <x:c r="T8" s="85" t="n">
        <x:f>IF(J8="Sí",I8*O8*Q8,0)</x:f>
        <x:v>0.8</x:v>
      </x:c>
      <x:c r="U8" s="85" t="n">
        <x:f>IF(J8="Sí",I8*O8*R8,0)</x:f>
        <x:v>1.04</x:v>
      </x:c>
      <x:c r="V8" s="85" t="n">
        <x:f>IF(J8="Sí",I8*O8*S8,0)</x:f>
        <x:v>1.2400000000000002</x:v>
      </x:c>
      <x:c r="W8" s="73"/>
      <x:c r="X8" s="73" t="str">
        <x:v>Sitemap aprobado</x:v>
      </x:c>
      <x:c r="Y8" s="73" t="str">
        <x:v>Estructura de páginas, jerarquía y rutas</x:v>
      </x:c>
      <x:c r="Z8" s="73" t="str">
        <x:v>No incluye redacción completa</x:v>
      </x:c>
      <x:c r="AA8" s="73" t="str">
        <x:v>Preliminar</x:v>
      </x:c>
      <x:c r="AB8" s="78" t="str">
        <x:v>Estimación técnica ISM · Validar</x:v>
      </x:c>
    </x:row>
    <x:row r="9">
      <x:c r="A9" s="77" t="str">
        <x:v>Desarrollo e Implementación</x:v>
      </x:c>
      <x:c r="B9" s="73" t="str">
        <x:v>WEB-01</x:v>
      </x:c>
      <x:c r="C9" s="73" t="str">
        <x:v>Sitio web profesional</x:v>
      </x:c>
      <x:c r="D9" s="73" t="str">
        <x:v>01 · Primeros pasos digitales</x:v>
      </x:c>
      <x:c r="E9" s="73" t="str">
        <x:v>Arquitectura</x:v>
      </x:c>
      <x:c r="F9" s="73" t="str">
        <x:v>WEB-004</x:v>
      </x:c>
      <x:c r="G9" s="73" t="str">
        <x:v>Wireframe general de la página principal</x:v>
      </x:c>
      <x:c r="H9" s="73" t="str">
        <x:v>Proyecto</x:v>
      </x:c>
      <x:c r="I9" s="85" t="n">
        <x:v>1</x:v>
      </x:c>
      <x:c r="J9" s="73" t="str">
        <x:v>Sí</x:v>
      </x:c>
      <x:c r="K9" s="73" t="str">
        <x:v>Sí</x:v>
      </x:c>
      <x:c r="L9" s="85" t="n">
        <x:v>1.5</x:v>
      </x:c>
      <x:c r="M9" s="85" t="str">
        <x:v>Parcial</x:v>
      </x:c>
      <x:c r="N9" s="85" t="n">
        <x:v>0.8</x:v>
      </x:c>
      <x:c r="O9" s="85" t="n">
        <x:f>L9*N9</x:f>
        <x:v>1.2000000000000002</x:v>
      </x:c>
      <x:c r="P9" s="85" t="str">
        <x:v>Media</x:v>
      </x:c>
      <x:c r="Q9" s="85" t="n">
        <x:v>1</x:v>
      </x:c>
      <x:c r="R9" s="85" t="n">
        <x:v>1.3</x:v>
      </x:c>
      <x:c r="S9" s="85" t="n">
        <x:v>1.55</x:v>
      </x:c>
      <x:c r="T9" s="85" t="n">
        <x:f>IF(J9="Sí",I9*O9*Q9,0)</x:f>
        <x:v>1.2000000000000002</x:v>
      </x:c>
      <x:c r="U9" s="85" t="n">
        <x:f>IF(J9="Sí",I9*O9*R9,0)</x:f>
        <x:v>1.5600000000000003</x:v>
      </x:c>
      <x:c r="V9" s="85" t="n">
        <x:f>IF(J9="Sí",I9*O9*S9,0)</x:f>
        <x:v>1.8600000000000003</x:v>
      </x:c>
      <x:c r="W9" s="73"/>
      <x:c r="X9" s="73" t="str">
        <x:v>Wireframe</x:v>
      </x:c>
      <x:c r="Y9" s="73" t="str">
        <x:v>Orden de bloques, jerarquía y llamadas a la acción</x:v>
      </x:c>
      <x:c r="Z9" s="73" t="str">
        <x:v>No incluye prototipo de alta fidelidad</x:v>
      </x:c>
      <x:c r="AA9" s="73" t="str">
        <x:v>Preliminar</x:v>
      </x:c>
      <x:c r="AB9" s="78" t="str">
        <x:v>Estimación técnica ISM · Validar</x:v>
      </x:c>
    </x:row>
    <x:row r="10">
      <x:c r="A10" s="77" t="str">
        <x:v>Desarrollo e Implementación</x:v>
      </x:c>
      <x:c r="B10" s="73" t="str">
        <x:v>WEB-01</x:v>
      </x:c>
      <x:c r="C10" s="73" t="str">
        <x:v>Sitio web profesional</x:v>
      </x:c>
      <x:c r="D10" s="73" t="str">
        <x:v>01 · Primeros pasos digitales</x:v>
      </x:c>
      <x:c r="E10" s="73" t="str">
        <x:v>Preparación</x:v>
      </x:c>
      <x:c r="F10" s="73" t="str">
        <x:v>WEB-005</x:v>
      </x:c>
      <x:c r="G10" s="73" t="str">
        <x:v>Creación del proyecto, repositorio y estructura base</x:v>
      </x:c>
      <x:c r="H10" s="73" t="str">
        <x:v>Proyecto</x:v>
      </x:c>
      <x:c r="I10" s="85" t="n">
        <x:v>0.5</x:v>
      </x:c>
      <x:c r="J10" s="73" t="str">
        <x:v>Sí</x:v>
      </x:c>
      <x:c r="K10" s="73" t="str">
        <x:v>Sí</x:v>
      </x:c>
      <x:c r="L10" s="85" t="n">
        <x:v>1</x:v>
      </x:c>
      <x:c r="M10" s="85" t="str">
        <x:v>Alta</x:v>
      </x:c>
      <x:c r="N10" s="85" t="n">
        <x:v>0.55</x:v>
      </x:c>
      <x:c r="O10" s="85" t="n">
        <x:f>L10*N10</x:f>
        <x:v>0.55</x:v>
      </x:c>
      <x:c r="P10" s="85" t="str">
        <x:v>Baja</x:v>
      </x:c>
      <x:c r="Q10" s="85" t="n">
        <x:v>1</x:v>
      </x:c>
      <x:c r="R10" s="85" t="n">
        <x:v>1.15</x:v>
      </x:c>
      <x:c r="S10" s="85" t="n">
        <x:v>1.3</x:v>
      </x:c>
      <x:c r="T10" s="85" t="n">
        <x:f>IF(J10="Sí",I10*O10*Q10,0)</x:f>
        <x:v>0.275</x:v>
      </x:c>
      <x:c r="U10" s="85" t="n">
        <x:f>IF(J10="Sí",I10*O10*R10,0)</x:f>
        <x:v>0.31625</x:v>
      </x:c>
      <x:c r="V10" s="85" t="n">
        <x:f>IF(J10="Sí",I10*O10*S10,0)</x:f>
        <x:v>0.35750000000000004</x:v>
      </x:c>
      <x:c r="W10" s="73"/>
      <x:c r="X10" s="73" t="str">
        <x:v>Repositorio inicial</x:v>
      </x:c>
      <x:c r="Y10" s="73" t="str">
        <x:v>Estructura técnica, control de versiones y configuración</x:v>
      </x:c>
      <x:c r="Z10" s="73"/>
      <x:c r="AA10" s="73" t="str">
        <x:v>Preliminar</x:v>
      </x:c>
      <x:c r="AB10" s="78" t="str">
        <x:v>Estimación técnica ISM · Validar</x:v>
      </x:c>
    </x:row>
    <x:row r="11">
      <x:c r="A11" s="77" t="str">
        <x:v>Desarrollo e Implementación</x:v>
      </x:c>
      <x:c r="B11" s="73" t="str">
        <x:v>WEB-01</x:v>
      </x:c>
      <x:c r="C11" s="73" t="str">
        <x:v>Sitio web profesional</x:v>
      </x:c>
      <x:c r="D11" s="73" t="str">
        <x:v>01 · Primeros pasos digitales</x:v>
      </x:c>
      <x:c r="E11" s="73" t="str">
        <x:v>Preparación</x:v>
      </x:c>
      <x:c r="F11" s="73" t="str">
        <x:v>WEB-006</x:v>
      </x:c>
      <x:c r="G11" s="73" t="str">
        <x:v>Configuración de estilos, tipografías y tokens de marca</x:v>
      </x:c>
      <x:c r="H11" s="73" t="str">
        <x:v>Proyecto</x:v>
      </x:c>
      <x:c r="I11" s="85" t="n">
        <x:v>1</x:v>
      </x:c>
      <x:c r="J11" s="73" t="str">
        <x:v>Sí</x:v>
      </x:c>
      <x:c r="K11" s="73" t="str">
        <x:v>Sí</x:v>
      </x:c>
      <x:c r="L11" s="85" t="n">
        <x:v>1.5</x:v>
      </x:c>
      <x:c r="M11" s="85" t="str">
        <x:v>Alta</x:v>
      </x:c>
      <x:c r="N11" s="85" t="n">
        <x:v>0.6</x:v>
      </x:c>
      <x:c r="O11" s="85" t="n">
        <x:f>L11*N11</x:f>
        <x:v>0.8999999999999999</x:v>
      </x:c>
      <x:c r="P11" s="85" t="str">
        <x:v>Media</x:v>
      </x:c>
      <x:c r="Q11" s="85" t="n">
        <x:v>1</x:v>
      </x:c>
      <x:c r="R11" s="85" t="n">
        <x:v>1.3</x:v>
      </x:c>
      <x:c r="S11" s="85" t="n">
        <x:v>1.55</x:v>
      </x:c>
      <x:c r="T11" s="85" t="n">
        <x:f>IF(J11="Sí",I11*O11*Q11,0)</x:f>
        <x:v>0.8999999999999999</x:v>
      </x:c>
      <x:c r="U11" s="85" t="n">
        <x:f>IF(J11="Sí",I11*O11*R11,0)</x:f>
        <x:v>1.17</x:v>
      </x:c>
      <x:c r="V11" s="85" t="n">
        <x:f>IF(J11="Sí",I11*O11*S11,0)</x:f>
        <x:v>1.3949999999999998</x:v>
      </x:c>
      <x:c r="W11" s="73"/>
      <x:c r="X11" s="73" t="str">
        <x:v>Sistema visual base</x:v>
      </x:c>
      <x:c r="Y11" s="73" t="str">
        <x:v>Colores, tipografías, botones, espaciados y componentes</x:v>
      </x:c>
      <x:c r="Z11" s="73"/>
      <x:c r="AA11" s="73" t="str">
        <x:v>Preliminar</x:v>
      </x:c>
      <x:c r="AB11" s="78" t="str">
        <x:v>Estimación técnica ISM · Validar</x:v>
      </x:c>
    </x:row>
    <x:row r="12">
      <x:c r="A12" s="77" t="str">
        <x:v>Desarrollo e Implementación</x:v>
      </x:c>
      <x:c r="B12" s="73" t="str">
        <x:v>WEB-01</x:v>
      </x:c>
      <x:c r="C12" s="73" t="str">
        <x:v>Sitio web profesional</x:v>
      </x:c>
      <x:c r="D12" s="73" t="str">
        <x:v>01 · Primeros pasos digitales</x:v>
      </x:c>
      <x:c r="E12" s="73" t="str">
        <x:v>Interfaz</x:v>
      </x:c>
      <x:c r="F12" s="73" t="str">
        <x:v>WEB-007</x:v>
      </x:c>
      <x:c r="G12" s="73" t="str">
        <x:v>Desarrollo de navbar y menú móvil</x:v>
      </x:c>
      <x:c r="H12" s="73" t="str">
        <x:v>Componente</x:v>
      </x:c>
      <x:c r="I12" s="85" t="n">
        <x:v>1</x:v>
      </x:c>
      <x:c r="J12" s="73" t="str">
        <x:v>Sí</x:v>
      </x:c>
      <x:c r="K12" s="73" t="str">
        <x:v>Sí</x:v>
      </x:c>
      <x:c r="L12" s="85" t="n">
        <x:v>1.5</x:v>
      </x:c>
      <x:c r="M12" s="85" t="str">
        <x:v>Alta</x:v>
      </x:c>
      <x:c r="N12" s="85" t="n">
        <x:v>0.55</x:v>
      </x:c>
      <x:c r="O12" s="85" t="n">
        <x:f>L12*N12</x:f>
        <x:v>0.8250000000000001</x:v>
      </x:c>
      <x:c r="P12" s="85" t="str">
        <x:v>Media</x:v>
      </x:c>
      <x:c r="Q12" s="85" t="n">
        <x:v>1</x:v>
      </x:c>
      <x:c r="R12" s="85" t="n">
        <x:v>1.3</x:v>
      </x:c>
      <x:c r="S12" s="85" t="n">
        <x:v>1.55</x:v>
      </x:c>
      <x:c r="T12" s="85" t="n">
        <x:f>IF(J12="Sí",I12*O12*Q12,0)</x:f>
        <x:v>0.8250000000000001</x:v>
      </x:c>
      <x:c r="U12" s="85" t="n">
        <x:f>IF(J12="Sí",I12*O12*R12,0)</x:f>
        <x:v>1.0725000000000002</x:v>
      </x:c>
      <x:c r="V12" s="85" t="n">
        <x:f>IF(J12="Sí",I12*O12*S12,0)</x:f>
        <x:v>1.27875</x:v>
      </x:c>
      <x:c r="W12" s="73"/>
      <x:c r="X12" s="73" t="str">
        <x:v>Navbar funcional</x:v>
      </x:c>
      <x:c r="Y12" s="73" t="str">
        <x:v>Navegación de escritorio, enlaces, estados y comportamiento del menú móvil.</x:v>
      </x:c>
      <x:c r="Z12" s="73" t="str">
        <x:v>El ajuste responsive transversal del resto del sitio se contabiliza en WEB-022.</x:v>
      </x:c>
      <x:c r="AA12" s="73" t="str">
        <x:v>Preliminar</x:v>
      </x:c>
      <x:c r="AB12" s="78" t="str">
        <x:v>Estimación técnica ISM · Validar</x:v>
      </x:c>
    </x:row>
    <x:row r="13">
      <x:c r="A13" s="77" t="str">
        <x:v>Desarrollo e Implementación</x:v>
      </x:c>
      <x:c r="B13" s="73" t="str">
        <x:v>WEB-01</x:v>
      </x:c>
      <x:c r="C13" s="73" t="str">
        <x:v>Sitio web profesional</x:v>
      </x:c>
      <x:c r="D13" s="73" t="str">
        <x:v>01 · Primeros pasos digitales</x:v>
      </x:c>
      <x:c r="E13" s="73" t="str">
        <x:v>Interfaz</x:v>
      </x:c>
      <x:c r="F13" s="73" t="str">
        <x:v>WEB-008</x:v>
      </x:c>
      <x:c r="G13" s="73" t="str">
        <x:v>Diseño y desarrollo del hero principal</x:v>
      </x:c>
      <x:c r="H13" s="73" t="str">
        <x:v>Componente</x:v>
      </x:c>
      <x:c r="I13" s="85" t="n">
        <x:v>1</x:v>
      </x:c>
      <x:c r="J13" s="73" t="str">
        <x:v>Sí</x:v>
      </x:c>
      <x:c r="K13" s="73" t="str">
        <x:v>Sí</x:v>
      </x:c>
      <x:c r="L13" s="85" t="n">
        <x:v>2</x:v>
      </x:c>
      <x:c r="M13" s="85" t="str">
        <x:v>Parcial</x:v>
      </x:c>
      <x:c r="N13" s="85" t="n">
        <x:v>0.75</x:v>
      </x:c>
      <x:c r="O13" s="85" t="n">
        <x:f>L13*N13</x:f>
        <x:v>1.5</x:v>
      </x:c>
      <x:c r="P13" s="85" t="str">
        <x:v>Alta</x:v>
      </x:c>
      <x:c r="Q13" s="85" t="n">
        <x:v>1</x:v>
      </x:c>
      <x:c r="R13" s="85" t="n">
        <x:v>1.45</x:v>
      </x:c>
      <x:c r="S13" s="85" t="n">
        <x:v>1.8</x:v>
      </x:c>
      <x:c r="T13" s="85" t="n">
        <x:f>IF(J13="Sí",I13*O13*Q13,0)</x:f>
        <x:v>1.5</x:v>
      </x:c>
      <x:c r="U13" s="85" t="n">
        <x:f>IF(J13="Sí",I13*O13*R13,0)</x:f>
        <x:v>2.175</x:v>
      </x:c>
      <x:c r="V13" s="85" t="n">
        <x:f>IF(J13="Sí",I13*O13*S13,0)</x:f>
        <x:v>2.7</x:v>
      </x:c>
      <x:c r="W13" s="73"/>
      <x:c r="X13" s="73" t="str">
        <x:v>Hero implementado</x:v>
      </x:c>
      <x:c r="Y13" s="73" t="str">
        <x:v>Titular, texto, llamada a la acción, imagen y composición visual del bloque principal.</x:v>
      </x:c>
      <x:c r="Z13" s="73" t="str">
        <x:v>La adaptación responsive transversal se contabiliza en WEB-022. No incluye sesión fotográfica.</x:v>
      </x:c>
      <x:c r="AA13" s="73" t="str">
        <x:v>Preliminar</x:v>
      </x:c>
      <x:c r="AB13" s="78" t="str">
        <x:v>Estimación técnica ISM · Validar</x:v>
      </x:c>
    </x:row>
    <x:row r="14">
      <x:c r="A14" s="77" t="str">
        <x:v>Desarrollo e Implementación</x:v>
      </x:c>
      <x:c r="B14" s="73" t="str">
        <x:v>WEB-01</x:v>
      </x:c>
      <x:c r="C14" s="73" t="str">
        <x:v>Sitio web profesional</x:v>
      </x:c>
      <x:c r="D14" s="73" t="str">
        <x:v>01 · Primeros pasos digitales</x:v>
      </x:c>
      <x:c r="E14" s="73" t="str">
        <x:v>Interfaz</x:v>
      </x:c>
      <x:c r="F14" s="73" t="str">
        <x:v>WEB-009</x:v>
      </x:c>
      <x:c r="G14" s="73" t="str">
        <x:v>Desarrollo de sección estándar de contenido</x:v>
      </x:c>
      <x:c r="H14" s="73" t="str">
        <x:v>Sección</x:v>
      </x:c>
      <x:c r="I14" s="85" t="n">
        <x:v>1</x:v>
      </x:c>
      <x:c r="J14" s="73" t="str">
        <x:v>Sí</x:v>
      </x:c>
      <x:c r="K14" s="73" t="str">
        <x:v>No</x:v>
      </x:c>
      <x:c r="L14" s="85" t="n">
        <x:v>1.25</x:v>
      </x:c>
      <x:c r="M14" s="85" t="str">
        <x:v>Alta</x:v>
      </x:c>
      <x:c r="N14" s="85" t="n">
        <x:v>0.6</x:v>
      </x:c>
      <x:c r="O14" s="85" t="n">
        <x:f>L14*N14</x:f>
        <x:v>0.75</x:v>
      </x:c>
      <x:c r="P14" s="85" t="str">
        <x:v>Media</x:v>
      </x:c>
      <x:c r="Q14" s="85" t="n">
        <x:v>1</x:v>
      </x:c>
      <x:c r="R14" s="85" t="n">
        <x:v>1.3</x:v>
      </x:c>
      <x:c r="S14" s="85" t="n">
        <x:v>1.55</x:v>
      </x:c>
      <x:c r="T14" s="85" t="n">
        <x:f>IF(J14="Sí",I14*O14*Q14,0)</x:f>
        <x:v>0.75</x:v>
      </x:c>
      <x:c r="U14" s="85" t="n">
        <x:f>IF(J14="Sí",I14*O14*R14,0)</x:f>
        <x:v>0.9750000000000001</x:v>
      </x:c>
      <x:c r="V14" s="85" t="n">
        <x:f>IF(J14="Sí",I14*O14*S14,0)</x:f>
        <x:v>1.1625</x:v>
      </x:c>
      <x:c r="W14" s="73"/>
      <x:c r="X14" s="73" t="str">
        <x:v>Secciones implementadas</x:v>
      </x:c>
      <x:c r="Y14" s="73" t="str">
        <x:v>Bloque de contenido con título, texto, imagen o tarjetas</x:v>
      </x:c>
      <x:c r="Z14" s="73"/>
      <x:c r="AA14" s="73" t="str">
        <x:v>Preliminar</x:v>
      </x:c>
      <x:c r="AB14" s="78" t="str">
        <x:v>Estimación técnica ISM · Validar</x:v>
      </x:c>
    </x:row>
    <x:row r="15">
      <x:c r="A15" s="77" t="str">
        <x:v>Desarrollo e Implementación</x:v>
      </x:c>
      <x:c r="B15" s="73" t="str">
        <x:v>WEB-01</x:v>
      </x:c>
      <x:c r="C15" s="73" t="str">
        <x:v>Sitio web profesional</x:v>
      </x:c>
      <x:c r="D15" s="73" t="str">
        <x:v>01 · Primeros pasos digitales</x:v>
      </x:c>
      <x:c r="E15" s="73" t="str">
        <x:v>Interfaz</x:v>
      </x:c>
      <x:c r="F15" s="73" t="str">
        <x:v>WEB-010</x:v>
      </x:c>
      <x:c r="G15" s="73" t="str">
        <x:v>Desarrollo de sección de servicios con tarjetas</x:v>
      </x:c>
      <x:c r="H15" s="73" t="str">
        <x:v>Sección</x:v>
      </x:c>
      <x:c r="I15" s="85" t="n">
        <x:v>1</x:v>
      </x:c>
      <x:c r="J15" s="73" t="str">
        <x:v>Sí</x:v>
      </x:c>
      <x:c r="K15" s="73" t="str">
        <x:v>No</x:v>
      </x:c>
      <x:c r="L15" s="85" t="n">
        <x:v>2</x:v>
      </x:c>
      <x:c r="M15" s="85" t="str">
        <x:v>Parcial</x:v>
      </x:c>
      <x:c r="N15" s="85" t="n">
        <x:v>0.7</x:v>
      </x:c>
      <x:c r="O15" s="85" t="n">
        <x:f>L15*N15</x:f>
        <x:v>1.4</x:v>
      </x:c>
      <x:c r="P15" s="85" t="str">
        <x:v>Media</x:v>
      </x:c>
      <x:c r="Q15" s="85" t="n">
        <x:v>1</x:v>
      </x:c>
      <x:c r="R15" s="85" t="n">
        <x:v>1.3</x:v>
      </x:c>
      <x:c r="S15" s="85" t="n">
        <x:v>1.55</x:v>
      </x:c>
      <x:c r="T15" s="85" t="n">
        <x:f>IF(J15="Sí",I15*O15*Q15,0)</x:f>
        <x:v>1.4</x:v>
      </x:c>
      <x:c r="U15" s="85" t="n">
        <x:f>IF(J15="Sí",I15*O15*R15,0)</x:f>
        <x:v>1.8199999999999998</x:v>
      </x:c>
      <x:c r="V15" s="85" t="n">
        <x:f>IF(J15="Sí",I15*O15*S15,0)</x:f>
        <x:v>2.17</x:v>
      </x:c>
      <x:c r="W15" s="73"/>
      <x:c r="X15" s="73" t="str">
        <x:v>Sección de servicios</x:v>
      </x:c>
      <x:c r="Y15" s="73" t="str">
        <x:v>Tarjetas, íconos, descripciones y CTA</x:v>
      </x:c>
      <x:c r="Z15" s="73"/>
      <x:c r="AA15" s="73" t="str">
        <x:v>Preliminar</x:v>
      </x:c>
      <x:c r="AB15" s="78" t="str">
        <x:v>Estimación técnica ISM · Validar</x:v>
      </x:c>
    </x:row>
    <x:row r="16">
      <x:c r="A16" s="77" t="str">
        <x:v>Desarrollo e Implementación</x:v>
      </x:c>
      <x:c r="B16" s="73" t="str">
        <x:v>WEB-01</x:v>
      </x:c>
      <x:c r="C16" s="73" t="str">
        <x:v>Sitio web profesional</x:v>
      </x:c>
      <x:c r="D16" s="73" t="str">
        <x:v>01 · Primeros pasos digitales</x:v>
      </x:c>
      <x:c r="E16" s="73" t="str">
        <x:v>Interfaz</x:v>
      </x:c>
      <x:c r="F16" s="73" t="str">
        <x:v>WEB-011</x:v>
      </x:c>
      <x:c r="G16" s="73" t="str">
        <x:v>Desarrollo de galería o portafolio</x:v>
      </x:c>
      <x:c r="H16" s="73" t="str">
        <x:v>Sección</x:v>
      </x:c>
      <x:c r="I16" s="85" t="n">
        <x:v>1</x:v>
      </x:c>
      <x:c r="J16" s="73" t="str">
        <x:v>No</x:v>
      </x:c>
      <x:c r="K16" s="73" t="str">
        <x:v>No</x:v>
      </x:c>
      <x:c r="L16" s="85" t="n">
        <x:v>2.5</x:v>
      </x:c>
      <x:c r="M16" s="85" t="str">
        <x:v>Parcial</x:v>
      </x:c>
      <x:c r="N16" s="85" t="n">
        <x:v>0.8</x:v>
      </x:c>
      <x:c r="O16" s="85" t="n">
        <x:f>L16*N16</x:f>
        <x:v>2</x:v>
      </x:c>
      <x:c r="P16" s="85" t="str">
        <x:v>Alta</x:v>
      </x:c>
      <x:c r="Q16" s="85" t="n">
        <x:v>1</x:v>
      </x:c>
      <x:c r="R16" s="85" t="n">
        <x:v>1.45</x:v>
      </x:c>
      <x:c r="S16" s="85" t="n">
        <x:v>1.8</x:v>
      </x:c>
      <x:c r="T16" s="85" t="n">
        <x:f>IF(J16="Sí",I16*O16*Q16,0)</x:f>
        <x:v>0</x:v>
      </x:c>
      <x:c r="U16" s="85" t="n">
        <x:f>IF(J16="Sí",I16*O16*R16,0)</x:f>
        <x:v>0</x:v>
      </x:c>
      <x:c r="V16" s="85" t="n">
        <x:f>IF(J16="Sí",I16*O16*S16,0)</x:f>
        <x:v>0</x:v>
      </x:c>
      <x:c r="W16" s="73"/>
      <x:c r="X16" s="73" t="str">
        <x:v>Galería funcional</x:v>
      </x:c>
      <x:c r="Y16" s="73" t="str">
        <x:v>Listado visual, modal o enlace a proyectos</x:v>
      </x:c>
      <x:c r="Z16" s="73" t="str">
        <x:v>Carga masiva de contenido</x:v>
      </x:c>
      <x:c r="AA16" s="73" t="str">
        <x:v>Preliminar</x:v>
      </x:c>
      <x:c r="AB16" s="78" t="str">
        <x:v>Estimación técnica ISM · Validar</x:v>
      </x:c>
    </x:row>
    <x:row r="17">
      <x:c r="A17" s="77" t="str">
        <x:v>Desarrollo e Implementación</x:v>
      </x:c>
      <x:c r="B17" s="73" t="str">
        <x:v>WEB-01</x:v>
      </x:c>
      <x:c r="C17" s="73" t="str">
        <x:v>Sitio web profesional</x:v>
      </x:c>
      <x:c r="D17" s="73" t="str">
        <x:v>01 · Primeros pasos digitales</x:v>
      </x:c>
      <x:c r="E17" s="73" t="str">
        <x:v>Interfaz</x:v>
      </x:c>
      <x:c r="F17" s="73" t="str">
        <x:v>WEB-012</x:v>
      </x:c>
      <x:c r="G17" s="73" t="str">
        <x:v>Desarrollo de testimonios o casos de éxito</x:v>
      </x:c>
      <x:c r="H17" s="73" t="str">
        <x:v>Sección</x:v>
      </x:c>
      <x:c r="I17" s="85" t="n">
        <x:v>1</x:v>
      </x:c>
      <x:c r="J17" s="73" t="str">
        <x:v>No</x:v>
      </x:c>
      <x:c r="K17" s="73" t="str">
        <x:v>No</x:v>
      </x:c>
      <x:c r="L17" s="85" t="n">
        <x:v>1.25</x:v>
      </x:c>
      <x:c r="M17" s="85" t="str">
        <x:v>Alta</x:v>
      </x:c>
      <x:c r="N17" s="85" t="n">
        <x:v>0.6</x:v>
      </x:c>
      <x:c r="O17" s="85" t="n">
        <x:f>L17*N17</x:f>
        <x:v>0.75</x:v>
      </x:c>
      <x:c r="P17" s="85" t="str">
        <x:v>Media</x:v>
      </x:c>
      <x:c r="Q17" s="85" t="n">
        <x:v>1</x:v>
      </x:c>
      <x:c r="R17" s="85" t="n">
        <x:v>1.3</x:v>
      </x:c>
      <x:c r="S17" s="85" t="n">
        <x:v>1.55</x:v>
      </x:c>
      <x:c r="T17" s="85" t="n">
        <x:f>IF(J17="Sí",I17*O17*Q17,0)</x:f>
        <x:v>0</x:v>
      </x:c>
      <x:c r="U17" s="85" t="n">
        <x:f>IF(J17="Sí",I17*O17*R17,0)</x:f>
        <x:v>0</x:v>
      </x:c>
      <x:c r="V17" s="85" t="n">
        <x:f>IF(J17="Sí",I17*O17*S17,0)</x:f>
        <x:v>0</x:v>
      </x:c>
      <x:c r="W17" s="73"/>
      <x:c r="X17" s="73" t="str">
        <x:v>Sección de testimonios</x:v>
      </x:c>
      <x:c r="Y17" s="73" t="str">
        <x:v>Tarjetas, datos, jerarquía visual y comportamiento del componente.</x:v>
      </x:c>
      <x:c r="Z17" s="73" t="str">
        <x:v>La adaptación responsive transversal se contabiliza en WEB-022.</x:v>
      </x:c>
      <x:c r="AA17" s="73" t="str">
        <x:v>Preliminar</x:v>
      </x:c>
      <x:c r="AB17" s="78" t="str">
        <x:v>Estimación técnica ISM · Validar</x:v>
      </x:c>
    </x:row>
    <x:row r="18">
      <x:c r="A18" s="77" t="str">
        <x:v>Desarrollo e Implementación</x:v>
      </x:c>
      <x:c r="B18" s="73" t="str">
        <x:v>WEB-01</x:v>
      </x:c>
      <x:c r="C18" s="73" t="str">
        <x:v>Sitio web profesional</x:v>
      </x:c>
      <x:c r="D18" s="73" t="str">
        <x:v>01 · Primeros pasos digitales</x:v>
      </x:c>
      <x:c r="E18" s="73" t="str">
        <x:v>Interfaz</x:v>
      </x:c>
      <x:c r="F18" s="73" t="str">
        <x:v>WEB-013</x:v>
      </x:c>
      <x:c r="G18" s="73" t="str">
        <x:v>Desarrollo de preguntas frecuentes</x:v>
      </x:c>
      <x:c r="H18" s="73" t="str">
        <x:v>Sección</x:v>
      </x:c>
      <x:c r="I18" s="85" t="n">
        <x:v>1</x:v>
      </x:c>
      <x:c r="J18" s="73" t="str">
        <x:v>No</x:v>
      </x:c>
      <x:c r="K18" s="73" t="str">
        <x:v>No</x:v>
      </x:c>
      <x:c r="L18" s="85" t="n">
        <x:v>1.25</x:v>
      </x:c>
      <x:c r="M18" s="85" t="str">
        <x:v>Alta</x:v>
      </x:c>
      <x:c r="N18" s="85" t="n">
        <x:v>0.6</x:v>
      </x:c>
      <x:c r="O18" s="85" t="n">
        <x:f>L18*N18</x:f>
        <x:v>0.75</x:v>
      </x:c>
      <x:c r="P18" s="85" t="str">
        <x:v>Baja</x:v>
      </x:c>
      <x:c r="Q18" s="85" t="n">
        <x:v>1</x:v>
      </x:c>
      <x:c r="R18" s="85" t="n">
        <x:v>1.15</x:v>
      </x:c>
      <x:c r="S18" s="85" t="n">
        <x:v>1.3</x:v>
      </x:c>
      <x:c r="T18" s="85" t="n">
        <x:f>IF(J18="Sí",I18*O18*Q18,0)</x:f>
        <x:v>0</x:v>
      </x:c>
      <x:c r="U18" s="85" t="n">
        <x:f>IF(J18="Sí",I18*O18*R18,0)</x:f>
        <x:v>0</x:v>
      </x:c>
      <x:c r="V18" s="85" t="n">
        <x:f>IF(J18="Sí",I18*O18*S18,0)</x:f>
        <x:v>0</x:v>
      </x:c>
      <x:c r="W18" s="73"/>
      <x:c r="X18" s="73" t="str">
        <x:v>FAQ interactiva</x:v>
      </x:c>
      <x:c r="Y18" s="73" t="str">
        <x:v>Acordeones y contenido entregado por cliente</x:v>
      </x:c>
      <x:c r="Z18" s="73"/>
      <x:c r="AA18" s="73" t="str">
        <x:v>Preliminar</x:v>
      </x:c>
      <x:c r="AB18" s="78" t="str">
        <x:v>Estimación técnica ISM · Validar</x:v>
      </x:c>
    </x:row>
    <x:row r="19">
      <x:c r="A19" s="77" t="str">
        <x:v>Desarrollo e Implementación</x:v>
      </x:c>
      <x:c r="B19" s="73" t="str">
        <x:v>WEB-01</x:v>
      </x:c>
      <x:c r="C19" s="73" t="str">
        <x:v>Sitio web profesional</x:v>
      </x:c>
      <x:c r="D19" s="73" t="str">
        <x:v>01 · Primeros pasos digitales</x:v>
      </x:c>
      <x:c r="E19" s="73" t="str">
        <x:v>Interfaz</x:v>
      </x:c>
      <x:c r="F19" s="73" t="str">
        <x:v>WEB-014</x:v>
      </x:c>
      <x:c r="G19" s="73" t="str">
        <x:v>Desarrollo de formulario de contacto</x:v>
      </x:c>
      <x:c r="H19" s="73" t="str">
        <x:v>Formulario</x:v>
      </x:c>
      <x:c r="I19" s="85" t="n">
        <x:v>1</x:v>
      </x:c>
      <x:c r="J19" s="73" t="str">
        <x:v>Sí</x:v>
      </x:c>
      <x:c r="K19" s="73" t="str">
        <x:v>No</x:v>
      </x:c>
      <x:c r="L19" s="85" t="n">
        <x:v>2.5</x:v>
      </x:c>
      <x:c r="M19" s="85" t="str">
        <x:v>Parcial</x:v>
      </x:c>
      <x:c r="N19" s="85" t="n">
        <x:v>0.75</x:v>
      </x:c>
      <x:c r="O19" s="85" t="n">
        <x:f>L19*N19</x:f>
        <x:v>1.875</x:v>
      </x:c>
      <x:c r="P19" s="85" t="str">
        <x:v>Alta</x:v>
      </x:c>
      <x:c r="Q19" s="85" t="n">
        <x:v>1</x:v>
      </x:c>
      <x:c r="R19" s="85" t="n">
        <x:v>1.45</x:v>
      </x:c>
      <x:c r="S19" s="85" t="n">
        <x:v>1.8</x:v>
      </x:c>
      <x:c r="T19" s="85" t="n">
        <x:f>IF(J19="Sí",I19*O19*Q19,0)</x:f>
        <x:v>1.875</x:v>
      </x:c>
      <x:c r="U19" s="85" t="n">
        <x:f>IF(J19="Sí",I19*O19*R19,0)</x:f>
        <x:v>2.71875</x:v>
      </x:c>
      <x:c r="V19" s="85" t="n">
        <x:f>IF(J19="Sí",I19*O19*S19,0)</x:f>
        <x:v>3.375</x:v>
      </x:c>
      <x:c r="W19" s="73"/>
      <x:c r="X19" s="73" t="str">
        <x:v>Formulario validado</x:v>
      </x:c>
      <x:c r="Y19" s="73" t="str">
        <x:v>Campos, validaciones, estados y confirmación</x:v>
      </x:c>
      <x:c r="Z19" s="73" t="str">
        <x:v>Integraciones CRM avanzadas</x:v>
      </x:c>
      <x:c r="AA19" s="73" t="str">
        <x:v>Preliminar</x:v>
      </x:c>
      <x:c r="AB19" s="78" t="str">
        <x:v>Estimación técnica ISM · Validar</x:v>
      </x:c>
    </x:row>
    <x:row r="20">
      <x:c r="A20" s="77" t="str">
        <x:v>Desarrollo e Implementación</x:v>
      </x:c>
      <x:c r="B20" s="73" t="str">
        <x:v>WEB-01</x:v>
      </x:c>
      <x:c r="C20" s="73" t="str">
        <x:v>Sitio web profesional</x:v>
      </x:c>
      <x:c r="D20" s="73" t="str">
        <x:v>01 · Primeros pasos digitales</x:v>
      </x:c>
      <x:c r="E20" s="73" t="str">
        <x:v>Interfaz</x:v>
      </x:c>
      <x:c r="F20" s="73" t="str">
        <x:v>WEB-015</x:v>
      </x:c>
      <x:c r="G20" s="73" t="str">
        <x:v>Desarrollo de footer</x:v>
      </x:c>
      <x:c r="H20" s="73" t="str">
        <x:v>Componente</x:v>
      </x:c>
      <x:c r="I20" s="85" t="n">
        <x:v>1</x:v>
      </x:c>
      <x:c r="J20" s="73" t="str">
        <x:v>Sí</x:v>
      </x:c>
      <x:c r="K20" s="73" t="str">
        <x:v>Sí</x:v>
      </x:c>
      <x:c r="L20" s="85" t="n">
        <x:v>0.75</x:v>
      </x:c>
      <x:c r="M20" s="85" t="str">
        <x:v>Alta</x:v>
      </x:c>
      <x:c r="N20" s="85" t="n">
        <x:v>0.55</x:v>
      </x:c>
      <x:c r="O20" s="85" t="n">
        <x:f>L20*N20</x:f>
        <x:v>0.41250000000000003</x:v>
      </x:c>
      <x:c r="P20" s="85" t="str">
        <x:v>Baja</x:v>
      </x:c>
      <x:c r="Q20" s="85" t="n">
        <x:v>1</x:v>
      </x:c>
      <x:c r="R20" s="85" t="n">
        <x:v>1.15</x:v>
      </x:c>
      <x:c r="S20" s="85" t="n">
        <x:v>1.3</x:v>
      </x:c>
      <x:c r="T20" s="85" t="n">
        <x:f>IF(J20="Sí",I20*O20*Q20,0)</x:f>
        <x:v>0.41250000000000003</x:v>
      </x:c>
      <x:c r="U20" s="85" t="n">
        <x:f>IF(J20="Sí",I20*O20*R20,0)</x:f>
        <x:v>0.474375</x:v>
      </x:c>
      <x:c r="V20" s="85" t="n">
        <x:f>IF(J20="Sí",I20*O20*S20,0)</x:f>
        <x:v>0.5362500000000001</x:v>
      </x:c>
      <x:c r="W20" s="73"/>
      <x:c r="X20" s="73" t="str">
        <x:v>Footer funcional</x:v>
      </x:c>
      <x:c r="Y20" s="73" t="str">
        <x:v>Datos de contacto, enlaces, redes y estructura del pie de página.</x:v>
      </x:c>
      <x:c r="Z20" s="73" t="str">
        <x:v>La adaptación responsive transversal se contabiliza en WEB-022.</x:v>
      </x:c>
      <x:c r="AA20" s="73" t="str">
        <x:v>Preliminar</x:v>
      </x:c>
      <x:c r="AB20" s="78" t="str">
        <x:v>Estimación técnica ISM · Validar</x:v>
      </x:c>
    </x:row>
    <x:row r="21">
      <x:c r="A21" s="77" t="str">
        <x:v>Desarrollo e Implementación</x:v>
      </x:c>
      <x:c r="B21" s="73" t="str">
        <x:v>WEB-01</x:v>
      </x:c>
      <x:c r="C21" s="73" t="str">
        <x:v>Sitio web profesional</x:v>
      </x:c>
      <x:c r="D21" s="73" t="str">
        <x:v>01 · Primeros pasos digitales</x:v>
      </x:c>
      <x:c r="E21" s="73" t="str">
        <x:v>Página interna</x:v>
      </x:c>
      <x:c r="F21" s="73" t="str">
        <x:v>WEB-016</x:v>
      </x:c>
      <x:c r="G21" s="73" t="str">
        <x:v>Desarrollo de página interna estándar</x:v>
      </x:c>
      <x:c r="H21" s="73" t="str">
        <x:v>Página</x:v>
      </x:c>
      <x:c r="I21" s="85" t="n">
        <x:v>1</x:v>
      </x:c>
      <x:c r="J21" s="73" t="str">
        <x:v>No</x:v>
      </x:c>
      <x:c r="K21" s="73" t="str">
        <x:v>No</x:v>
      </x:c>
      <x:c r="L21" s="85" t="n">
        <x:v>2.5</x:v>
      </x:c>
      <x:c r="M21" s="85" t="str">
        <x:v>Parcial</x:v>
      </x:c>
      <x:c r="N21" s="85" t="n">
        <x:v>0.75</x:v>
      </x:c>
      <x:c r="O21" s="85" t="n">
        <x:f>L21*N21</x:f>
        <x:v>1.875</x:v>
      </x:c>
      <x:c r="P21" s="85" t="str">
        <x:v>Media</x:v>
      </x:c>
      <x:c r="Q21" s="85" t="n">
        <x:v>1</x:v>
      </x:c>
      <x:c r="R21" s="85" t="n">
        <x:v>1.3</x:v>
      </x:c>
      <x:c r="S21" s="85" t="n">
        <x:v>1.55</x:v>
      </x:c>
      <x:c r="T21" s="85" t="n">
        <x:f>IF(J21="Sí",I21*O21*Q21,0)</x:f>
        <x:v>0</x:v>
      </x:c>
      <x:c r="U21" s="85" t="n">
        <x:f>IF(J21="Sí",I21*O21*R21,0)</x:f>
        <x:v>0</x:v>
      </x:c>
      <x:c r="V21" s="85" t="n">
        <x:f>IF(J21="Sí",I21*O21*S21,0)</x:f>
        <x:v>0</x:v>
      </x:c>
      <x:c r="W21" s="73"/>
      <x:c r="X21" s="73" t="str">
        <x:v>Página interna</x:v>
      </x:c>
      <x:c r="Y21" s="73" t="str">
        <x:v>Plantilla, contenido, responsive y navegación</x:v>
      </x:c>
      <x:c r="Z21" s="73"/>
      <x:c r="AA21" s="73" t="str">
        <x:v>Preliminar</x:v>
      </x:c>
      <x:c r="AB21" s="78" t="str">
        <x:v>Estimación técnica ISM · Validar</x:v>
      </x:c>
    </x:row>
    <x:row r="22">
      <x:c r="A22" s="77" t="str">
        <x:v>Desarrollo e Implementación</x:v>
      </x:c>
      <x:c r="B22" s="73" t="str">
        <x:v>WEB-01</x:v>
      </x:c>
      <x:c r="C22" s="73" t="str">
        <x:v>Sitio web profesional</x:v>
      </x:c>
      <x:c r="D22" s="73" t="str">
        <x:v>01 · Primeros pasos digitales</x:v>
      </x:c>
      <x:c r="E22" s="73" t="str">
        <x:v>Integración</x:v>
      </x:c>
      <x:c r="F22" s="73" t="str">
        <x:v>WEB-017</x:v>
      </x:c>
      <x:c r="G22" s="73" t="str">
        <x:v>Integración de WhatsApp</x:v>
      </x:c>
      <x:c r="H22" s="73" t="str">
        <x:v>Integración</x:v>
      </x:c>
      <x:c r="I22" s="85" t="n">
        <x:v>1</x:v>
      </x:c>
      <x:c r="J22" s="73" t="str">
        <x:v>Sí</x:v>
      </x:c>
      <x:c r="K22" s="73" t="str">
        <x:v>No</x:v>
      </x:c>
      <x:c r="L22" s="85" t="n">
        <x:v>0.5</x:v>
      </x:c>
      <x:c r="M22" s="85" t="str">
        <x:v>Alta</x:v>
      </x:c>
      <x:c r="N22" s="85" t="n">
        <x:v>0.5</x:v>
      </x:c>
      <x:c r="O22" s="85" t="n">
        <x:f>L22*N22</x:f>
        <x:v>0.25</x:v>
      </x:c>
      <x:c r="P22" s="85" t="str">
        <x:v>Baja</x:v>
      </x:c>
      <x:c r="Q22" s="85" t="n">
        <x:v>1</x:v>
      </x:c>
      <x:c r="R22" s="85" t="n">
        <x:v>1.15</x:v>
      </x:c>
      <x:c r="S22" s="85" t="n">
        <x:v>1.3</x:v>
      </x:c>
      <x:c r="T22" s="85" t="n">
        <x:f>IF(J22="Sí",I22*O22*Q22,0)</x:f>
        <x:v>0.25</x:v>
      </x:c>
      <x:c r="U22" s="85" t="n">
        <x:f>IF(J22="Sí",I22*O22*R22,0)</x:f>
        <x:v>0.2875</x:v>
      </x:c>
      <x:c r="V22" s="85" t="n">
        <x:f>IF(J22="Sí",I22*O22*S22,0)</x:f>
        <x:v>0.325</x:v>
      </x:c>
      <x:c r="W22" s="73"/>
      <x:c r="X22" s="73" t="str">
        <x:v>Enlace WhatsApp</x:v>
      </x:c>
      <x:c r="Y22" s="73" t="str">
        <x:v>Botón, mensaje inicial y enlace validado</x:v>
      </x:c>
      <x:c r="Z22" s="73"/>
      <x:c r="AA22" s="73" t="str">
        <x:v>Preliminar</x:v>
      </x:c>
      <x:c r="AB22" s="78" t="str">
        <x:v>Estimación técnica ISM · Validar</x:v>
      </x:c>
    </x:row>
    <x:row r="23">
      <x:c r="A23" s="77" t="str">
        <x:v>Desarrollo e Implementación</x:v>
      </x:c>
      <x:c r="B23" s="73" t="str">
        <x:v>WEB-01</x:v>
      </x:c>
      <x:c r="C23" s="73" t="str">
        <x:v>Sitio web profesional</x:v>
      </x:c>
      <x:c r="D23" s="73" t="str">
        <x:v>01 · Primeros pasos digitales</x:v>
      </x:c>
      <x:c r="E23" s="73" t="str">
        <x:v>Integración</x:v>
      </x:c>
      <x:c r="F23" s="73" t="str">
        <x:v>WEB-018</x:v>
      </x:c>
      <x:c r="G23" s="73" t="str">
        <x:v>Integración de redes sociales</x:v>
      </x:c>
      <x:c r="H23" s="73" t="str">
        <x:v>Integración</x:v>
      </x:c>
      <x:c r="I23" s="85" t="n">
        <x:v>1</x:v>
      </x:c>
      <x:c r="J23" s="73" t="str">
        <x:v>Sí</x:v>
      </x:c>
      <x:c r="K23" s="73" t="str">
        <x:v>No</x:v>
      </x:c>
      <x:c r="L23" s="85" t="n">
        <x:v>0.5</x:v>
      </x:c>
      <x:c r="M23" s="85" t="str">
        <x:v>Alta</x:v>
      </x:c>
      <x:c r="N23" s="85" t="n">
        <x:v>0.5</x:v>
      </x:c>
      <x:c r="O23" s="85" t="n">
        <x:f>L23*N23</x:f>
        <x:v>0.25</x:v>
      </x:c>
      <x:c r="P23" s="85" t="str">
        <x:v>Baja</x:v>
      </x:c>
      <x:c r="Q23" s="85" t="n">
        <x:v>1</x:v>
      </x:c>
      <x:c r="R23" s="85" t="n">
        <x:v>1.15</x:v>
      </x:c>
      <x:c r="S23" s="85" t="n">
        <x:v>1.3</x:v>
      </x:c>
      <x:c r="T23" s="85" t="n">
        <x:f>IF(J23="Sí",I23*O23*Q23,0)</x:f>
        <x:v>0.25</x:v>
      </x:c>
      <x:c r="U23" s="85" t="n">
        <x:f>IF(J23="Sí",I23*O23*R23,0)</x:f>
        <x:v>0.2875</x:v>
      </x:c>
      <x:c r="V23" s="85" t="n">
        <x:f>IF(J23="Sí",I23*O23*S23,0)</x:f>
        <x:v>0.325</x:v>
      </x:c>
      <x:c r="W23" s="73"/>
      <x:c r="X23" s="73" t="str">
        <x:v>Enlaces sociales</x:v>
      </x:c>
      <x:c r="Y23" s="73" t="str">
        <x:v>Enlaces y comportamiento externo</x:v>
      </x:c>
      <x:c r="Z23" s="73"/>
      <x:c r="AA23" s="73" t="str">
        <x:v>Preliminar</x:v>
      </x:c>
      <x:c r="AB23" s="78" t="str">
        <x:v>Estimación técnica ISM · Validar</x:v>
      </x:c>
    </x:row>
    <x:row r="24">
      <x:c r="A24" s="77" t="str">
        <x:v>Desarrollo e Implementación</x:v>
      </x:c>
      <x:c r="B24" s="73" t="str">
        <x:v>WEB-01</x:v>
      </x:c>
      <x:c r="C24" s="73" t="str">
        <x:v>Sitio web profesional</x:v>
      </x:c>
      <x:c r="D24" s="73" t="str">
        <x:v>01 · Primeros pasos digitales</x:v>
      </x:c>
      <x:c r="E24" s="73" t="str">
        <x:v>Integración</x:v>
      </x:c>
      <x:c r="F24" s="73" t="str">
        <x:v>WEB-019</x:v>
      </x:c>
      <x:c r="G24" s="73" t="str">
        <x:v>Integración de Google Maps</x:v>
      </x:c>
      <x:c r="H24" s="73" t="str">
        <x:v>Integración</x:v>
      </x:c>
      <x:c r="I24" s="85" t="n">
        <x:v>1</x:v>
      </x:c>
      <x:c r="J24" s="73" t="str">
        <x:v>Sí</x:v>
      </x:c>
      <x:c r="K24" s="73" t="str">
        <x:v>No</x:v>
      </x:c>
      <x:c r="L24" s="85" t="n">
        <x:v>0.5</x:v>
      </x:c>
      <x:c r="M24" s="85" t="str">
        <x:v>Alta</x:v>
      </x:c>
      <x:c r="N24" s="85" t="n">
        <x:v>0.55</x:v>
      </x:c>
      <x:c r="O24" s="85" t="n">
        <x:f>L24*N24</x:f>
        <x:v>0.275</x:v>
      </x:c>
      <x:c r="P24" s="85" t="str">
        <x:v>Baja</x:v>
      </x:c>
      <x:c r="Q24" s="85" t="n">
        <x:v>1</x:v>
      </x:c>
      <x:c r="R24" s="85" t="n">
        <x:v>1.15</x:v>
      </x:c>
      <x:c r="S24" s="85" t="n">
        <x:v>1.3</x:v>
      </x:c>
      <x:c r="T24" s="85" t="n">
        <x:f>IF(J24="Sí",I24*O24*Q24,0)</x:f>
        <x:v>0.275</x:v>
      </x:c>
      <x:c r="U24" s="85" t="n">
        <x:f>IF(J24="Sí",I24*O24*R24,0)</x:f>
        <x:v>0.31625</x:v>
      </x:c>
      <x:c r="V24" s="85" t="n">
        <x:f>IF(J24="Sí",I24*O24*S24,0)</x:f>
        <x:v>0.35750000000000004</x:v>
      </x:c>
      <x:c r="W24" s="73"/>
      <x:c r="X24" s="73" t="str">
        <x:v>Mapa integrado</x:v>
      </x:c>
      <x:c r="Y24" s="73" t="str">
        <x:v>Ubicación, marcador, enlace y accesibilidad básica del mapa.</x:v>
      </x:c>
      <x:c r="Z24" s="73" t="str">
        <x:v>La adaptación responsive transversal se contabiliza en WEB-022.</x:v>
      </x:c>
      <x:c r="AA24" s="73" t="str">
        <x:v>Preliminar</x:v>
      </x:c>
      <x:c r="AB24" s="78" t="str">
        <x:v>Estimación técnica ISM · Validar</x:v>
      </x:c>
    </x:row>
    <x:row r="25">
      <x:c r="A25" s="77" t="str">
        <x:v>Desarrollo e Implementación</x:v>
      </x:c>
      <x:c r="B25" s="73" t="str">
        <x:v>WEB-01</x:v>
      </x:c>
      <x:c r="C25" s="73" t="str">
        <x:v>Sitio web profesional</x:v>
      </x:c>
      <x:c r="D25" s="73" t="str">
        <x:v>01 · Primeros pasos digitales</x:v>
      </x:c>
      <x:c r="E25" s="73" t="str">
        <x:v>Integración</x:v>
      </x:c>
      <x:c r="F25" s="73" t="str">
        <x:v>WEB-020</x:v>
      </x:c>
      <x:c r="G25" s="73" t="str">
        <x:v>Configuración de envío de formulario por correo</x:v>
      </x:c>
      <x:c r="H25" s="73" t="str">
        <x:v>Integración</x:v>
      </x:c>
      <x:c r="I25" s="85" t="n">
        <x:v>1</x:v>
      </x:c>
      <x:c r="J25" s="73" t="str">
        <x:v>Sí</x:v>
      </x:c>
      <x:c r="K25" s="73" t="str">
        <x:v>No</x:v>
      </x:c>
      <x:c r="L25" s="85" t="n">
        <x:v>2</x:v>
      </x:c>
      <x:c r="M25" s="85" t="str">
        <x:v>Parcial</x:v>
      </x:c>
      <x:c r="N25" s="85" t="n">
        <x:v>0.8</x:v>
      </x:c>
      <x:c r="O25" s="85" t="n">
        <x:f>L25*N25</x:f>
        <x:v>1.6</x:v>
      </x:c>
      <x:c r="P25" s="85" t="str">
        <x:v>Alta</x:v>
      </x:c>
      <x:c r="Q25" s="85" t="n">
        <x:v>1</x:v>
      </x:c>
      <x:c r="R25" s="85" t="n">
        <x:v>1.45</x:v>
      </x:c>
      <x:c r="S25" s="85" t="n">
        <x:v>1.8</x:v>
      </x:c>
      <x:c r="T25" s="85" t="n">
        <x:f>IF(J25="Sí",I25*O25*Q25,0)</x:f>
        <x:v>1.6</x:v>
      </x:c>
      <x:c r="U25" s="85" t="n">
        <x:f>IF(J25="Sí",I25*O25*R25,0)</x:f>
        <x:v>2.32</x:v>
      </x:c>
      <x:c r="V25" s="85" t="n">
        <x:f>IF(J25="Sí",I25*O25*S25,0)</x:f>
        <x:v>2.8800000000000003</x:v>
      </x:c>
      <x:c r="W25" s="73"/>
      <x:c r="X25" s="73" t="str">
        <x:v>Correo transaccional</x:v>
      </x:c>
      <x:c r="Y25" s="73" t="str">
        <x:v>Recepción, validación y prueba de entrega</x:v>
      </x:c>
      <x:c r="Z25" s="73" t="str">
        <x:v>Costos de proveedor externo</x:v>
      </x:c>
      <x:c r="AA25" s="73" t="str">
        <x:v>Preliminar</x:v>
      </x:c>
      <x:c r="AB25" s="78" t="str">
        <x:v>Estimación técnica ISM · Validar</x:v>
      </x:c>
    </x:row>
    <x:row r="26">
      <x:c r="A26" s="77" t="str">
        <x:v>Desarrollo e Implementación</x:v>
      </x:c>
      <x:c r="B26" s="73" t="str">
        <x:v>WEB-01</x:v>
      </x:c>
      <x:c r="C26" s="73" t="str">
        <x:v>Sitio web profesional</x:v>
      </x:c>
      <x:c r="D26" s="73" t="str">
        <x:v>01 · Primeros pasos digitales</x:v>
      </x:c>
      <x:c r="E26" s="73" t="str">
        <x:v>Contenido</x:v>
      </x:c>
      <x:c r="F26" s="73" t="str">
        <x:v>WEB-021</x:v>
      </x:c>
      <x:c r="G26" s="73" t="str">
        <x:v>Carga y formato de contenidos entregados</x:v>
      </x:c>
      <x:c r="H26" s="73" t="str">
        <x:v>Página</x:v>
      </x:c>
      <x:c r="I26" s="85" t="n">
        <x:v>1</x:v>
      </x:c>
      <x:c r="J26" s="73" t="str">
        <x:v>Sí</x:v>
      </x:c>
      <x:c r="K26" s="73" t="str">
        <x:v>No</x:v>
      </x:c>
      <x:c r="L26" s="85" t="n">
        <x:v>1.5</x:v>
      </x:c>
      <x:c r="M26" s="85" t="str">
        <x:v>Parcial</x:v>
      </x:c>
      <x:c r="N26" s="85" t="n">
        <x:v>0.75</x:v>
      </x:c>
      <x:c r="O26" s="85" t="n">
        <x:f>L26*N26</x:f>
        <x:v>1.125</x:v>
      </x:c>
      <x:c r="P26" s="85" t="str">
        <x:v>Media</x:v>
      </x:c>
      <x:c r="Q26" s="85" t="n">
        <x:v>1</x:v>
      </x:c>
      <x:c r="R26" s="85" t="n">
        <x:v>1.3</x:v>
      </x:c>
      <x:c r="S26" s="85" t="n">
        <x:v>1.55</x:v>
      </x:c>
      <x:c r="T26" s="85" t="n">
        <x:f>IF(J26="Sí",I26*O26*Q26,0)</x:f>
        <x:v>1.125</x:v>
      </x:c>
      <x:c r="U26" s="85" t="n">
        <x:f>IF(J26="Sí",I26*O26*R26,0)</x:f>
        <x:v>1.4625000000000001</x:v>
      </x:c>
      <x:c r="V26" s="85" t="n">
        <x:f>IF(J26="Sí",I26*O26*S26,0)</x:f>
        <x:v>1.7437500000000001</x:v>
      </x:c>
      <x:c r="W26" s="73"/>
      <x:c r="X26" s="73" t="str">
        <x:v>Contenido publicado</x:v>
      </x:c>
      <x:c r="Y26" s="73" t="str">
        <x:v>Carga inicial, jerarquía y formato</x:v>
      </x:c>
      <x:c r="Z26" s="73" t="str">
        <x:v>Redacción profesional y traducción</x:v>
      </x:c>
      <x:c r="AA26" s="73" t="str">
        <x:v>Preliminar</x:v>
      </x:c>
      <x:c r="AB26" s="78" t="str">
        <x:v>Estimación técnica ISM · Validar</x:v>
      </x:c>
    </x:row>
    <x:row r="27">
      <x:c r="A27" s="77" t="str">
        <x:v>Desarrollo e Implementación</x:v>
      </x:c>
      <x:c r="B27" s="73" t="str">
        <x:v>WEB-01</x:v>
      </x:c>
      <x:c r="C27" s="73" t="str">
        <x:v>Sitio web profesional</x:v>
      </x:c>
      <x:c r="D27" s="73" t="str">
        <x:v>01 · Primeros pasos digitales</x:v>
      </x:c>
      <x:c r="E27" s="73" t="str">
        <x:v>Responsive</x:v>
      </x:c>
      <x:c r="F27" s="73" t="str">
        <x:v>WEB-022</x:v>
      </x:c>
      <x:c r="G27" s="73" t="str">
        <x:v>Implementación responsive integral</x:v>
      </x:c>
      <x:c r="H27" s="73" t="str">
        <x:v>Proyecto</x:v>
      </x:c>
      <x:c r="I27" s="85" t="n">
        <x:v>1.5</x:v>
      </x:c>
      <x:c r="J27" s="73" t="str">
        <x:v>Sí</x:v>
      </x:c>
      <x:c r="K27" s="73" t="str">
        <x:v>Sí</x:v>
      </x:c>
      <x:c r="L27" s="85" t="n">
        <x:v>3</x:v>
      </x:c>
      <x:c r="M27" s="85" t="str">
        <x:v>Parcial</x:v>
      </x:c>
      <x:c r="N27" s="85" t="n">
        <x:v>0.8</x:v>
      </x:c>
      <x:c r="O27" s="85" t="n">
        <x:f>L27*N27</x:f>
        <x:v>2.4000000000000004</x:v>
      </x:c>
      <x:c r="P27" s="85" t="str">
        <x:v>Alta</x:v>
      </x:c>
      <x:c r="Q27" s="85" t="n">
        <x:v>1</x:v>
      </x:c>
      <x:c r="R27" s="85" t="n">
        <x:v>1.45</x:v>
      </x:c>
      <x:c r="S27" s="85" t="n">
        <x:v>1.8</x:v>
      </x:c>
      <x:c r="T27" s="85" t="n">
        <x:f>IF(J27="Sí",I27*O27*Q27,0)</x:f>
        <x:v>3.6000000000000005</x:v>
      </x:c>
      <x:c r="U27" s="85" t="n">
        <x:f>IF(J27="Sí",I27*O27*R27,0)</x:f>
        <x:v>5.220000000000001</x:v>
      </x:c>
      <x:c r="V27" s="85" t="n">
        <x:f>IF(J27="Sí",I27*O27*S27,0)</x:f>
        <x:v>6.480000000000001</x:v>
      </x:c>
      <x:c r="W27" s="73" t="str">
        <x:v>WEB-007, WEB-008, WEB-009, WEB-010, WEB-014, WEB-015 y actividades visuales seleccionadas</x:v>
      </x:c>
      <x:c r="X27" s="73" t="str">
        <x:v>Sitio responsive</x:v>
      </x:c>
      <x:c r="Y27" s="73" t="str">
        <x:v>Única actividad de construcción responsive transversal para móvil, tablet y escritorio.</x:v>
      </x:c>
      <x:c r="Z27" s="73" t="str">
        <x:v>No incluye las pruebas de compatibilidad, que se contabilizan en WEB-031.</x:v>
      </x:c>
      <x:c r="AA27" s="73" t="str">
        <x:v>Preliminar</x:v>
      </x:c>
      <x:c r="AB27" s="78" t="str">
        <x:v>Estimación técnica ISM · Validar</x:v>
      </x:c>
    </x:row>
    <x:row r="28">
      <x:c r="A28" s="77" t="str">
        <x:v>Desarrollo e Implementación</x:v>
      </x:c>
      <x:c r="B28" s="73" t="str">
        <x:v>WEB-01</x:v>
      </x:c>
      <x:c r="C28" s="73" t="str">
        <x:v>Sitio web profesional</x:v>
      </x:c>
      <x:c r="D28" s="73" t="str">
        <x:v>01 · Primeros pasos digitales</x:v>
      </x:c>
      <x:c r="E28" s="73" t="str">
        <x:v>SEO</x:v>
      </x:c>
      <x:c r="F28" s="73" t="str">
        <x:v>WEB-023</x:v>
      </x:c>
      <x:c r="G28" s="73" t="str">
        <x:v>SEO técnico inicial y metadatos</x:v>
      </x:c>
      <x:c r="H28" s="73" t="str">
        <x:v>Proyecto</x:v>
      </x:c>
      <x:c r="I28" s="85" t="n">
        <x:v>1</x:v>
      </x:c>
      <x:c r="J28" s="73" t="str">
        <x:v>Sí</x:v>
      </x:c>
      <x:c r="K28" s="73" t="str">
        <x:v>No</x:v>
      </x:c>
      <x:c r="L28" s="85" t="n">
        <x:v>1.5</x:v>
      </x:c>
      <x:c r="M28" s="85" t="str">
        <x:v>Parcial</x:v>
      </x:c>
      <x:c r="N28" s="85" t="n">
        <x:v>0.75</x:v>
      </x:c>
      <x:c r="O28" s="85" t="n">
        <x:f>L28*N28</x:f>
        <x:v>1.125</x:v>
      </x:c>
      <x:c r="P28" s="85" t="str">
        <x:v>Media</x:v>
      </x:c>
      <x:c r="Q28" s="85" t="n">
        <x:v>1</x:v>
      </x:c>
      <x:c r="R28" s="85" t="n">
        <x:v>1.3</x:v>
      </x:c>
      <x:c r="S28" s="85" t="n">
        <x:v>1.55</x:v>
      </x:c>
      <x:c r="T28" s="85" t="n">
        <x:f>IF(J28="Sí",I28*O28*Q28,0)</x:f>
        <x:v>1.125</x:v>
      </x:c>
      <x:c r="U28" s="85" t="n">
        <x:f>IF(J28="Sí",I28*O28*R28,0)</x:f>
        <x:v>1.4625000000000001</x:v>
      </x:c>
      <x:c r="V28" s="85" t="n">
        <x:f>IF(J28="Sí",I28*O28*S28,0)</x:f>
        <x:v>1.7437500000000001</x:v>
      </x:c>
      <x:c r="W28" s="73"/>
      <x:c r="X28" s="73" t="str">
        <x:v>Metadatos configurados</x:v>
      </x:c>
      <x:c r="Y28" s="73" t="str">
        <x:v>Titles, descriptions, canonical y etiquetas sociales</x:v>
      </x:c>
      <x:c r="Z28" s="73" t="str">
        <x:v>Estrategia SEO mensual</x:v>
      </x:c>
      <x:c r="AA28" s="73" t="str">
        <x:v>Preliminar</x:v>
      </x:c>
      <x:c r="AB28" s="78" t="str">
        <x:v>Estimación técnica ISM · Validar</x:v>
      </x:c>
    </x:row>
    <x:row r="29">
      <x:c r="A29" s="77" t="str">
        <x:v>Desarrollo e Implementación</x:v>
      </x:c>
      <x:c r="B29" s="73" t="str">
        <x:v>WEB-01</x:v>
      </x:c>
      <x:c r="C29" s="73" t="str">
        <x:v>Sitio web profesional</x:v>
      </x:c>
      <x:c r="D29" s="73" t="str">
        <x:v>01 · Primeros pasos digitales</x:v>
      </x:c>
      <x:c r="E29" s="73" t="str">
        <x:v>SEO</x:v>
      </x:c>
      <x:c r="F29" s="73" t="str">
        <x:v>WEB-024</x:v>
      </x:c>
      <x:c r="G29" s="73" t="str">
        <x:v>Sitemap, robots y estructura indexable</x:v>
      </x:c>
      <x:c r="H29" s="73" t="str">
        <x:v>Proyecto</x:v>
      </x:c>
      <x:c r="I29" s="85" t="n">
        <x:v>0.5</x:v>
      </x:c>
      <x:c r="J29" s="73" t="str">
        <x:v>Sí</x:v>
      </x:c>
      <x:c r="K29" s="73" t="str">
        <x:v>No</x:v>
      </x:c>
      <x:c r="L29" s="85" t="n">
        <x:v>0.75</x:v>
      </x:c>
      <x:c r="M29" s="85" t="str">
        <x:v>Alta</x:v>
      </x:c>
      <x:c r="N29" s="85" t="n">
        <x:v>0.55</x:v>
      </x:c>
      <x:c r="O29" s="85" t="n">
        <x:f>L29*N29</x:f>
        <x:v>0.41250000000000003</x:v>
      </x:c>
      <x:c r="P29" s="85" t="str">
        <x:v>Baja</x:v>
      </x:c>
      <x:c r="Q29" s="85" t="n">
        <x:v>1</x:v>
      </x:c>
      <x:c r="R29" s="85" t="n">
        <x:v>1.15</x:v>
      </x:c>
      <x:c r="S29" s="85" t="n">
        <x:v>1.3</x:v>
      </x:c>
      <x:c r="T29" s="85" t="n">
        <x:f>IF(J29="Sí",I29*O29*Q29,0)</x:f>
        <x:v>0.20625000000000002</x:v>
      </x:c>
      <x:c r="U29" s="85" t="n">
        <x:f>IF(J29="Sí",I29*O29*R29,0)</x:f>
        <x:v>0.2371875</x:v>
      </x:c>
      <x:c r="V29" s="85" t="n">
        <x:f>IF(J29="Sí",I29*O29*S29,0)</x:f>
        <x:v>0.26812500000000006</x:v>
      </x:c>
      <x:c r="W29" s="73"/>
      <x:c r="X29" s="73" t="str">
        <x:v>Archivos SEO</x:v>
      </x:c>
      <x:c r="Y29" s="73" t="str">
        <x:v>Sitemap, robots y revisión de indexabilidad</x:v>
      </x:c>
      <x:c r="Z29" s="73"/>
      <x:c r="AA29" s="73" t="str">
        <x:v>Preliminar</x:v>
      </x:c>
      <x:c r="AB29" s="78" t="str">
        <x:v>Estimación técnica ISM · Validar</x:v>
      </x:c>
    </x:row>
    <x:row r="30">
      <x:c r="A30" s="77" t="str">
        <x:v>Desarrollo e Implementación</x:v>
      </x:c>
      <x:c r="B30" s="73" t="str">
        <x:v>WEB-01</x:v>
      </x:c>
      <x:c r="C30" s="73" t="str">
        <x:v>Sitio web profesional</x:v>
      </x:c>
      <x:c r="D30" s="73" t="str">
        <x:v>01 · Primeros pasos digitales</x:v>
      </x:c>
      <x:c r="E30" s="73" t="str">
        <x:v>SEO</x:v>
      </x:c>
      <x:c r="F30" s="73" t="str">
        <x:v>WEB-025</x:v>
      </x:c>
      <x:c r="G30" s="73" t="str">
        <x:v>Datos estructurados básicos</x:v>
      </x:c>
      <x:c r="H30" s="73" t="str">
        <x:v>Proyecto</x:v>
      </x:c>
      <x:c r="I30" s="85" t="n">
        <x:v>1</x:v>
      </x:c>
      <x:c r="J30" s="73" t="str">
        <x:v>No</x:v>
      </x:c>
      <x:c r="K30" s="73" t="str">
        <x:v>No</x:v>
      </x:c>
      <x:c r="L30" s="85" t="n">
        <x:v>1</x:v>
      </x:c>
      <x:c r="M30" s="85" t="str">
        <x:v>Parcial</x:v>
      </x:c>
      <x:c r="N30" s="85" t="n">
        <x:v>0.75</x:v>
      </x:c>
      <x:c r="O30" s="85" t="n">
        <x:f>L30*N30</x:f>
        <x:v>0.75</x:v>
      </x:c>
      <x:c r="P30" s="85" t="str">
        <x:v>Media</x:v>
      </x:c>
      <x:c r="Q30" s="85" t="n">
        <x:v>1</x:v>
      </x:c>
      <x:c r="R30" s="85" t="n">
        <x:v>1.3</x:v>
      </x:c>
      <x:c r="S30" s="85" t="n">
        <x:v>1.55</x:v>
      </x:c>
      <x:c r="T30" s="85" t="n">
        <x:f>IF(J30="Sí",I30*O30*Q30,0)</x:f>
        <x:v>0</x:v>
      </x:c>
      <x:c r="U30" s="85" t="n">
        <x:f>IF(J30="Sí",I30*O30*R30,0)</x:f>
        <x:v>0</x:v>
      </x:c>
      <x:c r="V30" s="85" t="n">
        <x:f>IF(J30="Sí",I30*O30*S30,0)</x:f>
        <x:v>0</x:v>
      </x:c>
      <x:c r="W30" s="73"/>
      <x:c r="X30" s="73" t="str">
        <x:v>Schema básico</x:v>
      </x:c>
      <x:c r="Y30" s="73" t="str">
        <x:v>Organization, LocalBusiness o Service según alcance</x:v>
      </x:c>
      <x:c r="Z30" s="73"/>
      <x:c r="AA30" s="73" t="str">
        <x:v>Preliminar</x:v>
      </x:c>
      <x:c r="AB30" s="78" t="str">
        <x:v>Estimación técnica ISM · Validar</x:v>
      </x:c>
    </x:row>
    <x:row r="31">
      <x:c r="A31" s="77" t="str">
        <x:v>Desarrollo e Implementación</x:v>
      </x:c>
      <x:c r="B31" s="73" t="str">
        <x:v>WEB-01</x:v>
      </x:c>
      <x:c r="C31" s="73" t="str">
        <x:v>Sitio web profesional</x:v>
      </x:c>
      <x:c r="D31" s="73" t="str">
        <x:v>01 · Primeros pasos digitales</x:v>
      </x:c>
      <x:c r="E31" s="73" t="str">
        <x:v>Rendimiento</x:v>
      </x:c>
      <x:c r="F31" s="73" t="str">
        <x:v>WEB-026</x:v>
      </x:c>
      <x:c r="G31" s="73" t="str">
        <x:v>Optimización de imágenes y recursos</x:v>
      </x:c>
      <x:c r="H31" s="73" t="str">
        <x:v>Proyecto</x:v>
      </x:c>
      <x:c r="I31" s="85" t="n">
        <x:v>1</x:v>
      </x:c>
      <x:c r="J31" s="73" t="str">
        <x:v>Sí</x:v>
      </x:c>
      <x:c r="K31" s="73" t="str">
        <x:v>No</x:v>
      </x:c>
      <x:c r="L31" s="85" t="n">
        <x:v>1.5</x:v>
      </x:c>
      <x:c r="M31" s="85" t="str">
        <x:v>Parcial</x:v>
      </x:c>
      <x:c r="N31" s="85" t="n">
        <x:v>0.7</x:v>
      </x:c>
      <x:c r="O31" s="85" t="n">
        <x:f>L31*N31</x:f>
        <x:v>1.0499999999999998</x:v>
      </x:c>
      <x:c r="P31" s="85" t="str">
        <x:v>Media</x:v>
      </x:c>
      <x:c r="Q31" s="85" t="n">
        <x:v>1</x:v>
      </x:c>
      <x:c r="R31" s="85" t="n">
        <x:v>1.3</x:v>
      </x:c>
      <x:c r="S31" s="85" t="n">
        <x:v>1.55</x:v>
      </x:c>
      <x:c r="T31" s="85" t="n">
        <x:f>IF(J31="Sí",I31*O31*Q31,0)</x:f>
        <x:v>1.0499999999999998</x:v>
      </x:c>
      <x:c r="U31" s="85" t="n">
        <x:f>IF(J31="Sí",I31*O31*R31,0)</x:f>
        <x:v>1.3649999999999998</x:v>
      </x:c>
      <x:c r="V31" s="85" t="n">
        <x:f>IF(J31="Sí",I31*O31*S31,0)</x:f>
        <x:v>1.6274999999999997</x:v>
      </x:c>
      <x:c r="W31" s="73"/>
      <x:c r="X31" s="73" t="str">
        <x:v>Recursos optimizados</x:v>
      </x:c>
      <x:c r="Y31" s="73" t="str">
        <x:v>Compresión, formatos, lazy loading y revisión de peso</x:v>
      </x:c>
      <x:c r="Z31" s="73"/>
      <x:c r="AA31" s="73" t="str">
        <x:v>Preliminar</x:v>
      </x:c>
      <x:c r="AB31" s="78" t="str">
        <x:v>Estimación técnica ISM · Validar</x:v>
      </x:c>
    </x:row>
    <x:row r="32">
      <x:c r="A32" s="77" t="str">
        <x:v>Desarrollo e Implementación</x:v>
      </x:c>
      <x:c r="B32" s="73" t="str">
        <x:v>WEB-01</x:v>
      </x:c>
      <x:c r="C32" s="73" t="str">
        <x:v>Sitio web profesional</x:v>
      </x:c>
      <x:c r="D32" s="73" t="str">
        <x:v>01 · Primeros pasos digitales</x:v>
      </x:c>
      <x:c r="E32" s="73" t="str">
        <x:v>Accesibilidad</x:v>
      </x:c>
      <x:c r="F32" s="73" t="str">
        <x:v>WEB-027</x:v>
      </x:c>
      <x:c r="G32" s="73" t="str">
        <x:v>Revisión de accesibilidad básica</x:v>
      </x:c>
      <x:c r="H32" s="73" t="str">
        <x:v>Proyecto</x:v>
      </x:c>
      <x:c r="I32" s="85" t="n">
        <x:v>1</x:v>
      </x:c>
      <x:c r="J32" s="73" t="str">
        <x:v>Sí</x:v>
      </x:c>
      <x:c r="K32" s="73" t="str">
        <x:v>No</x:v>
      </x:c>
      <x:c r="L32" s="85" t="n">
        <x:v>1.25</x:v>
      </x:c>
      <x:c r="M32" s="85" t="str">
        <x:v>Parcial</x:v>
      </x:c>
      <x:c r="N32" s="85" t="n">
        <x:v>0.75</x:v>
      </x:c>
      <x:c r="O32" s="85" t="n">
        <x:f>L32*N32</x:f>
        <x:v>0.9375</x:v>
      </x:c>
      <x:c r="P32" s="85" t="str">
        <x:v>Media</x:v>
      </x:c>
      <x:c r="Q32" s="85" t="n">
        <x:v>1</x:v>
      </x:c>
      <x:c r="R32" s="85" t="n">
        <x:v>1.3</x:v>
      </x:c>
      <x:c r="S32" s="85" t="n">
        <x:v>1.55</x:v>
      </x:c>
      <x:c r="T32" s="85" t="n">
        <x:f>IF(J32="Sí",I32*O32*Q32,0)</x:f>
        <x:v>0.9375</x:v>
      </x:c>
      <x:c r="U32" s="85" t="n">
        <x:f>IF(J32="Sí",I32*O32*R32,0)</x:f>
        <x:v>1.21875</x:v>
      </x:c>
      <x:c r="V32" s="85" t="n">
        <x:f>IF(J32="Sí",I32*O32*S32,0)</x:f>
        <x:v>1.453125</x:v>
      </x:c>
      <x:c r="W32" s="73"/>
      <x:c r="X32" s="73" t="str">
        <x:v>Checklist de accesibilidad</x:v>
      </x:c>
      <x:c r="Y32" s="73" t="str">
        <x:v>Semántica, contraste, foco, etiquetas y navegación</x:v>
      </x:c>
      <x:c r="Z32" s="73"/>
      <x:c r="AA32" s="73" t="str">
        <x:v>Preliminar</x:v>
      </x:c>
      <x:c r="AB32" s="78" t="str">
        <x:v>Estimación técnica ISM · Validar</x:v>
      </x:c>
    </x:row>
    <x:row r="33">
      <x:c r="A33" s="77" t="str">
        <x:v>Desarrollo e Implementación</x:v>
      </x:c>
      <x:c r="B33" s="73" t="str">
        <x:v>WEB-01</x:v>
      </x:c>
      <x:c r="C33" s="73" t="str">
        <x:v>Sitio web profesional</x:v>
      </x:c>
      <x:c r="D33" s="73" t="str">
        <x:v>01 · Primeros pasos digitales</x:v>
      </x:c>
      <x:c r="E33" s="73" t="str">
        <x:v>Seguridad</x:v>
      </x:c>
      <x:c r="F33" s="73" t="str">
        <x:v>WEB-028</x:v>
      </x:c>
      <x:c r="G33" s="73" t="str">
        <x:v>Configuración de dominio, HTTPS y SSL</x:v>
      </x:c>
      <x:c r="H33" s="73" t="str">
        <x:v>Entorno</x:v>
      </x:c>
      <x:c r="I33" s="85" t="n">
        <x:v>1</x:v>
      </x:c>
      <x:c r="J33" s="73" t="str">
        <x:v>Sí</x:v>
      </x:c>
      <x:c r="K33" s="73" t="str">
        <x:v>No</x:v>
      </x:c>
      <x:c r="L33" s="85" t="n">
        <x:v>1.5</x:v>
      </x:c>
      <x:c r="M33" s="85" t="str">
        <x:v>Parcial</x:v>
      </x:c>
      <x:c r="N33" s="85" t="n">
        <x:v>0.75</x:v>
      </x:c>
      <x:c r="O33" s="85" t="n">
        <x:f>L33*N33</x:f>
        <x:v>1.125</x:v>
      </x:c>
      <x:c r="P33" s="85" t="str">
        <x:v>Media</x:v>
      </x:c>
      <x:c r="Q33" s="85" t="n">
        <x:v>1</x:v>
      </x:c>
      <x:c r="R33" s="85" t="n">
        <x:v>1.3</x:v>
      </x:c>
      <x:c r="S33" s="85" t="n">
        <x:v>1.55</x:v>
      </x:c>
      <x:c r="T33" s="85" t="n">
        <x:f>IF(J33="Sí",I33*O33*Q33,0)</x:f>
        <x:v>1.125</x:v>
      </x:c>
      <x:c r="U33" s="85" t="n">
        <x:f>IF(J33="Sí",I33*O33*R33,0)</x:f>
        <x:v>1.4625000000000001</x:v>
      </x:c>
      <x:c r="V33" s="85" t="n">
        <x:f>IF(J33="Sí",I33*O33*S33,0)</x:f>
        <x:v>1.7437500000000001</x:v>
      </x:c>
      <x:c r="W33" s="73"/>
      <x:c r="X33" s="73" t="str">
        <x:v>Dominio operativo</x:v>
      </x:c>
      <x:c r="Y33" s="73" t="str">
        <x:v>DNS, certificado y redirecciones</x:v>
      </x:c>
      <x:c r="Z33" s="73" t="str">
        <x:v>Compra o renovación del dominio</x:v>
      </x:c>
      <x:c r="AA33" s="73" t="str">
        <x:v>Preliminar</x:v>
      </x:c>
      <x:c r="AB33" s="78" t="str">
        <x:v>Estimación técnica ISM · Validar</x:v>
      </x:c>
    </x:row>
    <x:row r="34">
      <x:c r="A34" s="77" t="str">
        <x:v>Desarrollo e Implementación</x:v>
      </x:c>
      <x:c r="B34" s="73" t="str">
        <x:v>WEB-01</x:v>
      </x:c>
      <x:c r="C34" s="73" t="str">
        <x:v>Sitio web profesional</x:v>
      </x:c>
      <x:c r="D34" s="73" t="str">
        <x:v>01 · Primeros pasos digitales</x:v>
      </x:c>
      <x:c r="E34" s="73" t="str">
        <x:v>Analítica</x:v>
      </x:c>
      <x:c r="F34" s="73" t="str">
        <x:v>WEB-029</x:v>
      </x:c>
      <x:c r="G34" s="73" t="str">
        <x:v>Configuración de analítica básica</x:v>
      </x:c>
      <x:c r="H34" s="73" t="str">
        <x:v>Integración</x:v>
      </x:c>
      <x:c r="I34" s="85" t="n">
        <x:v>1</x:v>
      </x:c>
      <x:c r="J34" s="73" t="str">
        <x:v>No</x:v>
      </x:c>
      <x:c r="K34" s="73" t="str">
        <x:v>No</x:v>
      </x:c>
      <x:c r="L34" s="85" t="n">
        <x:v>1</x:v>
      </x:c>
      <x:c r="M34" s="85" t="str">
        <x:v>Parcial</x:v>
      </x:c>
      <x:c r="N34" s="85" t="n">
        <x:v>0.75</x:v>
      </x:c>
      <x:c r="O34" s="85" t="n">
        <x:f>L34*N34</x:f>
        <x:v>0.75</x:v>
      </x:c>
      <x:c r="P34" s="85" t="str">
        <x:v>Media</x:v>
      </x:c>
      <x:c r="Q34" s="85" t="n">
        <x:v>1</x:v>
      </x:c>
      <x:c r="R34" s="85" t="n">
        <x:v>1.3</x:v>
      </x:c>
      <x:c r="S34" s="85" t="n">
        <x:v>1.55</x:v>
      </x:c>
      <x:c r="T34" s="85" t="n">
        <x:f>IF(J34="Sí",I34*O34*Q34,0)</x:f>
        <x:v>0</x:v>
      </x:c>
      <x:c r="U34" s="85" t="n">
        <x:f>IF(J34="Sí",I34*O34*R34,0)</x:f>
        <x:v>0</x:v>
      </x:c>
      <x:c r="V34" s="85" t="n">
        <x:f>IF(J34="Sí",I34*O34*S34,0)</x:f>
        <x:v>0</x:v>
      </x:c>
      <x:c r="W34" s="73"/>
      <x:c r="X34" s="73" t="str">
        <x:v>Analítica instalada</x:v>
      </x:c>
      <x:c r="Y34" s="73" t="str">
        <x:v>Herramienta acordada y eventos básicos</x:v>
      </x:c>
      <x:c r="Z34" s="73" t="str">
        <x:v>Dashboard avanzado</x:v>
      </x:c>
      <x:c r="AA34" s="73" t="str">
        <x:v>Preliminar</x:v>
      </x:c>
      <x:c r="AB34" s="78" t="str">
        <x:v>Estimación técnica ISM · Validar</x:v>
      </x:c>
    </x:row>
    <x:row r="35">
      <x:c r="A35" s="77" t="str">
        <x:v>Desarrollo e Implementación</x:v>
      </x:c>
      <x:c r="B35" s="73" t="str">
        <x:v>WEB-01</x:v>
      </x:c>
      <x:c r="C35" s="73" t="str">
        <x:v>Sitio web profesional</x:v>
      </x:c>
      <x:c r="D35" s="73" t="str">
        <x:v>01 · Primeros pasos digitales</x:v>
      </x:c>
      <x:c r="E35" s="73" t="str">
        <x:v>Calidad</x:v>
      </x:c>
      <x:c r="F35" s="73" t="str">
        <x:v>WEB-030</x:v>
      </x:c>
      <x:c r="G35" s="73" t="str">
        <x:v>Pruebas funcionales y de navegación</x:v>
      </x:c>
      <x:c r="H35" s="73" t="str">
        <x:v>Proyecto</x:v>
      </x:c>
      <x:c r="I35" s="85" t="n">
        <x:v>1</x:v>
      </x:c>
      <x:c r="J35" s="73" t="str">
        <x:v>Sí</x:v>
      </x:c>
      <x:c r="K35" s="73" t="str">
        <x:v>Sí</x:v>
      </x:c>
      <x:c r="L35" s="85" t="n">
        <x:v>1.5</x:v>
      </x:c>
      <x:c r="M35" s="85" t="str">
        <x:v>No</x:v>
      </x:c>
      <x:c r="N35" s="85" t="n">
        <x:v>1</x:v>
      </x:c>
      <x:c r="O35" s="85" t="n">
        <x:f>L35*N35</x:f>
        <x:v>1.5</x:v>
      </x:c>
      <x:c r="P35" s="85" t="str">
        <x:v>Media</x:v>
      </x:c>
      <x:c r="Q35" s="85" t="n">
        <x:v>1</x:v>
      </x:c>
      <x:c r="R35" s="85" t="n">
        <x:v>1.3</x:v>
      </x:c>
      <x:c r="S35" s="85" t="n">
        <x:v>1.55</x:v>
      </x:c>
      <x:c r="T35" s="85" t="n">
        <x:f>IF(J35="Sí",I35*O35*Q35,0)</x:f>
        <x:v>1.5</x:v>
      </x:c>
      <x:c r="U35" s="85" t="n">
        <x:f>IF(J35="Sí",I35*O35*R35,0)</x:f>
        <x:v>1.9500000000000002</x:v>
      </x:c>
      <x:c r="V35" s="85" t="n">
        <x:f>IF(J35="Sí",I35*O35*S35,0)</x:f>
        <x:v>2.325</x:v>
      </x:c>
      <x:c r="W35" s="73"/>
      <x:c r="X35" s="73" t="str">
        <x:v>Registro de pruebas</x:v>
      </x:c>
      <x:c r="Y35" s="73" t="str">
        <x:v>Enlaces, formularios, llamadas a la acción, estados y recorridos funcionales.</x:v>
      </x:c>
      <x:c r="Z35" s="73" t="str">
        <x:v>La compatibilidad visual entre dispositivos y navegadores se valida en WEB-031.</x:v>
      </x:c>
      <x:c r="AA35" s="73" t="str">
        <x:v>Preliminar</x:v>
      </x:c>
      <x:c r="AB35" s="78" t="str">
        <x:v>Estimación técnica ISM · Validar</x:v>
      </x:c>
    </x:row>
    <x:row r="36">
      <x:c r="A36" s="77" t="str">
        <x:v>Desarrollo e Implementación</x:v>
      </x:c>
      <x:c r="B36" s="73" t="str">
        <x:v>WEB-01</x:v>
      </x:c>
      <x:c r="C36" s="73" t="str">
        <x:v>Sitio web profesional</x:v>
      </x:c>
      <x:c r="D36" s="73" t="str">
        <x:v>01 · Primeros pasos digitales</x:v>
      </x:c>
      <x:c r="E36" s="73" t="str">
        <x:v>Calidad</x:v>
      </x:c>
      <x:c r="F36" s="73" t="str">
        <x:v>WEB-031</x:v>
      </x:c>
      <x:c r="G36" s="73" t="str">
        <x:v>Validación responsive y compatibilidad entre navegadores</x:v>
      </x:c>
      <x:c r="H36" s="73" t="str">
        <x:v>Proyecto</x:v>
      </x:c>
      <x:c r="I36" s="85" t="n">
        <x:v>1</x:v>
      </x:c>
      <x:c r="J36" s="73" t="str">
        <x:v>Sí</x:v>
      </x:c>
      <x:c r="K36" s="73" t="str">
        <x:v>Sí</x:v>
      </x:c>
      <x:c r="L36" s="85" t="n">
        <x:v>1.25</x:v>
      </x:c>
      <x:c r="M36" s="85" t="str">
        <x:v>No</x:v>
      </x:c>
      <x:c r="N36" s="85" t="n">
        <x:v>1</x:v>
      </x:c>
      <x:c r="O36" s="85" t="n">
        <x:f>L36*N36</x:f>
        <x:v>1.25</x:v>
      </x:c>
      <x:c r="P36" s="85" t="str">
        <x:v>Media</x:v>
      </x:c>
      <x:c r="Q36" s="85" t="n">
        <x:v>1</x:v>
      </x:c>
      <x:c r="R36" s="85" t="n">
        <x:v>1.3</x:v>
      </x:c>
      <x:c r="S36" s="85" t="n">
        <x:v>1.55</x:v>
      </x:c>
      <x:c r="T36" s="85" t="n">
        <x:f>IF(J36="Sí",I36*O36*Q36,0)</x:f>
        <x:v>1.25</x:v>
      </x:c>
      <x:c r="U36" s="85" t="n">
        <x:f>IF(J36="Sí",I36*O36*R36,0)</x:f>
        <x:v>1.625</x:v>
      </x:c>
      <x:c r="V36" s="85" t="n">
        <x:f>IF(J36="Sí",I36*O36*S36,0)</x:f>
        <x:v>1.9375</x:v>
      </x:c>
      <x:c r="W36" s="73" t="str">
        <x:v>WEB-022</x:v>
      </x:c>
      <x:c r="X36" s="73" t="str">
        <x:v>Checklist multidispositivo</x:v>
      </x:c>
      <x:c r="Y36" s="73" t="str">
        <x:v>QA visual y funcional en móvil, tablet, escritorio y navegadores definidos. No agrega desarrollo responsive.</x:v>
      </x:c>
      <x:c r="Z36" s="73" t="str">
        <x:v>Las correcciones detectadas se ejecutan dentro del ciclo WEB-032.</x:v>
      </x:c>
      <x:c r="AA36" s="73" t="str">
        <x:v>Preliminar</x:v>
      </x:c>
      <x:c r="AB36" s="78" t="str">
        <x:v>Estimación técnica ISM · Validar</x:v>
      </x:c>
    </x:row>
    <x:row r="37">
      <x:c r="A37" s="77" t="str">
        <x:v>Desarrollo e Implementación</x:v>
      </x:c>
      <x:c r="B37" s="73" t="str">
        <x:v>WEB-01</x:v>
      </x:c>
      <x:c r="C37" s="73" t="str">
        <x:v>Sitio web profesional</x:v>
      </x:c>
      <x:c r="D37" s="73" t="str">
        <x:v>01 · Primeros pasos digitales</x:v>
      </x:c>
      <x:c r="E37" s="73" t="str">
        <x:v>Cierre</x:v>
      </x:c>
      <x:c r="F37" s="73" t="str">
        <x:v>WEB-032</x:v>
      </x:c>
      <x:c r="G37" s="73" t="str">
        <x:v>Ciclo de correcciones posterior a revisión</x:v>
      </x:c>
      <x:c r="H37" s="73" t="str">
        <x:v>Ciclo</x:v>
      </x:c>
      <x:c r="I37" s="85" t="n">
        <x:v>1</x:v>
      </x:c>
      <x:c r="J37" s="73" t="str">
        <x:v>Sí</x:v>
      </x:c>
      <x:c r="K37" s="73" t="str">
        <x:v>No</x:v>
      </x:c>
      <x:c r="L37" s="85" t="n">
        <x:v>2</x:v>
      </x:c>
      <x:c r="M37" s="85" t="str">
        <x:v>No</x:v>
      </x:c>
      <x:c r="N37" s="85" t="n">
        <x:v>1</x:v>
      </x:c>
      <x:c r="O37" s="85" t="n">
        <x:f>L37*N37</x:f>
        <x:v>2</x:v>
      </x:c>
      <x:c r="P37" s="85" t="str">
        <x:v>Media</x:v>
      </x:c>
      <x:c r="Q37" s="85" t="n">
        <x:v>1</x:v>
      </x:c>
      <x:c r="R37" s="85" t="n">
        <x:v>1.3</x:v>
      </x:c>
      <x:c r="S37" s="85" t="n">
        <x:v>1.55</x:v>
      </x:c>
      <x:c r="T37" s="85" t="n">
        <x:f>IF(J37="Sí",I37*O37*Q37,0)</x:f>
        <x:v>2</x:v>
      </x:c>
      <x:c r="U37" s="85" t="n">
        <x:f>IF(J37="Sí",I37*O37*R37,0)</x:f>
        <x:v>2.6</x:v>
      </x:c>
      <x:c r="V37" s="85" t="n">
        <x:f>IF(J37="Sí",I37*O37*S37,0)</x:f>
        <x:v>3.1</x:v>
      </x:c>
      <x:c r="W37" s="73"/>
      <x:c r="X37" s="73" t="str">
        <x:v>Ajustes cerrados</x:v>
      </x:c>
      <x:c r="Y37" s="73" t="str">
        <x:v>Un ciclo consolidado de observaciones</x:v>
      </x:c>
      <x:c r="Z37" s="73" t="str">
        <x:v>Cambios de alcance</x:v>
      </x:c>
      <x:c r="AA37" s="73" t="str">
        <x:v>Preliminar</x:v>
      </x:c>
      <x:c r="AB37" s="78" t="str">
        <x:v>Estimación técnica ISM · Validar</x:v>
      </x:c>
    </x:row>
    <x:row r="38">
      <x:c r="A38" s="77" t="str">
        <x:v>Desarrollo e Implementación</x:v>
      </x:c>
      <x:c r="B38" s="73" t="str">
        <x:v>WEB-01</x:v>
      </x:c>
      <x:c r="C38" s="73" t="str">
        <x:v>Sitio web profesional</x:v>
      </x:c>
      <x:c r="D38" s="73" t="str">
        <x:v>01 · Primeros pasos digitales</x:v>
      </x:c>
      <x:c r="E38" s="73" t="str">
        <x:v>Publicación</x:v>
      </x:c>
      <x:c r="F38" s="73" t="str">
        <x:v>WEB-033</x:v>
      </x:c>
      <x:c r="G38" s="73" t="str">
        <x:v>Despliegue en producción</x:v>
      </x:c>
      <x:c r="H38" s="73" t="str">
        <x:v>Entorno</x:v>
      </x:c>
      <x:c r="I38" s="85" t="n">
        <x:v>1</x:v>
      </x:c>
      <x:c r="J38" s="73" t="str">
        <x:v>Sí</x:v>
      </x:c>
      <x:c r="K38" s="73" t="str">
        <x:v>Sí</x:v>
      </x:c>
      <x:c r="L38" s="85" t="n">
        <x:v>1</x:v>
      </x:c>
      <x:c r="M38" s="85" t="str">
        <x:v>Parcial</x:v>
      </x:c>
      <x:c r="N38" s="85" t="n">
        <x:v>0.75</x:v>
      </x:c>
      <x:c r="O38" s="85" t="n">
        <x:f>L38*N38</x:f>
        <x:v>0.75</x:v>
      </x:c>
      <x:c r="P38" s="85" t="str">
        <x:v>Media</x:v>
      </x:c>
      <x:c r="Q38" s="85" t="n">
        <x:v>1</x:v>
      </x:c>
      <x:c r="R38" s="85" t="n">
        <x:v>1.3</x:v>
      </x:c>
      <x:c r="S38" s="85" t="n">
        <x:v>1.55</x:v>
      </x:c>
      <x:c r="T38" s="85" t="n">
        <x:f>IF(J38="Sí",I38*O38*Q38,0)</x:f>
        <x:v>0.75</x:v>
      </x:c>
      <x:c r="U38" s="85" t="n">
        <x:f>IF(J38="Sí",I38*O38*R38,0)</x:f>
        <x:v>0.9750000000000001</x:v>
      </x:c>
      <x:c r="V38" s="85" t="n">
        <x:f>IF(J38="Sí",I38*O38*S38,0)</x:f>
        <x:v>1.1625</x:v>
      </x:c>
      <x:c r="W38" s="73"/>
      <x:c r="X38" s="73" t="str">
        <x:v>Versión publicada</x:v>
      </x:c>
      <x:c r="Y38" s="73" t="str">
        <x:v>Build, variables, despliegue y validación</x:v>
      </x:c>
      <x:c r="Z38" s="73"/>
      <x:c r="AA38" s="73" t="str">
        <x:v>Preliminar</x:v>
      </x:c>
      <x:c r="AB38" s="78" t="str">
        <x:v>Estimación técnica ISM · Validar</x:v>
      </x:c>
    </x:row>
    <x:row r="39">
      <x:c r="A39" s="77" t="str">
        <x:v>Desarrollo e Implementación</x:v>
      </x:c>
      <x:c r="B39" s="73" t="str">
        <x:v>WEB-01</x:v>
      </x:c>
      <x:c r="C39" s="73" t="str">
        <x:v>Sitio web profesional</x:v>
      </x:c>
      <x:c r="D39" s="73" t="str">
        <x:v>01 · Primeros pasos digitales</x:v>
      </x:c>
      <x:c r="E39" s="73" t="str">
        <x:v>Entrega</x:v>
      </x:c>
      <x:c r="F39" s="73" t="str">
        <x:v>WEB-034</x:v>
      </x:c>
      <x:c r="G39" s="73" t="str">
        <x:v>Documentación, accesos y cierre</x:v>
      </x:c>
      <x:c r="H39" s="73" t="str">
        <x:v>Proyecto</x:v>
      </x:c>
      <x:c r="I39" s="85" t="n">
        <x:v>1</x:v>
      </x:c>
      <x:c r="J39" s="73" t="str">
        <x:v>Sí</x:v>
      </x:c>
      <x:c r="K39" s="73" t="str">
        <x:v>Sí</x:v>
      </x:c>
      <x:c r="L39" s="85" t="n">
        <x:v>0.75</x:v>
      </x:c>
      <x:c r="M39" s="85" t="str">
        <x:v>No</x:v>
      </x:c>
      <x:c r="N39" s="85" t="n">
        <x:v>1</x:v>
      </x:c>
      <x:c r="O39" s="85" t="n">
        <x:f>L39*N39</x:f>
        <x:v>0.75</x:v>
      </x:c>
      <x:c r="P39" s="85" t="str">
        <x:v>Baja</x:v>
      </x:c>
      <x:c r="Q39" s="85" t="n">
        <x:v>1</x:v>
      </x:c>
      <x:c r="R39" s="85" t="n">
        <x:v>1.15</x:v>
      </x:c>
      <x:c r="S39" s="85" t="n">
        <x:v>1.3</x:v>
      </x:c>
      <x:c r="T39" s="85" t="n">
        <x:f>IF(J39="Sí",I39*O39*Q39,0)</x:f>
        <x:v>0.75</x:v>
      </x:c>
      <x:c r="U39" s="85" t="n">
        <x:f>IF(J39="Sí",I39*O39*R39,0)</x:f>
        <x:v>0.8624999999999999</x:v>
      </x:c>
      <x:c r="V39" s="85" t="n">
        <x:f>IF(J39="Sí",I39*O39*S39,0)</x:f>
        <x:v>0.9750000000000001</x:v>
      </x:c>
      <x:c r="W39" s="73"/>
      <x:c r="X39" s="73" t="str">
        <x:v>Acta de entrega</x:v>
      </x:c>
      <x:c r="Y39" s="73" t="str">
        <x:v>Accesos, respaldo y recomendaciones</x:v>
      </x:c>
      <x:c r="Z39" s="73"/>
      <x:c r="AA39" s="73" t="str">
        <x:v>Preliminar</x:v>
      </x:c>
      <x:c r="AB39" s="78" t="str">
        <x:v>Estimación técnica ISM · Validar</x:v>
      </x:c>
    </x:row>
    <x:row r="40">
      <x:c r="A40" s="77" t="str">
        <x:v>Desarrollo e Implementación</x:v>
      </x:c>
      <x:c r="B40" s="73" t="str">
        <x:v>APP-01</x:v>
      </x:c>
      <x:c r="C40" s="73" t="str">
        <x:v>Sistema web o aplicación de gestión</x:v>
      </x:c>
      <x:c r="D40" s="73" t="str">
        <x:v>02 · Optimización digital</x:v>
      </x:c>
      <x:c r="E40" s="73" t="str">
        <x:v>Descubrimiento</x:v>
      </x:c>
      <x:c r="F40" s="73" t="str">
        <x:v>APP-001</x:v>
      </x:c>
      <x:c r="G40" s="73" t="str">
        <x:v>Levantamiento de procesos, usuarios y objetivos</x:v>
      </x:c>
      <x:c r="H40" s="73" t="str">
        <x:v>Proyecto</x:v>
      </x:c>
      <x:c r="I40" s="85" t="n">
        <x:v>1</x:v>
      </x:c>
      <x:c r="J40" s="73" t="str">
        <x:v>Sí</x:v>
      </x:c>
      <x:c r="K40" s="73" t="str">
        <x:v>Sí</x:v>
      </x:c>
      <x:c r="L40" s="85" t="n">
        <x:v>3</x:v>
      </x:c>
      <x:c r="M40" s="85" t="str">
        <x:v>No</x:v>
      </x:c>
      <x:c r="N40" s="85" t="n">
        <x:v>1</x:v>
      </x:c>
      <x:c r="O40" s="85" t="n">
        <x:f>L40*N40</x:f>
        <x:v>3</x:v>
      </x:c>
      <x:c r="P40" s="85" t="str">
        <x:v>Alta</x:v>
      </x:c>
      <x:c r="Q40" s="85" t="n">
        <x:v>1</x:v>
      </x:c>
      <x:c r="R40" s="85" t="n">
        <x:v>1.45</x:v>
      </x:c>
      <x:c r="S40" s="85" t="n">
        <x:v>1.8</x:v>
      </x:c>
      <x:c r="T40" s="85" t="n">
        <x:f>IF(J40="Sí",I40*O40*Q40,0)</x:f>
        <x:v>3</x:v>
      </x:c>
      <x:c r="U40" s="85" t="n">
        <x:f>IF(J40="Sí",I40*O40*R40,0)</x:f>
        <x:v>4.35</x:v>
      </x:c>
      <x:c r="V40" s="85" t="n">
        <x:f>IF(J40="Sí",I40*O40*S40,0)</x:f>
        <x:v>5.4</x:v>
      </x:c>
      <x:c r="W40" s="73"/>
      <x:c r="X40" s="73" t="str">
        <x:v>Documento de alcance</x:v>
      </x:c>
      <x:c r="Y40" s="73" t="str">
        <x:v>Procesos actuales, actores, problemas y objetivos</x:v>
      </x:c>
      <x:c r="Z40" s="73"/>
      <x:c r="AA40" s="73" t="str">
        <x:v>Preliminar</x:v>
      </x:c>
      <x:c r="AB40" s="78" t="str">
        <x:v>Estimación técnica ISM · Validar</x:v>
      </x:c>
    </x:row>
    <x:row r="41">
      <x:c r="A41" s="77" t="str">
        <x:v>Desarrollo e Implementación</x:v>
      </x:c>
      <x:c r="B41" s="73" t="str">
        <x:v>APP-01</x:v>
      </x:c>
      <x:c r="C41" s="73" t="str">
        <x:v>Sistema web o aplicación de gestión</x:v>
      </x:c>
      <x:c r="D41" s="73" t="str">
        <x:v>02 · Optimización digital</x:v>
      </x:c>
      <x:c r="E41" s="73" t="str">
        <x:v>Descubrimiento</x:v>
      </x:c>
      <x:c r="F41" s="73" t="str">
        <x:v>APP-002</x:v>
      </x:c>
      <x:c r="G41" s="73" t="str">
        <x:v>Definición de alcance funcional y criterios de aceptación</x:v>
      </x:c>
      <x:c r="H41" s="73" t="str">
        <x:v>Proyecto</x:v>
      </x:c>
      <x:c r="I41" s="85" t="n">
        <x:v>1</x:v>
      </x:c>
      <x:c r="J41" s="73" t="str">
        <x:v>Sí</x:v>
      </x:c>
      <x:c r="K41" s="73" t="str">
        <x:v>Sí</x:v>
      </x:c>
      <x:c r="L41" s="85" t="n">
        <x:v>3</x:v>
      </x:c>
      <x:c r="M41" s="85" t="str">
        <x:v>No</x:v>
      </x:c>
      <x:c r="N41" s="85" t="n">
        <x:v>1</x:v>
      </x:c>
      <x:c r="O41" s="85" t="n">
        <x:f>L41*N41</x:f>
        <x:v>3</x:v>
      </x:c>
      <x:c r="P41" s="85" t="str">
        <x:v>Alta</x:v>
      </x:c>
      <x:c r="Q41" s="85" t="n">
        <x:v>1</x:v>
      </x:c>
      <x:c r="R41" s="85" t="n">
        <x:v>1.45</x:v>
      </x:c>
      <x:c r="S41" s="85" t="n">
        <x:v>1.8</x:v>
      </x:c>
      <x:c r="T41" s="85" t="n">
        <x:f>IF(J41="Sí",I41*O41*Q41,0)</x:f>
        <x:v>3</x:v>
      </x:c>
      <x:c r="U41" s="85" t="n">
        <x:f>IF(J41="Sí",I41*O41*R41,0)</x:f>
        <x:v>4.35</x:v>
      </x:c>
      <x:c r="V41" s="85" t="n">
        <x:f>IF(J41="Sí",I41*O41*S41,0)</x:f>
        <x:v>5.4</x:v>
      </x:c>
      <x:c r="W41" s="73" t="str">
        <x:v>APP-001</x:v>
      </x:c>
      <x:c r="X41" s="73" t="str">
        <x:v>Backlog inicial</x:v>
      </x:c>
      <x:c r="Y41" s="73" t="str">
        <x:v>Historias, reglas y criterios de aceptación</x:v>
      </x:c>
      <x:c r="Z41" s="73"/>
      <x:c r="AA41" s="73" t="str">
        <x:v>Preliminar</x:v>
      </x:c>
      <x:c r="AB41" s="78" t="str">
        <x:v>Estimación técnica ISM · Validar</x:v>
      </x:c>
    </x:row>
    <x:row r="42">
      <x:c r="A42" s="77" t="str">
        <x:v>Desarrollo e Implementación</x:v>
      </x:c>
      <x:c r="B42" s="73" t="str">
        <x:v>APP-01</x:v>
      </x:c>
      <x:c r="C42" s="73" t="str">
        <x:v>Sistema web o aplicación de gestión</x:v>
      </x:c>
      <x:c r="D42" s="73" t="str">
        <x:v>02 · Optimización digital</x:v>
      </x:c>
      <x:c r="E42" s="73" t="str">
        <x:v>Arquitectura</x:v>
      </x:c>
      <x:c r="F42" s="73" t="str">
        <x:v>APP-003</x:v>
      </x:c>
      <x:c r="G42" s="73" t="str">
        <x:v>Modelamiento de entidades y relaciones</x:v>
      </x:c>
      <x:c r="H42" s="73" t="str">
        <x:v>Proyecto</x:v>
      </x:c>
      <x:c r="I42" s="85" t="n">
        <x:v>1.5</x:v>
      </x:c>
      <x:c r="J42" s="73" t="str">
        <x:v>Sí</x:v>
      </x:c>
      <x:c r="K42" s="73" t="str">
        <x:v>Sí</x:v>
      </x:c>
      <x:c r="L42" s="85" t="n">
        <x:v>3.5</x:v>
      </x:c>
      <x:c r="M42" s="85" t="str">
        <x:v>Parcial</x:v>
      </x:c>
      <x:c r="N42" s="85" t="n">
        <x:v>0.85</x:v>
      </x:c>
      <x:c r="O42" s="85" t="n">
        <x:f>L42*N42</x:f>
        <x:v>2.975</x:v>
      </x:c>
      <x:c r="P42" s="85" t="str">
        <x:v>Alta</x:v>
      </x:c>
      <x:c r="Q42" s="85" t="n">
        <x:v>1</x:v>
      </x:c>
      <x:c r="R42" s="85" t="n">
        <x:v>1.45</x:v>
      </x:c>
      <x:c r="S42" s="85" t="n">
        <x:v>1.8</x:v>
      </x:c>
      <x:c r="T42" s="85" t="n">
        <x:f>IF(J42="Sí",I42*O42*Q42,0)</x:f>
        <x:v>4.4625</x:v>
      </x:c>
      <x:c r="U42" s="85" t="n">
        <x:f>IF(J42="Sí",I42*O42*R42,0)</x:f>
        <x:v>6.470625</x:v>
      </x:c>
      <x:c r="V42" s="85" t="n">
        <x:f>IF(J42="Sí",I42*O42*S42,0)</x:f>
        <x:v>8.0325</x:v>
      </x:c>
      <x:c r="W42" s="73" t="str">
        <x:v>APP-002</x:v>
      </x:c>
      <x:c r="X42" s="73" t="str">
        <x:v>Modelo de datos</x:v>
      </x:c>
      <x:c r="Y42" s="73" t="str">
        <x:v>Entidades, relaciones y restricciones</x:v>
      </x:c>
      <x:c r="Z42" s="73"/>
      <x:c r="AA42" s="73" t="str">
        <x:v>Preliminar</x:v>
      </x:c>
      <x:c r="AB42" s="78" t="str">
        <x:v>Estimación técnica ISM · Validar</x:v>
      </x:c>
    </x:row>
    <x:row r="43">
      <x:c r="A43" s="77" t="str">
        <x:v>Desarrollo e Implementación</x:v>
      </x:c>
      <x:c r="B43" s="73" t="str">
        <x:v>APP-01</x:v>
      </x:c>
      <x:c r="C43" s="73" t="str">
        <x:v>Sistema web o aplicación de gestión</x:v>
      </x:c>
      <x:c r="D43" s="73" t="str">
        <x:v>02 · Optimización digital</x:v>
      </x:c>
      <x:c r="E43" s="73" t="str">
        <x:v>Arquitectura</x:v>
      </x:c>
      <x:c r="F43" s="73" t="str">
        <x:v>APP-004</x:v>
      </x:c>
      <x:c r="G43" s="73" t="str">
        <x:v>Diseño de roles y permisos</x:v>
      </x:c>
      <x:c r="H43" s="73" t="str">
        <x:v>Rol</x:v>
      </x:c>
      <x:c r="I43" s="85" t="n">
        <x:v>1.5</x:v>
      </x:c>
      <x:c r="J43" s="73" t="str">
        <x:v>Sí</x:v>
      </x:c>
      <x:c r="K43" s="73" t="str">
        <x:v>Sí</x:v>
      </x:c>
      <x:c r="L43" s="85" t="n">
        <x:v>1.25</x:v>
      </x:c>
      <x:c r="M43" s="85" t="str">
        <x:v>Parcial</x:v>
      </x:c>
      <x:c r="N43" s="85" t="n">
        <x:v>0.8</x:v>
      </x:c>
      <x:c r="O43" s="85" t="n">
        <x:f>L43*N43</x:f>
        <x:v>1</x:v>
      </x:c>
      <x:c r="P43" s="85" t="str">
        <x:v>Alta</x:v>
      </x:c>
      <x:c r="Q43" s="85" t="n">
        <x:v>1</x:v>
      </x:c>
      <x:c r="R43" s="85" t="n">
        <x:v>1.45</x:v>
      </x:c>
      <x:c r="S43" s="85" t="n">
        <x:v>1.8</x:v>
      </x:c>
      <x:c r="T43" s="85" t="n">
        <x:f>IF(J43="Sí",I43*O43*Q43,0)</x:f>
        <x:v>1.5</x:v>
      </x:c>
      <x:c r="U43" s="85" t="n">
        <x:f>IF(J43="Sí",I43*O43*R43,0)</x:f>
        <x:v>2.175</x:v>
      </x:c>
      <x:c r="V43" s="85" t="n">
        <x:f>IF(J43="Sí",I43*O43*S43,0)</x:f>
        <x:v>2.7</x:v>
      </x:c>
      <x:c r="W43" s="73" t="str">
        <x:v>APP-002</x:v>
      </x:c>
      <x:c r="X43" s="73" t="str">
        <x:v>Matriz de permisos</x:v>
      </x:c>
      <x:c r="Y43" s="73" t="str">
        <x:v>Acciones y visibilidad por rol</x:v>
      </x:c>
      <x:c r="Z43" s="73"/>
      <x:c r="AA43" s="73" t="str">
        <x:v>Preliminar</x:v>
      </x:c>
      <x:c r="AB43" s="78" t="str">
        <x:v>Estimación técnica ISM · Validar</x:v>
      </x:c>
    </x:row>
    <x:row r="44">
      <x:c r="A44" s="77" t="str">
        <x:v>Desarrollo e Implementación</x:v>
      </x:c>
      <x:c r="B44" s="73" t="str">
        <x:v>APP-01</x:v>
      </x:c>
      <x:c r="C44" s="73" t="str">
        <x:v>Sistema web o aplicación de gestión</x:v>
      </x:c>
      <x:c r="D44" s="73" t="str">
        <x:v>02 · Optimización digital</x:v>
      </x:c>
      <x:c r="E44" s="73" t="str">
        <x:v>Arquitectura</x:v>
      </x:c>
      <x:c r="F44" s="73" t="str">
        <x:v>APP-005</x:v>
      </x:c>
      <x:c r="G44" s="73" t="str">
        <x:v>Arquitectura técnica y ambientes</x:v>
      </x:c>
      <x:c r="H44" s="73" t="str">
        <x:v>Proyecto</x:v>
      </x:c>
      <x:c r="I44" s="85" t="n">
        <x:v>1.5</x:v>
      </x:c>
      <x:c r="J44" s="73" t="str">
        <x:v>Sí</x:v>
      </x:c>
      <x:c r="K44" s="73" t="str">
        <x:v>Sí</x:v>
      </x:c>
      <x:c r="L44" s="85" t="n">
        <x:v>2.5</x:v>
      </x:c>
      <x:c r="M44" s="85" t="str">
        <x:v>Parcial</x:v>
      </x:c>
      <x:c r="N44" s="85" t="n">
        <x:v>0.85</x:v>
      </x:c>
      <x:c r="O44" s="85" t="n">
        <x:f>L44*N44</x:f>
        <x:v>2.125</x:v>
      </x:c>
      <x:c r="P44" s="85" t="str">
        <x:v>Alta</x:v>
      </x:c>
      <x:c r="Q44" s="85" t="n">
        <x:v>1</x:v>
      </x:c>
      <x:c r="R44" s="85" t="n">
        <x:v>1.45</x:v>
      </x:c>
      <x:c r="S44" s="85" t="n">
        <x:v>1.8</x:v>
      </x:c>
      <x:c r="T44" s="85" t="n">
        <x:f>IF(J44="Sí",I44*O44*Q44,0)</x:f>
        <x:v>3.1875</x:v>
      </x:c>
      <x:c r="U44" s="85" t="n">
        <x:f>IF(J44="Sí",I44*O44*R44,0)</x:f>
        <x:v>4.621875</x:v>
      </x:c>
      <x:c r="V44" s="85" t="n">
        <x:f>IF(J44="Sí",I44*O44*S44,0)</x:f>
        <x:v>5.7375</x:v>
      </x:c>
      <x:c r="W44" s="73" t="str">
        <x:v>APP-002</x:v>
      </x:c>
      <x:c r="X44" s="73" t="str">
        <x:v>Diagrama técnico</x:v>
      </x:c>
      <x:c r="Y44" s="73" t="str">
        <x:v>Frontend, backend, datos, servicios y despliegue</x:v>
      </x:c>
      <x:c r="Z44" s="73"/>
      <x:c r="AA44" s="73" t="str">
        <x:v>Preliminar</x:v>
      </x:c>
      <x:c r="AB44" s="78" t="str">
        <x:v>Estimación técnica ISM · Validar</x:v>
      </x:c>
    </x:row>
    <x:row r="45">
      <x:c r="A45" s="77" t="str">
        <x:v>Desarrollo e Implementación</x:v>
      </x:c>
      <x:c r="B45" s="73" t="str">
        <x:v>APP-01</x:v>
      </x:c>
      <x:c r="C45" s="73" t="str">
        <x:v>Sistema web o aplicación de gestión</x:v>
      </x:c>
      <x:c r="D45" s="73" t="str">
        <x:v>02 · Optimización digital</x:v>
      </x:c>
      <x:c r="E45" s="73" t="str">
        <x:v>UX/UI</x:v>
      </x:c>
      <x:c r="F45" s="73" t="str">
        <x:v>APP-006</x:v>
      </x:c>
      <x:c r="G45" s="73" t="str">
        <x:v>Diseño del mapa de navegación y flujos principales</x:v>
      </x:c>
      <x:c r="H45" s="73" t="str">
        <x:v>Proyecto</x:v>
      </x:c>
      <x:c r="I45" s="85" t="n">
        <x:v>1.5</x:v>
      </x:c>
      <x:c r="J45" s="73" t="str">
        <x:v>Sí</x:v>
      </x:c>
      <x:c r="K45" s="73" t="str">
        <x:v>Sí</x:v>
      </x:c>
      <x:c r="L45" s="85" t="n">
        <x:v>2.5</x:v>
      </x:c>
      <x:c r="M45" s="85" t="str">
        <x:v>Parcial</x:v>
      </x:c>
      <x:c r="N45" s="85" t="n">
        <x:v>0.8</x:v>
      </x:c>
      <x:c r="O45" s="85" t="n">
        <x:f>L45*N45</x:f>
        <x:v>2</x:v>
      </x:c>
      <x:c r="P45" s="85" t="str">
        <x:v>Alta</x:v>
      </x:c>
      <x:c r="Q45" s="85" t="n">
        <x:v>1</x:v>
      </x:c>
      <x:c r="R45" s="85" t="n">
        <x:v>1.45</x:v>
      </x:c>
      <x:c r="S45" s="85" t="n">
        <x:v>1.8</x:v>
      </x:c>
      <x:c r="T45" s="85" t="n">
        <x:f>IF(J45="Sí",I45*O45*Q45,0)</x:f>
        <x:v>3</x:v>
      </x:c>
      <x:c r="U45" s="85" t="n">
        <x:f>IF(J45="Sí",I45*O45*R45,0)</x:f>
        <x:v>4.35</x:v>
      </x:c>
      <x:c r="V45" s="85" t="n">
        <x:f>IF(J45="Sí",I45*O45*S45,0)</x:f>
        <x:v>5.4</x:v>
      </x:c>
      <x:c r="W45" s="73" t="str">
        <x:v>APP-002</x:v>
      </x:c>
      <x:c r="X45" s="73" t="str">
        <x:v>Mapa de flujos</x:v>
      </x:c>
      <x:c r="Y45" s="73" t="str">
        <x:v>Definición UX de rutas, estados y recorridos antes de construir la interfaz.</x:v>
      </x:c>
      <x:c r="Z45" s="73" t="str">
        <x:v>La implementación visual se contabiliza en APP-009 y las pantallas en APP-010.</x:v>
      </x:c>
      <x:c r="AA45" s="73" t="str">
        <x:v>Preliminar</x:v>
      </x:c>
      <x:c r="AB45" s="78" t="str">
        <x:v>Estimación técnica ISM · Validar</x:v>
      </x:c>
    </x:row>
    <x:row r="46">
      <x:c r="A46" s="77" t="str">
        <x:v>Desarrollo e Implementación</x:v>
      </x:c>
      <x:c r="B46" s="73" t="str">
        <x:v>APP-01</x:v>
      </x:c>
      <x:c r="C46" s="73" t="str">
        <x:v>Sistema web o aplicación de gestión</x:v>
      </x:c>
      <x:c r="D46" s="73" t="str">
        <x:v>02 · Optimización digital</x:v>
      </x:c>
      <x:c r="E46" s="73" t="str">
        <x:v>UX/UI</x:v>
      </x:c>
      <x:c r="F46" s="73" t="str">
        <x:v>APP-007</x:v>
      </x:c>
      <x:c r="G46" s="73" t="str">
        <x:v>Wireframe de pantalla estándar</x:v>
      </x:c>
      <x:c r="H46" s="73" t="str">
        <x:v>Pantalla</x:v>
      </x:c>
      <x:c r="I46" s="85" t="n">
        <x:v>3</x:v>
      </x:c>
      <x:c r="J46" s="73" t="str">
        <x:v>Sí</x:v>
      </x:c>
      <x:c r="K46" s="73" t="str">
        <x:v>No</x:v>
      </x:c>
      <x:c r="L46" s="85" t="n">
        <x:v>1</x:v>
      </x:c>
      <x:c r="M46" s="85" t="str">
        <x:v>Parcial</x:v>
      </x:c>
      <x:c r="N46" s="85" t="n">
        <x:v>0.75</x:v>
      </x:c>
      <x:c r="O46" s="85" t="n">
        <x:f>L46*N46</x:f>
        <x:v>0.75</x:v>
      </x:c>
      <x:c r="P46" s="85" t="str">
        <x:v>Media</x:v>
      </x:c>
      <x:c r="Q46" s="85" t="n">
        <x:v>1</x:v>
      </x:c>
      <x:c r="R46" s="85" t="n">
        <x:v>1.3</x:v>
      </x:c>
      <x:c r="S46" s="85" t="n">
        <x:v>1.55</x:v>
      </x:c>
      <x:c r="T46" s="85" t="n">
        <x:f>IF(J46="Sí",I46*O46*Q46,0)</x:f>
        <x:v>2.25</x:v>
      </x:c>
      <x:c r="U46" s="85" t="n">
        <x:f>IF(J46="Sí",I46*O46*R46,0)</x:f>
        <x:v>2.9250000000000003</x:v>
      </x:c>
      <x:c r="V46" s="85" t="n">
        <x:f>IF(J46="Sí",I46*O46*S46,0)</x:f>
        <x:v>3.4875000000000003</x:v>
      </x:c>
      <x:c r="W46" s="73" t="str">
        <x:v>APP-006</x:v>
      </x:c>
      <x:c r="X46" s="73" t="str">
        <x:v>Wireframes</x:v>
      </x:c>
      <x:c r="Y46" s="73" t="str">
        <x:v>Estructura de pantallas y acciones</x:v>
      </x:c>
      <x:c r="Z46" s="73"/>
      <x:c r="AA46" s="73" t="str">
        <x:v>Preliminar</x:v>
      </x:c>
      <x:c r="AB46" s="78" t="str">
        <x:v>Estimación técnica ISM · Validar</x:v>
      </x:c>
    </x:row>
    <x:row r="47">
      <x:c r="A47" s="77" t="str">
        <x:v>Desarrollo e Implementación</x:v>
      </x:c>
      <x:c r="B47" s="73" t="str">
        <x:v>APP-01</x:v>
      </x:c>
      <x:c r="C47" s="73" t="str">
        <x:v>Sistema web o aplicación de gestión</x:v>
      </x:c>
      <x:c r="D47" s="73" t="str">
        <x:v>02 · Optimización digital</x:v>
      </x:c>
      <x:c r="E47" s="73" t="str">
        <x:v>Preparación</x:v>
      </x:c>
      <x:c r="F47" s="73" t="str">
        <x:v>APP-008</x:v>
      </x:c>
      <x:c r="G47" s="73" t="str">
        <x:v>Configuración del proyecto, repositorio y entornos</x:v>
      </x:c>
      <x:c r="H47" s="73" t="str">
        <x:v>Proyecto</x:v>
      </x:c>
      <x:c r="I47" s="85" t="n">
        <x:v>1.5</x:v>
      </x:c>
      <x:c r="J47" s="73" t="str">
        <x:v>Sí</x:v>
      </x:c>
      <x:c r="K47" s="73" t="str">
        <x:v>Sí</x:v>
      </x:c>
      <x:c r="L47" s="85" t="n">
        <x:v>2</x:v>
      </x:c>
      <x:c r="M47" s="85" t="str">
        <x:v>Alta</x:v>
      </x:c>
      <x:c r="N47" s="85" t="n">
        <x:v>0.6</x:v>
      </x:c>
      <x:c r="O47" s="85" t="n">
        <x:f>L47*N47</x:f>
        <x:v>1.2</x:v>
      </x:c>
      <x:c r="P47" s="85" t="str">
        <x:v>Media</x:v>
      </x:c>
      <x:c r="Q47" s="85" t="n">
        <x:v>1</x:v>
      </x:c>
      <x:c r="R47" s="85" t="n">
        <x:v>1.3</x:v>
      </x:c>
      <x:c r="S47" s="85" t="n">
        <x:v>1.55</x:v>
      </x:c>
      <x:c r="T47" s="85" t="n">
        <x:f>IF(J47="Sí",I47*O47*Q47,0)</x:f>
        <x:v>1.7999999999999998</x:v>
      </x:c>
      <x:c r="U47" s="85" t="n">
        <x:f>IF(J47="Sí",I47*O47*R47,0)</x:f>
        <x:v>2.34</x:v>
      </x:c>
      <x:c r="V47" s="85" t="n">
        <x:f>IF(J47="Sí",I47*O47*S47,0)</x:f>
        <x:v>2.7899999999999996</x:v>
      </x:c>
      <x:c r="W47" s="73" t="str">
        <x:v>APP-005</x:v>
      </x:c>
      <x:c r="X47" s="73" t="str">
        <x:v>Base técnica</x:v>
      </x:c>
      <x:c r="Y47" s="73" t="str">
        <x:v>Repositorios, variables, estructura y ambientes</x:v>
      </x:c>
      <x:c r="Z47" s="73"/>
      <x:c r="AA47" s="73" t="str">
        <x:v>Preliminar</x:v>
      </x:c>
      <x:c r="AB47" s="78" t="str">
        <x:v>Estimación técnica ISM · Validar</x:v>
      </x:c>
    </x:row>
    <x:row r="48">
      <x:c r="A48" s="77" t="str">
        <x:v>Desarrollo e Implementación</x:v>
      </x:c>
      <x:c r="B48" s="73" t="str">
        <x:v>APP-01</x:v>
      </x:c>
      <x:c r="C48" s="73" t="str">
        <x:v>Sistema web o aplicación de gestión</x:v>
      </x:c>
      <x:c r="D48" s="73" t="str">
        <x:v>02 · Optimización digital</x:v>
      </x:c>
      <x:c r="E48" s="73" t="str">
        <x:v>Frontend</x:v>
      </x:c>
      <x:c r="F48" s="73" t="str">
        <x:v>APP-009</x:v>
      </x:c>
      <x:c r="G48" s="73" t="str">
        <x:v>Implementación de layout, navegación y sistema visual</x:v>
      </x:c>
      <x:c r="H48" s="73" t="str">
        <x:v>Proyecto</x:v>
      </x:c>
      <x:c r="I48" s="85" t="n">
        <x:v>1.5</x:v>
      </x:c>
      <x:c r="J48" s="73" t="str">
        <x:v>Sí</x:v>
      </x:c>
      <x:c r="K48" s="73" t="str">
        <x:v>Sí</x:v>
      </x:c>
      <x:c r="L48" s="85" t="n">
        <x:v>4</x:v>
      </x:c>
      <x:c r="M48" s="85" t="str">
        <x:v>Alta</x:v>
      </x:c>
      <x:c r="N48" s="85" t="n">
        <x:v>0.65</x:v>
      </x:c>
      <x:c r="O48" s="85" t="n">
        <x:f>L48*N48</x:f>
        <x:v>2.6</x:v>
      </x:c>
      <x:c r="P48" s="85" t="str">
        <x:v>Alta</x:v>
      </x:c>
      <x:c r="Q48" s="85" t="n">
        <x:v>1</x:v>
      </x:c>
      <x:c r="R48" s="85" t="n">
        <x:v>1.45</x:v>
      </x:c>
      <x:c r="S48" s="85" t="n">
        <x:v>1.8</x:v>
      </x:c>
      <x:c r="T48" s="85" t="n">
        <x:f>IF(J48="Sí",I48*O48*Q48,0)</x:f>
        <x:v>3.9000000000000004</x:v>
      </x:c>
      <x:c r="U48" s="85" t="n">
        <x:f>IF(J48="Sí",I48*O48*R48,0)</x:f>
        <x:v>5.655</x:v>
      </x:c>
      <x:c r="V48" s="85" t="n">
        <x:f>IF(J48="Sí",I48*O48*S48,0)</x:f>
        <x:v>7.0200000000000005</x:v>
      </x:c>
      <x:c r="W48" s="73" t="str">
        <x:v>APP-006</x:v>
      </x:c>
      <x:c r="X48" s="73" t="str">
        <x:v>Shell de aplicación</x:v>
      </x:c>
      <x:c r="Y48" s="73" t="str">
        <x:v>Construcción del shell de la aplicación, menú, cabeceras, estilos y componentes compartidos.</x:v>
      </x:c>
      <x:c r="Z48" s="73" t="str">
        <x:v>No incluye el diseño de flujos de APP-006 ni las pantallas CRUD de APP-010.</x:v>
      </x:c>
      <x:c r="AA48" s="73" t="str">
        <x:v>Preliminar</x:v>
      </x:c>
      <x:c r="AB48" s="78" t="str">
        <x:v>Estimación técnica ISM · Validar</x:v>
      </x:c>
    </x:row>
    <x:row r="49">
      <x:c r="A49" s="77" t="str">
        <x:v>Desarrollo e Implementación</x:v>
      </x:c>
      <x:c r="B49" s="73" t="str">
        <x:v>APP-01</x:v>
      </x:c>
      <x:c r="C49" s="73" t="str">
        <x:v>Sistema web o aplicación de gestión</x:v>
      </x:c>
      <x:c r="D49" s="73" t="str">
        <x:v>02 · Optimización digital</x:v>
      </x:c>
      <x:c r="E49" s="73" t="str">
        <x:v>Frontend</x:v>
      </x:c>
      <x:c r="F49" s="73" t="str">
        <x:v>APP-010</x:v>
      </x:c>
      <x:c r="G49" s="73" t="str">
        <x:v>Implementación de interfaz CRUD estándar</x:v>
      </x:c>
      <x:c r="H49" s="73" t="str">
        <x:v>Pantalla</x:v>
      </x:c>
      <x:c r="I49" s="85" t="n">
        <x:v>3</x:v>
      </x:c>
      <x:c r="J49" s="73" t="str">
        <x:v>Sí</x:v>
      </x:c>
      <x:c r="K49" s="73" t="str">
        <x:v>No</x:v>
      </x:c>
      <x:c r="L49" s="85" t="n">
        <x:v>4</x:v>
      </x:c>
      <x:c r="M49" s="85" t="str">
        <x:v>Parcial</x:v>
      </x:c>
      <x:c r="N49" s="85" t="n">
        <x:v>0.8</x:v>
      </x:c>
      <x:c r="O49" s="85" t="n">
        <x:f>L49*N49</x:f>
        <x:v>3.2</x:v>
      </x:c>
      <x:c r="P49" s="85" t="str">
        <x:v>Alta</x:v>
      </x:c>
      <x:c r="Q49" s="85" t="n">
        <x:v>1</x:v>
      </x:c>
      <x:c r="R49" s="85" t="n">
        <x:v>1.45</x:v>
      </x:c>
      <x:c r="S49" s="85" t="n">
        <x:v>1.8</x:v>
      </x:c>
      <x:c r="T49" s="85" t="n">
        <x:f>IF(J49="Sí",I49*O49*Q49,0)</x:f>
        <x:v>9.600000000000001</x:v>
      </x:c>
      <x:c r="U49" s="85" t="n">
        <x:f>IF(J49="Sí",I49*O49*R49,0)</x:f>
        <x:v>13.920000000000002</x:v>
      </x:c>
      <x:c r="V49" s="85" t="n">
        <x:f>IF(J49="Sí",I49*O49*S49,0)</x:f>
        <x:v>17.280000000000005</x:v>
      </x:c>
      <x:c r="W49" s="73" t="str">
        <x:v>APP-003</x:v>
      </x:c>
      <x:c r="X49" s="73" t="str">
        <x:v>Pantallas CRUD</x:v>
      </x:c>
      <x:c r="Y49" s="73" t="str">
        <x:v>Pantalla con listado, formulario, validaciones, estados y acciones de usuario.</x:v>
      </x:c>
      <x:c r="Z49" s="73" t="str">
        <x:v>La lógica y persistencia backend se contabilizan en APP-013.</x:v>
      </x:c>
      <x:c r="AA49" s="73" t="str">
        <x:v>Preliminar</x:v>
      </x:c>
      <x:c r="AB49" s="78" t="str">
        <x:v>Estimación técnica ISM · Validar</x:v>
      </x:c>
    </x:row>
    <x:row r="50">
      <x:c r="A50" s="77" t="str">
        <x:v>Desarrollo e Implementación</x:v>
      </x:c>
      <x:c r="B50" s="73" t="str">
        <x:v>APP-01</x:v>
      </x:c>
      <x:c r="C50" s="73" t="str">
        <x:v>Sistema web o aplicación de gestión</x:v>
      </x:c>
      <x:c r="D50" s="73" t="str">
        <x:v>02 · Optimización digital</x:v>
      </x:c>
      <x:c r="E50" s="73" t="str">
        <x:v>Frontend</x:v>
      </x:c>
      <x:c r="F50" s="73" t="str">
        <x:v>APP-011</x:v>
      </x:c>
      <x:c r="G50" s="73" t="str">
        <x:v>Dashboard con indicadores</x:v>
      </x:c>
      <x:c r="H50" s="73" t="str">
        <x:v>Dashboard</x:v>
      </x:c>
      <x:c r="I50" s="85" t="n">
        <x:v>1.5</x:v>
      </x:c>
      <x:c r="J50" s="73" t="str">
        <x:v>No</x:v>
      </x:c>
      <x:c r="K50" s="73" t="str">
        <x:v>No</x:v>
      </x:c>
      <x:c r="L50" s="85" t="n">
        <x:v>5</x:v>
      </x:c>
      <x:c r="M50" s="85" t="str">
        <x:v>Parcial</x:v>
      </x:c>
      <x:c r="N50" s="85" t="n">
        <x:v>0.85</x:v>
      </x:c>
      <x:c r="O50" s="85" t="n">
        <x:f>L50*N50</x:f>
        <x:v>4.25</x:v>
      </x:c>
      <x:c r="P50" s="85" t="str">
        <x:v>Alta</x:v>
      </x:c>
      <x:c r="Q50" s="85" t="n">
        <x:v>1</x:v>
      </x:c>
      <x:c r="R50" s="85" t="n">
        <x:v>1.45</x:v>
      </x:c>
      <x:c r="S50" s="85" t="n">
        <x:v>1.8</x:v>
      </x:c>
      <x:c r="T50" s="85" t="n">
        <x:f>IF(J50="Sí",I50*O50*Q50,0)</x:f>
        <x:v>0</x:v>
      </x:c>
      <x:c r="U50" s="85" t="n">
        <x:f>IF(J50="Sí",I50*O50*R50,0)</x:f>
        <x:v>0</x:v>
      </x:c>
      <x:c r="V50" s="85" t="n">
        <x:f>IF(J50="Sí",I50*O50*S50,0)</x:f>
        <x:v>0</x:v>
      </x:c>
      <x:c r="W50" s="73" t="str">
        <x:v>APP-003</x:v>
      </x:c>
      <x:c r="X50" s="73" t="str">
        <x:v>Dashboard</x:v>
      </x:c>
      <x:c r="Y50" s="73" t="str">
        <x:v>KPIs, filtros y visualización</x:v>
      </x:c>
      <x:c r="Z50" s="73" t="str">
        <x:v>Analítica predictiva</x:v>
      </x:c>
      <x:c r="AA50" s="73" t="str">
        <x:v>Preliminar</x:v>
      </x:c>
      <x:c r="AB50" s="78" t="str">
        <x:v>Estimación técnica ISM · Validar</x:v>
      </x:c>
    </x:row>
    <x:row r="51">
      <x:c r="A51" s="77" t="str">
        <x:v>Desarrollo e Implementación</x:v>
      </x:c>
      <x:c r="B51" s="73" t="str">
        <x:v>APP-01</x:v>
      </x:c>
      <x:c r="C51" s="73" t="str">
        <x:v>Sistema web o aplicación de gestión</x:v>
      </x:c>
      <x:c r="D51" s="73" t="str">
        <x:v>02 · Optimización digital</x:v>
      </x:c>
      <x:c r="E51" s="73" t="str">
        <x:v>Backend</x:v>
      </x:c>
      <x:c r="F51" s="73" t="str">
        <x:v>APP-012</x:v>
      </x:c>
      <x:c r="G51" s="73" t="str">
        <x:v>Configuración de base de datos y migraciones</x:v>
      </x:c>
      <x:c r="H51" s="73" t="str">
        <x:v>Proyecto</x:v>
      </x:c>
      <x:c r="I51" s="85" t="n">
        <x:v>3</x:v>
      </x:c>
      <x:c r="J51" s="73" t="str">
        <x:v>Sí</x:v>
      </x:c>
      <x:c r="K51" s="73" t="str">
        <x:v>Sí</x:v>
      </x:c>
      <x:c r="L51" s="85" t="n">
        <x:v>3.5</x:v>
      </x:c>
      <x:c r="M51" s="85" t="str">
        <x:v>Parcial</x:v>
      </x:c>
      <x:c r="N51" s="85" t="n">
        <x:v>0.8</x:v>
      </x:c>
      <x:c r="O51" s="85" t="n">
        <x:f>L51*N51</x:f>
        <x:v>2.8000000000000003</x:v>
      </x:c>
      <x:c r="P51" s="85" t="str">
        <x:v>Alta</x:v>
      </x:c>
      <x:c r="Q51" s="85" t="n">
        <x:v>1</x:v>
      </x:c>
      <x:c r="R51" s="85" t="n">
        <x:v>1.45</x:v>
      </x:c>
      <x:c r="S51" s="85" t="n">
        <x:v>1.8</x:v>
      </x:c>
      <x:c r="T51" s="85" t="n">
        <x:f>IF(J51="Sí",I51*O51*Q51,0)</x:f>
        <x:v>8.4</x:v>
      </x:c>
      <x:c r="U51" s="85" t="n">
        <x:f>IF(J51="Sí",I51*O51*R51,0)</x:f>
        <x:v>12.18</x:v>
      </x:c>
      <x:c r="V51" s="85" t="n">
        <x:f>IF(J51="Sí",I51*O51*S51,0)</x:f>
        <x:v>15.120000000000001</x:v>
      </x:c>
      <x:c r="W51" s="73" t="str">
        <x:v>APP-003</x:v>
      </x:c>
      <x:c r="X51" s="73" t="str">
        <x:v>Esquema desplegado</x:v>
      </x:c>
      <x:c r="Y51" s="73" t="str">
        <x:v>Tablas, restricciones y migraciones</x:v>
      </x:c>
      <x:c r="Z51" s="73"/>
      <x:c r="AA51" s="73" t="str">
        <x:v>Preliminar</x:v>
      </x:c>
      <x:c r="AB51" s="78" t="str">
        <x:v>Estimación técnica ISM · Validar</x:v>
      </x:c>
    </x:row>
    <x:row r="52">
      <x:c r="A52" s="77" t="str">
        <x:v>Desarrollo e Implementación</x:v>
      </x:c>
      <x:c r="B52" s="73" t="str">
        <x:v>APP-01</x:v>
      </x:c>
      <x:c r="C52" s="73" t="str">
        <x:v>Sistema web o aplicación de gestión</x:v>
      </x:c>
      <x:c r="D52" s="73" t="str">
        <x:v>02 · Optimización digital</x:v>
      </x:c>
      <x:c r="E52" s="73" t="str">
        <x:v>Backend</x:v>
      </x:c>
      <x:c r="F52" s="73" t="str">
        <x:v>APP-013</x:v>
      </x:c>
      <x:c r="G52" s="73" t="str">
        <x:v>Implementación de servicio CRUD backend</x:v>
      </x:c>
      <x:c r="H52" s="73" t="str">
        <x:v>Entidad</x:v>
      </x:c>
      <x:c r="I52" s="85" t="n">
        <x:v>2</x:v>
      </x:c>
      <x:c r="J52" s="73" t="str">
        <x:v>Sí</x:v>
      </x:c>
      <x:c r="K52" s="73" t="str">
        <x:v>No</x:v>
      </x:c>
      <x:c r="L52" s="85" t="n">
        <x:v>3</x:v>
      </x:c>
      <x:c r="M52" s="85" t="str">
        <x:v>Parcial</x:v>
      </x:c>
      <x:c r="N52" s="85" t="n">
        <x:v>0.8</x:v>
      </x:c>
      <x:c r="O52" s="85" t="n">
        <x:f>L52*N52</x:f>
        <x:v>2.4000000000000004</x:v>
      </x:c>
      <x:c r="P52" s="85" t="str">
        <x:v>Alta</x:v>
      </x:c>
      <x:c r="Q52" s="85" t="n">
        <x:v>1</x:v>
      </x:c>
      <x:c r="R52" s="85" t="n">
        <x:v>1.45</x:v>
      </x:c>
      <x:c r="S52" s="85" t="n">
        <x:v>1.8</x:v>
      </x:c>
      <x:c r="T52" s="85" t="n">
        <x:f>IF(J52="Sí",I52*O52*Q52,0)</x:f>
        <x:v>4.800000000000001</x:v>
      </x:c>
      <x:c r="U52" s="85" t="n">
        <x:f>IF(J52="Sí",I52*O52*R52,0)</x:f>
        <x:v>6.960000000000001</x:v>
      </x:c>
      <x:c r="V52" s="85" t="n">
        <x:f>IF(J52="Sí",I52*O52*S52,0)</x:f>
        <x:v>8.640000000000002</x:v>
      </x:c>
      <x:c r="W52" s="73" t="str">
        <x:v>APP-012</x:v>
      </x:c>
      <x:c r="X52" s="73" t="str">
        <x:v>Servicios de datos</x:v>
      </x:c>
      <x:c r="Y52" s="73" t="str">
        <x:v>Operaciones de creación, consulta, actualización y eliminación con validaciones de servidor.</x:v>
      </x:c>
      <x:c r="Z52" s="73" t="str">
        <x:v>La interfaz de usuario se contabiliza en APP-010.</x:v>
      </x:c>
      <x:c r="AA52" s="73" t="str">
        <x:v>Preliminar</x:v>
      </x:c>
      <x:c r="AB52" s="78" t="str">
        <x:v>Estimación técnica ISM · Validar</x:v>
      </x:c>
    </x:row>
    <x:row r="53">
      <x:c r="A53" s="77" t="str">
        <x:v>Desarrollo e Implementación</x:v>
      </x:c>
      <x:c r="B53" s="73" t="str">
        <x:v>APP-01</x:v>
      </x:c>
      <x:c r="C53" s="73" t="str">
        <x:v>Sistema web o aplicación de gestión</x:v>
      </x:c>
      <x:c r="D53" s="73" t="str">
        <x:v>02 · Optimización digital</x:v>
      </x:c>
      <x:c r="E53" s="73" t="str">
        <x:v>Seguridad</x:v>
      </x:c>
      <x:c r="F53" s="73" t="str">
        <x:v>APP-014</x:v>
      </x:c>
      <x:c r="G53" s="73" t="str">
        <x:v>Autenticación y recuperación de acceso</x:v>
      </x:c>
      <x:c r="H53" s="73" t="str">
        <x:v>Sistema</x:v>
      </x:c>
      <x:c r="I53" s="85" t="n">
        <x:v>1</x:v>
      </x:c>
      <x:c r="J53" s="73" t="str">
        <x:v>Sí</x:v>
      </x:c>
      <x:c r="K53" s="73" t="str">
        <x:v>Sí</x:v>
      </x:c>
      <x:c r="L53" s="85" t="n">
        <x:v>5</x:v>
      </x:c>
      <x:c r="M53" s="85" t="str">
        <x:v>Parcial</x:v>
      </x:c>
      <x:c r="N53" s="85" t="n">
        <x:v>0.85</x:v>
      </x:c>
      <x:c r="O53" s="85" t="n">
        <x:f>L53*N53</x:f>
        <x:v>4.25</x:v>
      </x:c>
      <x:c r="P53" s="85" t="str">
        <x:v>Alta</x:v>
      </x:c>
      <x:c r="Q53" s="85" t="n">
        <x:v>1</x:v>
      </x:c>
      <x:c r="R53" s="85" t="n">
        <x:v>1.45</x:v>
      </x:c>
      <x:c r="S53" s="85" t="n">
        <x:v>1.8</x:v>
      </x:c>
      <x:c r="T53" s="85" t="n">
        <x:f>IF(J53="Sí",I53*O53*Q53,0)</x:f>
        <x:v>4.25</x:v>
      </x:c>
      <x:c r="U53" s="85" t="n">
        <x:f>IF(J53="Sí",I53*O53*R53,0)</x:f>
        <x:v>6.1625</x:v>
      </x:c>
      <x:c r="V53" s="85" t="n">
        <x:f>IF(J53="Sí",I53*O53*S53,0)</x:f>
        <x:v>7.65</x:v>
      </x:c>
      <x:c r="W53" s="73" t="str">
        <x:v>APP-012</x:v>
      </x:c>
      <x:c r="X53" s="73" t="str">
        <x:v>Flujo de acceso</x:v>
      </x:c>
      <x:c r="Y53" s="73" t="str">
        <x:v>Ingreso, cierre, recuperación y estados</x:v>
      </x:c>
      <x:c r="Z53" s="73"/>
      <x:c r="AA53" s="73" t="str">
        <x:v>Preliminar</x:v>
      </x:c>
      <x:c r="AB53" s="78" t="str">
        <x:v>Estimación técnica ISM · Validar</x:v>
      </x:c>
    </x:row>
    <x:row r="54">
      <x:c r="A54" s="77" t="str">
        <x:v>Desarrollo e Implementación</x:v>
      </x:c>
      <x:c r="B54" s="73" t="str">
        <x:v>APP-01</x:v>
      </x:c>
      <x:c r="C54" s="73" t="str">
        <x:v>Sistema web o aplicación de gestión</x:v>
      </x:c>
      <x:c r="D54" s="73" t="str">
        <x:v>02 · Optimización digital</x:v>
      </x:c>
      <x:c r="E54" s="73" t="str">
        <x:v>Seguridad</x:v>
      </x:c>
      <x:c r="F54" s="73" t="str">
        <x:v>APP-015</x:v>
      </x:c>
      <x:c r="G54" s="73" t="str">
        <x:v>Autorización por roles y protección de rutas</x:v>
      </x:c>
      <x:c r="H54" s="73" t="str">
        <x:v>Rol</x:v>
      </x:c>
      <x:c r="I54" s="85" t="n">
        <x:v>1.5</x:v>
      </x:c>
      <x:c r="J54" s="73" t="str">
        <x:v>Sí</x:v>
      </x:c>
      <x:c r="K54" s="73" t="str">
        <x:v>Sí</x:v>
      </x:c>
      <x:c r="L54" s="85" t="n">
        <x:v>2</x:v>
      </x:c>
      <x:c r="M54" s="85" t="str">
        <x:v>Parcial</x:v>
      </x:c>
      <x:c r="N54" s="85" t="n">
        <x:v>0.85</x:v>
      </x:c>
      <x:c r="O54" s="85" t="n">
        <x:f>L54*N54</x:f>
        <x:v>1.7</x:v>
      </x:c>
      <x:c r="P54" s="85" t="str">
        <x:v>Alta</x:v>
      </x:c>
      <x:c r="Q54" s="85" t="n">
        <x:v>1</x:v>
      </x:c>
      <x:c r="R54" s="85" t="n">
        <x:v>1.45</x:v>
      </x:c>
      <x:c r="S54" s="85" t="n">
        <x:v>1.8</x:v>
      </x:c>
      <x:c r="T54" s="85" t="n">
        <x:f>IF(J54="Sí",I54*O54*Q54,0)</x:f>
        <x:v>2.55</x:v>
      </x:c>
      <x:c r="U54" s="85" t="n">
        <x:f>IF(J54="Sí",I54*O54*R54,0)</x:f>
        <x:v>3.6975</x:v>
      </x:c>
      <x:c r="V54" s="85" t="n">
        <x:f>IF(J54="Sí",I54*O54*S54,0)</x:f>
        <x:v>4.59</x:v>
      </x:c>
      <x:c r="W54" s="73" t="str">
        <x:v>APP-004; APP-014</x:v>
      </x:c>
      <x:c r="X54" s="73" t="str">
        <x:v>Permisos aplicados</x:v>
      </x:c>
      <x:c r="Y54" s="73" t="str">
        <x:v>Rutas, consultas y acciones protegidas</x:v>
      </x:c>
      <x:c r="Z54" s="73"/>
      <x:c r="AA54" s="73" t="str">
        <x:v>Preliminar</x:v>
      </x:c>
      <x:c r="AB54" s="78" t="str">
        <x:v>Estimación técnica ISM · Validar</x:v>
      </x:c>
    </x:row>
    <x:row r="55">
      <x:c r="A55" s="77" t="str">
        <x:v>Desarrollo e Implementación</x:v>
      </x:c>
      <x:c r="B55" s="73" t="str">
        <x:v>APP-01</x:v>
      </x:c>
      <x:c r="C55" s="73" t="str">
        <x:v>Sistema web o aplicación de gestión</x:v>
      </x:c>
      <x:c r="D55" s="73" t="str">
        <x:v>02 · Optimización digital</x:v>
      </x:c>
      <x:c r="E55" s="73" t="str">
        <x:v>Funcionalidad</x:v>
      </x:c>
      <x:c r="F55" s="73" t="str">
        <x:v>APP-016</x:v>
      </x:c>
      <x:c r="G55" s="73" t="str">
        <x:v>Implementación de flujo de negocio estándar</x:v>
      </x:c>
      <x:c r="H55" s="73" t="str">
        <x:v>Flujo</x:v>
      </x:c>
      <x:c r="I55" s="85" t="n">
        <x:v>2</x:v>
      </x:c>
      <x:c r="J55" s="73" t="str">
        <x:v>Sí</x:v>
      </x:c>
      <x:c r="K55" s="73" t="str">
        <x:v>No</x:v>
      </x:c>
      <x:c r="L55" s="85" t="n">
        <x:v>5</x:v>
      </x:c>
      <x:c r="M55" s="85" t="str">
        <x:v>Parcial</x:v>
      </x:c>
      <x:c r="N55" s="85" t="n">
        <x:v>0.85</x:v>
      </x:c>
      <x:c r="O55" s="85" t="n">
        <x:f>L55*N55</x:f>
        <x:v>4.25</x:v>
      </x:c>
      <x:c r="P55" s="85" t="str">
        <x:v>Alta</x:v>
      </x:c>
      <x:c r="Q55" s="85" t="n">
        <x:v>1</x:v>
      </x:c>
      <x:c r="R55" s="85" t="n">
        <x:v>1.45</x:v>
      </x:c>
      <x:c r="S55" s="85" t="n">
        <x:v>1.8</x:v>
      </x:c>
      <x:c r="T55" s="85" t="n">
        <x:f>IF(J55="Sí",I55*O55*Q55,0)</x:f>
        <x:v>8.5</x:v>
      </x:c>
      <x:c r="U55" s="85" t="n">
        <x:f>IF(J55="Sí",I55*O55*R55,0)</x:f>
        <x:v>12.325</x:v>
      </x:c>
      <x:c r="V55" s="85" t="n">
        <x:f>IF(J55="Sí",I55*O55*S55,0)</x:f>
        <x:v>15.3</x:v>
      </x:c>
      <x:c r="W55" s="73" t="str">
        <x:v>APP-013</x:v>
      </x:c>
      <x:c r="X55" s="73" t="str">
        <x:v>Flujo funcional</x:v>
      </x:c>
      <x:c r="Y55" s="73" t="str">
        <x:v>Reglas, transiciones y persistencia</x:v>
      </x:c>
      <x:c r="Z55" s="73"/>
      <x:c r="AA55" s="73" t="str">
        <x:v>Preliminar</x:v>
      </x:c>
      <x:c r="AB55" s="78" t="str">
        <x:v>Estimación técnica ISM · Validar</x:v>
      </x:c>
    </x:row>
    <x:row r="56">
      <x:c r="A56" s="77" t="str">
        <x:v>Desarrollo e Implementación</x:v>
      </x:c>
      <x:c r="B56" s="73" t="str">
        <x:v>APP-01</x:v>
      </x:c>
      <x:c r="C56" s="73" t="str">
        <x:v>Sistema web o aplicación de gestión</x:v>
      </x:c>
      <x:c r="D56" s="73" t="str">
        <x:v>02 · Optimización digital</x:v>
      </x:c>
      <x:c r="E56" s="73" t="str">
        <x:v>Integración</x:v>
      </x:c>
      <x:c r="F56" s="73" t="str">
        <x:v>APP-017</x:v>
      </x:c>
      <x:c r="G56" s="73" t="str">
        <x:v>Notificación por correo</x:v>
      </x:c>
      <x:c r="H56" s="73" t="str">
        <x:v>Integración</x:v>
      </x:c>
      <x:c r="I56" s="85" t="n">
        <x:v>1</x:v>
      </x:c>
      <x:c r="J56" s="73" t="str">
        <x:v>No</x:v>
      </x:c>
      <x:c r="K56" s="73" t="str">
        <x:v>No</x:v>
      </x:c>
      <x:c r="L56" s="85" t="n">
        <x:v>3</x:v>
      </x:c>
      <x:c r="M56" s="85" t="str">
        <x:v>Parcial</x:v>
      </x:c>
      <x:c r="N56" s="85" t="n">
        <x:v>0.85</x:v>
      </x:c>
      <x:c r="O56" s="85" t="n">
        <x:f>L56*N56</x:f>
        <x:v>2.55</x:v>
      </x:c>
      <x:c r="P56" s="85" t="str">
        <x:v>Alta</x:v>
      </x:c>
      <x:c r="Q56" s="85" t="n">
        <x:v>1</x:v>
      </x:c>
      <x:c r="R56" s="85" t="n">
        <x:v>1.45</x:v>
      </x:c>
      <x:c r="S56" s="85" t="n">
        <x:v>1.8</x:v>
      </x:c>
      <x:c r="T56" s="85" t="n">
        <x:f>IF(J56="Sí",I56*O56*Q56,0)</x:f>
        <x:v>0</x:v>
      </x:c>
      <x:c r="U56" s="85" t="n">
        <x:f>IF(J56="Sí",I56*O56*R56,0)</x:f>
        <x:v>0</x:v>
      </x:c>
      <x:c r="V56" s="85" t="n">
        <x:f>IF(J56="Sí",I56*O56*S56,0)</x:f>
        <x:v>0</x:v>
      </x:c>
      <x:c r="W56" s="73" t="str">
        <x:v>APP-013</x:v>
      </x:c>
      <x:c r="X56" s="73" t="str">
        <x:v>Notificación operativa</x:v>
      </x:c>
      <x:c r="Y56" s="73" t="str">
        <x:v>Plantilla, envío, manejo de error y prueba</x:v>
      </x:c>
      <x:c r="Z56" s="73" t="str">
        <x:v>Costo del proveedor</x:v>
      </x:c>
      <x:c r="AA56" s="73" t="str">
        <x:v>Preliminar</x:v>
      </x:c>
      <x:c r="AB56" s="78" t="str">
        <x:v>Estimación técnica ISM · Validar</x:v>
      </x:c>
    </x:row>
    <x:row r="57">
      <x:c r="A57" s="77" t="str">
        <x:v>Desarrollo e Implementación</x:v>
      </x:c>
      <x:c r="B57" s="73" t="str">
        <x:v>APP-01</x:v>
      </x:c>
      <x:c r="C57" s="73" t="str">
        <x:v>Sistema web o aplicación de gestión</x:v>
      </x:c>
      <x:c r="D57" s="73" t="str">
        <x:v>02 · Optimización digital</x:v>
      </x:c>
      <x:c r="E57" s="73" t="str">
        <x:v>Integración</x:v>
      </x:c>
      <x:c r="F57" s="73" t="str">
        <x:v>APP-018</x:v>
      </x:c>
      <x:c r="G57" s="73" t="str">
        <x:v>Exportación Excel</x:v>
      </x:c>
      <x:c r="H57" s="73" t="str">
        <x:v>Reporte</x:v>
      </x:c>
      <x:c r="I57" s="85" t="n">
        <x:v>1</x:v>
      </x:c>
      <x:c r="J57" s="73" t="str">
        <x:v>No</x:v>
      </x:c>
      <x:c r="K57" s="73" t="str">
        <x:v>No</x:v>
      </x:c>
      <x:c r="L57" s="85" t="n">
        <x:v>3</x:v>
      </x:c>
      <x:c r="M57" s="85" t="str">
        <x:v>Alta</x:v>
      </x:c>
      <x:c r="N57" s="85" t="n">
        <x:v>0.65</x:v>
      </x:c>
      <x:c r="O57" s="85" t="n">
        <x:f>L57*N57</x:f>
        <x:v>1.9500000000000002</x:v>
      </x:c>
      <x:c r="P57" s="85" t="str">
        <x:v>Media</x:v>
      </x:c>
      <x:c r="Q57" s="85" t="n">
        <x:v>1</x:v>
      </x:c>
      <x:c r="R57" s="85" t="n">
        <x:v>1.3</x:v>
      </x:c>
      <x:c r="S57" s="85" t="n">
        <x:v>1.55</x:v>
      </x:c>
      <x:c r="T57" s="85" t="n">
        <x:f>IF(J57="Sí",I57*O57*Q57,0)</x:f>
        <x:v>0</x:v>
      </x:c>
      <x:c r="U57" s="85" t="n">
        <x:f>IF(J57="Sí",I57*O57*R57,0)</x:f>
        <x:v>0</x:v>
      </x:c>
      <x:c r="V57" s="85" t="n">
        <x:f>IF(J57="Sí",I57*O57*S57,0)</x:f>
        <x:v>0</x:v>
      </x:c>
      <x:c r="W57" s="73" t="str">
        <x:v>APP-013</x:v>
      </x:c>
      <x:c r="X57" s="73" t="str">
        <x:v>Archivo Excel</x:v>
      </x:c>
      <x:c r="Y57" s="73" t="str">
        <x:v>Columnas, filtros, formato y descarga</x:v>
      </x:c>
      <x:c r="Z57" s="73"/>
      <x:c r="AA57" s="73" t="str">
        <x:v>Preliminar</x:v>
      </x:c>
      <x:c r="AB57" s="78" t="str">
        <x:v>Estimación técnica ISM · Validar</x:v>
      </x:c>
    </x:row>
    <x:row r="58">
      <x:c r="A58" s="77" t="str">
        <x:v>Desarrollo e Implementación</x:v>
      </x:c>
      <x:c r="B58" s="73" t="str">
        <x:v>APP-01</x:v>
      </x:c>
      <x:c r="C58" s="73" t="str">
        <x:v>Sistema web o aplicación de gestión</x:v>
      </x:c>
      <x:c r="D58" s="73" t="str">
        <x:v>02 · Optimización digital</x:v>
      </x:c>
      <x:c r="E58" s="73" t="str">
        <x:v>Integración</x:v>
      </x:c>
      <x:c r="F58" s="73" t="str">
        <x:v>APP-019</x:v>
      </x:c>
      <x:c r="G58" s="73" t="str">
        <x:v>Exportación PDF</x:v>
      </x:c>
      <x:c r="H58" s="73" t="str">
        <x:v>Reporte</x:v>
      </x:c>
      <x:c r="I58" s="85" t="n">
        <x:v>1</x:v>
      </x:c>
      <x:c r="J58" s="73" t="str">
        <x:v>No</x:v>
      </x:c>
      <x:c r="K58" s="73" t="str">
        <x:v>No</x:v>
      </x:c>
      <x:c r="L58" s="85" t="n">
        <x:v>4</x:v>
      </x:c>
      <x:c r="M58" s="85" t="str">
        <x:v>Parcial</x:v>
      </x:c>
      <x:c r="N58" s="85" t="n">
        <x:v>0.8</x:v>
      </x:c>
      <x:c r="O58" s="85" t="n">
        <x:f>L58*N58</x:f>
        <x:v>3.2</x:v>
      </x:c>
      <x:c r="P58" s="85" t="str">
        <x:v>Alta</x:v>
      </x:c>
      <x:c r="Q58" s="85" t="n">
        <x:v>1</x:v>
      </x:c>
      <x:c r="R58" s="85" t="n">
        <x:v>1.45</x:v>
      </x:c>
      <x:c r="S58" s="85" t="n">
        <x:v>1.8</x:v>
      </x:c>
      <x:c r="T58" s="85" t="n">
        <x:f>IF(J58="Sí",I58*O58*Q58,0)</x:f>
        <x:v>0</x:v>
      </x:c>
      <x:c r="U58" s="85" t="n">
        <x:f>IF(J58="Sí",I58*O58*R58,0)</x:f>
        <x:v>0</x:v>
      </x:c>
      <x:c r="V58" s="85" t="n">
        <x:f>IF(J58="Sí",I58*O58*S58,0)</x:f>
        <x:v>0</x:v>
      </x:c>
      <x:c r="W58" s="73" t="str">
        <x:v>APP-013</x:v>
      </x:c>
      <x:c r="X58" s="73" t="str">
        <x:v>Archivo PDF</x:v>
      </x:c>
      <x:c r="Y58" s="73" t="str">
        <x:v>Diseño, paginación, tablas y descarga</x:v>
      </x:c>
      <x:c r="Z58" s="73"/>
      <x:c r="AA58" s="73" t="str">
        <x:v>Preliminar</x:v>
      </x:c>
      <x:c r="AB58" s="78" t="str">
        <x:v>Estimación técnica ISM · Validar</x:v>
      </x:c>
    </x:row>
    <x:row r="59">
      <x:c r="A59" s="77" t="str">
        <x:v>Desarrollo e Implementación</x:v>
      </x:c>
      <x:c r="B59" s="73" t="str">
        <x:v>APP-01</x:v>
      </x:c>
      <x:c r="C59" s="73" t="str">
        <x:v>Sistema web o aplicación de gestión</x:v>
      </x:c>
      <x:c r="D59" s="73" t="str">
        <x:v>02 · Optimización digital</x:v>
      </x:c>
      <x:c r="E59" s="73" t="str">
        <x:v>Calidad</x:v>
      </x:c>
      <x:c r="F59" s="73" t="str">
        <x:v>APP-020</x:v>
      </x:c>
      <x:c r="G59" s="73" t="str">
        <x:v>Pruebas unitarias de reglas críticas</x:v>
      </x:c>
      <x:c r="H59" s="73" t="str">
        <x:v>Regla</x:v>
      </x:c>
      <x:c r="I59" s="85" t="n">
        <x:v>3</x:v>
      </x:c>
      <x:c r="J59" s="73" t="str">
        <x:v>Sí</x:v>
      </x:c>
      <x:c r="K59" s="73" t="str">
        <x:v>No</x:v>
      </x:c>
      <x:c r="L59" s="85" t="n">
        <x:v>1.5</x:v>
      </x:c>
      <x:c r="M59" s="85" t="str">
        <x:v>Parcial</x:v>
      </x:c>
      <x:c r="N59" s="85" t="n">
        <x:v>0.85</x:v>
      </x:c>
      <x:c r="O59" s="85" t="n">
        <x:f>L59*N59</x:f>
        <x:v>1.275</x:v>
      </x:c>
      <x:c r="P59" s="85" t="str">
        <x:v>Alta</x:v>
      </x:c>
      <x:c r="Q59" s="85" t="n">
        <x:v>1</x:v>
      </x:c>
      <x:c r="R59" s="85" t="n">
        <x:v>1.45</x:v>
      </x:c>
      <x:c r="S59" s="85" t="n">
        <x:v>1.8</x:v>
      </x:c>
      <x:c r="T59" s="85" t="n">
        <x:f>IF(J59="Sí",I59*O59*Q59,0)</x:f>
        <x:v>3.8249999999999997</x:v>
      </x:c>
      <x:c r="U59" s="85" t="n">
        <x:f>IF(J59="Sí",I59*O59*R59,0)</x:f>
        <x:v>5.54625</x:v>
      </x:c>
      <x:c r="V59" s="85" t="n">
        <x:f>IF(J59="Sí",I59*O59*S59,0)</x:f>
        <x:v>6.885</x:v>
      </x:c>
      <x:c r="W59" s="73" t="str">
        <x:v>APP-016</x:v>
      </x:c>
      <x:c r="X59" s="73" t="str">
        <x:v>Suite de pruebas</x:v>
      </x:c>
      <x:c r="Y59" s="73" t="str">
        <x:v>Casos normales, límites y errores</x:v>
      </x:c>
      <x:c r="Z59" s="73"/>
      <x:c r="AA59" s="73" t="str">
        <x:v>Preliminar</x:v>
      </x:c>
      <x:c r="AB59" s="78" t="str">
        <x:v>Estimación técnica ISM · Validar</x:v>
      </x:c>
    </x:row>
    <x:row r="60">
      <x:c r="A60" s="77" t="str">
        <x:v>Desarrollo e Implementación</x:v>
      </x:c>
      <x:c r="B60" s="73" t="str">
        <x:v>APP-01</x:v>
      </x:c>
      <x:c r="C60" s="73" t="str">
        <x:v>Sistema web o aplicación de gestión</x:v>
      </x:c>
      <x:c r="D60" s="73" t="str">
        <x:v>02 · Optimización digital</x:v>
      </x:c>
      <x:c r="E60" s="73" t="str">
        <x:v>Calidad</x:v>
      </x:c>
      <x:c r="F60" s="73" t="str">
        <x:v>APP-021</x:v>
      </x:c>
      <x:c r="G60" s="73" t="str">
        <x:v>Pruebas de integración y permisos</x:v>
      </x:c>
      <x:c r="H60" s="73" t="str">
        <x:v>Proyecto</x:v>
      </x:c>
      <x:c r="I60" s="85" t="n">
        <x:v>1</x:v>
      </x:c>
      <x:c r="J60" s="73" t="str">
        <x:v>Sí</x:v>
      </x:c>
      <x:c r="K60" s="73" t="str">
        <x:v>Sí</x:v>
      </x:c>
      <x:c r="L60" s="85" t="n">
        <x:v>4</x:v>
      </x:c>
      <x:c r="M60" s="85" t="str">
        <x:v>No</x:v>
      </x:c>
      <x:c r="N60" s="85" t="n">
        <x:v>1</x:v>
      </x:c>
      <x:c r="O60" s="85" t="n">
        <x:f>L60*N60</x:f>
        <x:v>4</x:v>
      </x:c>
      <x:c r="P60" s="85" t="str">
        <x:v>Alta</x:v>
      </x:c>
      <x:c r="Q60" s="85" t="n">
        <x:v>1</x:v>
      </x:c>
      <x:c r="R60" s="85" t="n">
        <x:v>1.45</x:v>
      </x:c>
      <x:c r="S60" s="85" t="n">
        <x:v>1.8</x:v>
      </x:c>
      <x:c r="T60" s="85" t="n">
        <x:f>IF(J60="Sí",I60*O60*Q60,0)</x:f>
        <x:v>4</x:v>
      </x:c>
      <x:c r="U60" s="85" t="n">
        <x:f>IF(J60="Sí",I60*O60*R60,0)</x:f>
        <x:v>5.8</x:v>
      </x:c>
      <x:c r="V60" s="85" t="n">
        <x:f>IF(J60="Sí",I60*O60*S60,0)</x:f>
        <x:v>7.2</x:v>
      </x:c>
      <x:c r="W60" s="73" t="str">
        <x:v>APP-015; APP-016</x:v>
      </x:c>
      <x:c r="X60" s="73" t="str">
        <x:v>Informe de pruebas</x:v>
      </x:c>
      <x:c r="Y60" s="73" t="str">
        <x:v>Datos, roles, rutas y flujos</x:v>
      </x:c>
      <x:c r="Z60" s="73"/>
      <x:c r="AA60" s="73" t="str">
        <x:v>Preliminar</x:v>
      </x:c>
      <x:c r="AB60" s="78" t="str">
        <x:v>Estimación técnica ISM · Validar</x:v>
      </x:c>
    </x:row>
    <x:row r="61">
      <x:c r="A61" s="77" t="str">
        <x:v>Desarrollo e Implementación</x:v>
      </x:c>
      <x:c r="B61" s="73" t="str">
        <x:v>APP-01</x:v>
      </x:c>
      <x:c r="C61" s="73" t="str">
        <x:v>Sistema web o aplicación de gestión</x:v>
      </x:c>
      <x:c r="D61" s="73" t="str">
        <x:v>02 · Optimización digital</x:v>
      </x:c>
      <x:c r="E61" s="73" t="str">
        <x:v>Calidad</x:v>
      </x:c>
      <x:c r="F61" s="73" t="str">
        <x:v>APP-022</x:v>
      </x:c>
      <x:c r="G61" s="73" t="str">
        <x:v>Validación responsive y experiencia de usuario</x:v>
      </x:c>
      <x:c r="H61" s="73" t="str">
        <x:v>Proyecto</x:v>
      </x:c>
      <x:c r="I61" s="85" t="n">
        <x:v>1</x:v>
      </x:c>
      <x:c r="J61" s="73" t="str">
        <x:v>Sí</x:v>
      </x:c>
      <x:c r="K61" s="73" t="str">
        <x:v>No</x:v>
      </x:c>
      <x:c r="L61" s="85" t="n">
        <x:v>3</x:v>
      </x:c>
      <x:c r="M61" s="85" t="str">
        <x:v>No</x:v>
      </x:c>
      <x:c r="N61" s="85" t="n">
        <x:v>1</x:v>
      </x:c>
      <x:c r="O61" s="85" t="n">
        <x:f>L61*N61</x:f>
        <x:v>3</x:v>
      </x:c>
      <x:c r="P61" s="85" t="str">
        <x:v>Media</x:v>
      </x:c>
      <x:c r="Q61" s="85" t="n">
        <x:v>1</x:v>
      </x:c>
      <x:c r="R61" s="85" t="n">
        <x:v>1.3</x:v>
      </x:c>
      <x:c r="S61" s="85" t="n">
        <x:v>1.55</x:v>
      </x:c>
      <x:c r="T61" s="85" t="n">
        <x:f>IF(J61="Sí",I61*O61*Q61,0)</x:f>
        <x:v>3</x:v>
      </x:c>
      <x:c r="U61" s="85" t="n">
        <x:f>IF(J61="Sí",I61*O61*R61,0)</x:f>
        <x:v>3.9000000000000004</x:v>
      </x:c>
      <x:c r="V61" s="85" t="n">
        <x:f>IF(J61="Sí",I61*O61*S61,0)</x:f>
        <x:v>4.65</x:v>
      </x:c>
      <x:c r="W61" s="73" t="str">
        <x:v>APP-009</x:v>
      </x:c>
      <x:c r="X61" s="73" t="str">
        <x:v>Checklist UX</x:v>
      </x:c>
      <x:c r="Y61" s="73" t="str">
        <x:v>Pruebas de adaptación, navegación, mensajes, estados y usabilidad. No incluye construcción de interfaz.</x:v>
      </x:c>
      <x:c r="Z61" s="73" t="str">
        <x:v>Los ajustes derivados se contabilizan en APP-027 cuando exceden correcciones menores.</x:v>
      </x:c>
      <x:c r="AA61" s="73" t="str">
        <x:v>Preliminar</x:v>
      </x:c>
      <x:c r="AB61" s="78" t="str">
        <x:v>Estimación técnica ISM · Validar</x:v>
      </x:c>
    </x:row>
    <x:row r="62">
      <x:c r="A62" s="77" t="str">
        <x:v>Desarrollo e Implementación</x:v>
      </x:c>
      <x:c r="B62" s="73" t="str">
        <x:v>APP-01</x:v>
      </x:c>
      <x:c r="C62" s="73" t="str">
        <x:v>Sistema web o aplicación de gestión</x:v>
      </x:c>
      <x:c r="D62" s="73" t="str">
        <x:v>02 · Optimización digital</x:v>
      </x:c>
      <x:c r="E62" s="73" t="str">
        <x:v>Datos</x:v>
      </x:c>
      <x:c r="F62" s="73" t="str">
        <x:v>APP-023</x:v>
      </x:c>
      <x:c r="G62" s="73" t="str">
        <x:v>Carga o migración inicial de datos</x:v>
      </x:c>
      <x:c r="H62" s="73" t="str">
        <x:v>Lote</x:v>
      </x:c>
      <x:c r="I62" s="85" t="n">
        <x:v>0.5</x:v>
      </x:c>
      <x:c r="J62" s="73" t="str">
        <x:v>No</x:v>
      </x:c>
      <x:c r="K62" s="73" t="str">
        <x:v>No</x:v>
      </x:c>
      <x:c r="L62" s="85" t="n">
        <x:v>5</x:v>
      </x:c>
      <x:c r="M62" s="85" t="str">
        <x:v>No</x:v>
      </x:c>
      <x:c r="N62" s="85" t="n">
        <x:v>1</x:v>
      </x:c>
      <x:c r="O62" s="85" t="n">
        <x:f>L62*N62</x:f>
        <x:v>5</x:v>
      </x:c>
      <x:c r="P62" s="85" t="str">
        <x:v>Alta</x:v>
      </x:c>
      <x:c r="Q62" s="85" t="n">
        <x:v>1</x:v>
      </x:c>
      <x:c r="R62" s="85" t="n">
        <x:v>1.45</x:v>
      </x:c>
      <x:c r="S62" s="85" t="n">
        <x:v>1.8</x:v>
      </x:c>
      <x:c r="T62" s="85" t="n">
        <x:f>IF(J62="Sí",I62*O62*Q62,0)</x:f>
        <x:v>0</x:v>
      </x:c>
      <x:c r="U62" s="85" t="n">
        <x:f>IF(J62="Sí",I62*O62*R62,0)</x:f>
        <x:v>0</x:v>
      </x:c>
      <x:c r="V62" s="85" t="n">
        <x:f>IF(J62="Sí",I62*O62*S62,0)</x:f>
        <x:v>0</x:v>
      </x:c>
      <x:c r="W62" s="73" t="str">
        <x:v>APP-012</x:v>
      </x:c>
      <x:c r="X62" s="73" t="str">
        <x:v>Datos migrados</x:v>
      </x:c>
      <x:c r="Y62" s="73" t="str">
        <x:v>Mapeo, validación, carga y conciliación</x:v>
      </x:c>
      <x:c r="Z62" s="73" t="str">
        <x:v>Limpieza extensa de datos</x:v>
      </x:c>
      <x:c r="AA62" s="73" t="str">
        <x:v>Preliminar</x:v>
      </x:c>
      <x:c r="AB62" s="78" t="str">
        <x:v>Estimación técnica ISM · Validar</x:v>
      </x:c>
    </x:row>
    <x:row r="63">
      <x:c r="A63" s="77" t="str">
        <x:v>Desarrollo e Implementación</x:v>
      </x:c>
      <x:c r="B63" s="73" t="str">
        <x:v>APP-01</x:v>
      </x:c>
      <x:c r="C63" s="73" t="str">
        <x:v>Sistema web o aplicación de gestión</x:v>
      </x:c>
      <x:c r="D63" s="73" t="str">
        <x:v>02 · Optimización digital</x:v>
      </x:c>
      <x:c r="E63" s="73" t="str">
        <x:v>Despliegue</x:v>
      </x:c>
      <x:c r="F63" s="73" t="str">
        <x:v>APP-024</x:v>
      </x:c>
      <x:c r="G63" s="73" t="str">
        <x:v>Configuración y despliegue de producción</x:v>
      </x:c>
      <x:c r="H63" s="73" t="str">
        <x:v>Entorno</x:v>
      </x:c>
      <x:c r="I63" s="85" t="n">
        <x:v>1</x:v>
      </x:c>
      <x:c r="J63" s="73" t="str">
        <x:v>Sí</x:v>
      </x:c>
      <x:c r="K63" s="73" t="str">
        <x:v>Sí</x:v>
      </x:c>
      <x:c r="L63" s="85" t="n">
        <x:v>3</x:v>
      </x:c>
      <x:c r="M63" s="85" t="str">
        <x:v>Parcial</x:v>
      </x:c>
      <x:c r="N63" s="85" t="n">
        <x:v>0.8</x:v>
      </x:c>
      <x:c r="O63" s="85" t="n">
        <x:f>L63*N63</x:f>
        <x:v>2.4000000000000004</x:v>
      </x:c>
      <x:c r="P63" s="85" t="str">
        <x:v>Alta</x:v>
      </x:c>
      <x:c r="Q63" s="85" t="n">
        <x:v>1</x:v>
      </x:c>
      <x:c r="R63" s="85" t="n">
        <x:v>1.45</x:v>
      </x:c>
      <x:c r="S63" s="85" t="n">
        <x:v>1.8</x:v>
      </x:c>
      <x:c r="T63" s="85" t="n">
        <x:f>IF(J63="Sí",I63*O63*Q63,0)</x:f>
        <x:v>2.4000000000000004</x:v>
      </x:c>
      <x:c r="U63" s="85" t="n">
        <x:f>IF(J63="Sí",I63*O63*R63,0)</x:f>
        <x:v>3.4800000000000004</x:v>
      </x:c>
      <x:c r="V63" s="85" t="n">
        <x:f>IF(J63="Sí",I63*O63*S63,0)</x:f>
        <x:v>4.320000000000001</x:v>
      </x:c>
      <x:c r="W63" s="73" t="str">
        <x:v>APP-021</x:v>
      </x:c>
      <x:c r="X63" s="73" t="str">
        <x:v>Producción operativa</x:v>
      </x:c>
      <x:c r="Y63" s="73" t="str">
        <x:v>Variables, build, base de datos y validación</x:v>
      </x:c>
      <x:c r="Z63" s="73" t="str">
        <x:v>Costos de infraestructura</x:v>
      </x:c>
      <x:c r="AA63" s="73" t="str">
        <x:v>Preliminar</x:v>
      </x:c>
      <x:c r="AB63" s="78" t="str">
        <x:v>Estimación técnica ISM · Validar</x:v>
      </x:c>
    </x:row>
    <x:row r="64">
      <x:c r="A64" s="77" t="str">
        <x:v>Desarrollo e Implementación</x:v>
      </x:c>
      <x:c r="B64" s="73" t="str">
        <x:v>APP-01</x:v>
      </x:c>
      <x:c r="C64" s="73" t="str">
        <x:v>Sistema web o aplicación de gestión</x:v>
      </x:c>
      <x:c r="D64" s="73" t="str">
        <x:v>02 · Optimización digital</x:v>
      </x:c>
      <x:c r="E64" s="73" t="str">
        <x:v>Cierre</x:v>
      </x:c>
      <x:c r="F64" s="73" t="str">
        <x:v>APP-025</x:v>
      </x:c>
      <x:c r="G64" s="73" t="str">
        <x:v>Capacitación de usuario administrador</x:v>
      </x:c>
      <x:c r="H64" s="73" t="str">
        <x:v>Sesión</x:v>
      </x:c>
      <x:c r="I64" s="85" t="n">
        <x:v>1</x:v>
      </x:c>
      <x:c r="J64" s="73" t="str">
        <x:v>Sí</x:v>
      </x:c>
      <x:c r="K64" s="73" t="str">
        <x:v>No</x:v>
      </x:c>
      <x:c r="L64" s="85" t="n">
        <x:v>2</x:v>
      </x:c>
      <x:c r="M64" s="85" t="str">
        <x:v>No</x:v>
      </x:c>
      <x:c r="N64" s="85" t="n">
        <x:v>1</x:v>
      </x:c>
      <x:c r="O64" s="85" t="n">
        <x:f>L64*N64</x:f>
        <x:v>2</x:v>
      </x:c>
      <x:c r="P64" s="85" t="str">
        <x:v>Media</x:v>
      </x:c>
      <x:c r="Q64" s="85" t="n">
        <x:v>1</x:v>
      </x:c>
      <x:c r="R64" s="85" t="n">
        <x:v>1.3</x:v>
      </x:c>
      <x:c r="S64" s="85" t="n">
        <x:v>1.55</x:v>
      </x:c>
      <x:c r="T64" s="85" t="n">
        <x:f>IF(J64="Sí",I64*O64*Q64,0)</x:f>
        <x:v>2</x:v>
      </x:c>
      <x:c r="U64" s="85" t="n">
        <x:f>IF(J64="Sí",I64*O64*R64,0)</x:f>
        <x:v>2.6</x:v>
      </x:c>
      <x:c r="V64" s="85" t="n">
        <x:f>IF(J64="Sí",I64*O64*S64,0)</x:f>
        <x:v>3.1</x:v>
      </x:c>
      <x:c r="W64" s="73" t="str">
        <x:v>APP-024</x:v>
      </x:c>
      <x:c r="X64" s="73" t="str">
        <x:v>Capacitación</x:v>
      </x:c>
      <x:c r="Y64" s="73" t="str">
        <x:v>Uso, administración y resolución básica</x:v>
      </x:c>
      <x:c r="Z64" s="73"/>
      <x:c r="AA64" s="73" t="str">
        <x:v>Preliminar</x:v>
      </x:c>
      <x:c r="AB64" s="78" t="str">
        <x:v>Estimación técnica ISM · Validar</x:v>
      </x:c>
    </x:row>
    <x:row r="65">
      <x:c r="A65" s="77" t="str">
        <x:v>Desarrollo e Implementación</x:v>
      </x:c>
      <x:c r="B65" s="73" t="str">
        <x:v>APP-01</x:v>
      </x:c>
      <x:c r="C65" s="73" t="str">
        <x:v>Sistema web o aplicación de gestión</x:v>
      </x:c>
      <x:c r="D65" s="73" t="str">
        <x:v>02 · Optimización digital</x:v>
      </x:c>
      <x:c r="E65" s="73" t="str">
        <x:v>Cierre</x:v>
      </x:c>
      <x:c r="F65" s="73" t="str">
        <x:v>APP-026</x:v>
      </x:c>
      <x:c r="G65" s="73" t="str">
        <x:v>Documentación técnica y funcional</x:v>
      </x:c>
      <x:c r="H65" s="73" t="str">
        <x:v>Proyecto</x:v>
      </x:c>
      <x:c r="I65" s="85" t="n">
        <x:v>1</x:v>
      </x:c>
      <x:c r="J65" s="73" t="str">
        <x:v>Sí</x:v>
      </x:c>
      <x:c r="K65" s="73" t="str">
        <x:v>Sí</x:v>
      </x:c>
      <x:c r="L65" s="85" t="n">
        <x:v>3</x:v>
      </x:c>
      <x:c r="M65" s="85" t="str">
        <x:v>No</x:v>
      </x:c>
      <x:c r="N65" s="85" t="n">
        <x:v>1</x:v>
      </x:c>
      <x:c r="O65" s="85" t="n">
        <x:f>L65*N65</x:f>
        <x:v>3</x:v>
      </x:c>
      <x:c r="P65" s="85" t="str">
        <x:v>Media</x:v>
      </x:c>
      <x:c r="Q65" s="85" t="n">
        <x:v>1</x:v>
      </x:c>
      <x:c r="R65" s="85" t="n">
        <x:v>1.3</x:v>
      </x:c>
      <x:c r="S65" s="85" t="n">
        <x:v>1.55</x:v>
      </x:c>
      <x:c r="T65" s="85" t="n">
        <x:f>IF(J65="Sí",I65*O65*Q65,0)</x:f>
        <x:v>3</x:v>
      </x:c>
      <x:c r="U65" s="85" t="n">
        <x:f>IF(J65="Sí",I65*O65*R65,0)</x:f>
        <x:v>3.9000000000000004</x:v>
      </x:c>
      <x:c r="V65" s="85" t="n">
        <x:f>IF(J65="Sí",I65*O65*S65,0)</x:f>
        <x:v>4.65</x:v>
      </x:c>
      <x:c r="W65" s="73"/>
      <x:c r="X65" s="73" t="str">
        <x:v>Documentación</x:v>
      </x:c>
      <x:c r="Y65" s="73" t="str">
        <x:v>Arquitectura, instalación y uso</x:v>
      </x:c>
      <x:c r="Z65" s="73"/>
      <x:c r="AA65" s="73" t="str">
        <x:v>Preliminar</x:v>
      </x:c>
      <x:c r="AB65" s="78" t="str">
        <x:v>Estimación técnica ISM · Validar</x:v>
      </x:c>
    </x:row>
    <x:row r="66">
      <x:c r="A66" s="77" t="str">
        <x:v>Desarrollo e Implementación</x:v>
      </x:c>
      <x:c r="B66" s="73" t="str">
        <x:v>APP-01</x:v>
      </x:c>
      <x:c r="C66" s="73" t="str">
        <x:v>Sistema web o aplicación de gestión</x:v>
      </x:c>
      <x:c r="D66" s="73" t="str">
        <x:v>02 · Optimización digital</x:v>
      </x:c>
      <x:c r="E66" s="73" t="str">
        <x:v>Cierre</x:v>
      </x:c>
      <x:c r="F66" s="73" t="str">
        <x:v>APP-027</x:v>
      </x:c>
      <x:c r="G66" s="73" t="str">
        <x:v>Ciclo de ajustes posterior a UAT</x:v>
      </x:c>
      <x:c r="H66" s="73" t="str">
        <x:v>Ciclo</x:v>
      </x:c>
      <x:c r="I66" s="85" t="n">
        <x:v>1</x:v>
      </x:c>
      <x:c r="J66" s="73" t="str">
        <x:v>Sí</x:v>
      </x:c>
      <x:c r="K66" s="73" t="str">
        <x:v>No</x:v>
      </x:c>
      <x:c r="L66" s="85" t="n">
        <x:v>4</x:v>
      </x:c>
      <x:c r="M66" s="85" t="str">
        <x:v>No</x:v>
      </x:c>
      <x:c r="N66" s="85" t="n">
        <x:v>1</x:v>
      </x:c>
      <x:c r="O66" s="85" t="n">
        <x:f>L66*N66</x:f>
        <x:v>4</x:v>
      </x:c>
      <x:c r="P66" s="85" t="str">
        <x:v>Alta</x:v>
      </x:c>
      <x:c r="Q66" s="85" t="n">
        <x:v>1</x:v>
      </x:c>
      <x:c r="R66" s="85" t="n">
        <x:v>1.45</x:v>
      </x:c>
      <x:c r="S66" s="85" t="n">
        <x:v>1.8</x:v>
      </x:c>
      <x:c r="T66" s="85" t="n">
        <x:f>IF(J66="Sí",I66*O66*Q66,0)</x:f>
        <x:v>4</x:v>
      </x:c>
      <x:c r="U66" s="85" t="n">
        <x:f>IF(J66="Sí",I66*O66*R66,0)</x:f>
        <x:v>5.8</x:v>
      </x:c>
      <x:c r="V66" s="85" t="n">
        <x:f>IF(J66="Sí",I66*O66*S66,0)</x:f>
        <x:v>7.2</x:v>
      </x:c>
      <x:c r="W66" s="73" t="str">
        <x:v>APP-021</x:v>
      </x:c>
      <x:c r="X66" s="73" t="str">
        <x:v>Ajustes UAT</x:v>
      </x:c>
      <x:c r="Y66" s="73" t="str">
        <x:v>Correcciones dentro del alcance aprobado</x:v>
      </x:c>
      <x:c r="Z66" s="73" t="str">
        <x:v>Nuevas funcionalidades</x:v>
      </x:c>
      <x:c r="AA66" s="73" t="str">
        <x:v>Preliminar</x:v>
      </x:c>
      <x:c r="AB66" s="78" t="str">
        <x:v>Estimación técnica ISM · Validar</x:v>
      </x:c>
    </x:row>
    <x:row r="67">
      <x:c r="A67" s="77" t="str">
        <x:v>Desarrollo e Implementación</x:v>
      </x:c>
      <x:c r="B67" s="73" t="str">
        <x:v>INT-01</x:v>
      </x:c>
      <x:c r="C67" s="73" t="str">
        <x:v>Integración y automatización de procesos</x:v>
      </x:c>
      <x:c r="D67" s="73" t="str">
        <x:v>02 · Optimización digital</x:v>
      </x:c>
      <x:c r="E67" s="73" t="str">
        <x:v>Diagnóstico</x:v>
      </x:c>
      <x:c r="F67" s="73" t="str">
        <x:v>INT-001</x:v>
      </x:c>
      <x:c r="G67" s="73" t="str">
        <x:v>Levantamiento del proceso y puntos de integración</x:v>
      </x:c>
      <x:c r="H67" s="73" t="str">
        <x:v>Proceso</x:v>
      </x:c>
      <x:c r="I67" s="85" t="n">
        <x:v>1</x:v>
      </x:c>
      <x:c r="J67" s="73" t="str">
        <x:v>Sí</x:v>
      </x:c>
      <x:c r="K67" s="73" t="str">
        <x:v>Sí</x:v>
      </x:c>
      <x:c r="L67" s="85" t="n">
        <x:v>2.5</x:v>
      </x:c>
      <x:c r="M67" s="85" t="str">
        <x:v>No</x:v>
      </x:c>
      <x:c r="N67" s="85" t="n">
        <x:v>1</x:v>
      </x:c>
      <x:c r="O67" s="85" t="n">
        <x:f>L67*N67</x:f>
        <x:v>2.5</x:v>
      </x:c>
      <x:c r="P67" s="85" t="str">
        <x:v>Alta</x:v>
      </x:c>
      <x:c r="Q67" s="85" t="n">
        <x:v>1</x:v>
      </x:c>
      <x:c r="R67" s="85" t="n">
        <x:v>1.45</x:v>
      </x:c>
      <x:c r="S67" s="85" t="n">
        <x:v>1.8</x:v>
      </x:c>
      <x:c r="T67" s="85" t="n">
        <x:f>IF(J67="Sí",I67*O67*Q67,0)</x:f>
        <x:v>2.5</x:v>
      </x:c>
      <x:c r="U67" s="85" t="n">
        <x:f>IF(J67="Sí",I67*O67*R67,0)</x:f>
        <x:v>3.625</x:v>
      </x:c>
      <x:c r="V67" s="85" t="n">
        <x:f>IF(J67="Sí",I67*O67*S67,0)</x:f>
        <x:v>4.5</x:v>
      </x:c>
      <x:c r="W67" s="73"/>
      <x:c r="X67" s="73" t="str">
        <x:v>Mapa del proceso</x:v>
      </x:c>
      <x:c r="Y67" s="73" t="str">
        <x:v>Origen, destino, frecuencia, responsables y errores</x:v>
      </x:c>
      <x:c r="Z67" s="73"/>
      <x:c r="AA67" s="73" t="str">
        <x:v>Preliminar</x:v>
      </x:c>
      <x:c r="AB67" s="78" t="str">
        <x:v>Estimación técnica ISM · Validar</x:v>
      </x:c>
    </x:row>
    <x:row r="68">
      <x:c r="A68" s="77" t="str">
        <x:v>Desarrollo e Implementación</x:v>
      </x:c>
      <x:c r="B68" s="73" t="str">
        <x:v>INT-01</x:v>
      </x:c>
      <x:c r="C68" s="73" t="str">
        <x:v>Integración y automatización de procesos</x:v>
      </x:c>
      <x:c r="D68" s="73" t="str">
        <x:v>02 · Optimización digital</x:v>
      </x:c>
      <x:c r="E68" s="73" t="str">
        <x:v>Diagnóstico</x:v>
      </x:c>
      <x:c r="F68" s="73" t="str">
        <x:v>INT-002</x:v>
      </x:c>
      <x:c r="G68" s="73" t="str">
        <x:v>Revisión de APIs, archivos o mecanismos disponibles</x:v>
      </x:c>
      <x:c r="H68" s="73" t="str">
        <x:v>Integración</x:v>
      </x:c>
      <x:c r="I68" s="85" t="n">
        <x:v>1</x:v>
      </x:c>
      <x:c r="J68" s="73" t="str">
        <x:v>Sí</x:v>
      </x:c>
      <x:c r="K68" s="73" t="str">
        <x:v>Sí</x:v>
      </x:c>
      <x:c r="L68" s="85" t="n">
        <x:v>2</x:v>
      </x:c>
      <x:c r="M68" s="85" t="str">
        <x:v>No</x:v>
      </x:c>
      <x:c r="N68" s="85" t="n">
        <x:v>1</x:v>
      </x:c>
      <x:c r="O68" s="85" t="n">
        <x:f>L68*N68</x:f>
        <x:v>2</x:v>
      </x:c>
      <x:c r="P68" s="85" t="str">
        <x:v>Alta</x:v>
      </x:c>
      <x:c r="Q68" s="85" t="n">
        <x:v>1</x:v>
      </x:c>
      <x:c r="R68" s="85" t="n">
        <x:v>1.45</x:v>
      </x:c>
      <x:c r="S68" s="85" t="n">
        <x:v>1.8</x:v>
      </x:c>
      <x:c r="T68" s="85" t="n">
        <x:f>IF(J68="Sí",I68*O68*Q68,0)</x:f>
        <x:v>2</x:v>
      </x:c>
      <x:c r="U68" s="85" t="n">
        <x:f>IF(J68="Sí",I68*O68*R68,0)</x:f>
        <x:v>2.9</x:v>
      </x:c>
      <x:c r="V68" s="85" t="n">
        <x:f>IF(J68="Sí",I68*O68*S68,0)</x:f>
        <x:v>3.6</x:v>
      </x:c>
      <x:c r="W68" s="73" t="str">
        <x:v>INT-001</x:v>
      </x:c>
      <x:c r="X68" s="73" t="str">
        <x:v>Evaluación técnica</x:v>
      </x:c>
      <x:c r="Y68" s="73" t="str">
        <x:v>Credenciales, límites, formatos y documentación</x:v>
      </x:c>
      <x:c r="Z68" s="73" t="str">
        <x:v>Licencias o accesos no disponibles</x:v>
      </x:c>
      <x:c r="AA68" s="73" t="str">
        <x:v>Preliminar</x:v>
      </x:c>
      <x:c r="AB68" s="78" t="str">
        <x:v>Estimación técnica ISM · Validar</x:v>
      </x:c>
    </x:row>
    <x:row r="69">
      <x:c r="A69" s="77" t="str">
        <x:v>Desarrollo e Implementación</x:v>
      </x:c>
      <x:c r="B69" s="73" t="str">
        <x:v>INT-01</x:v>
      </x:c>
      <x:c r="C69" s="73" t="str">
        <x:v>Integración y automatización de procesos</x:v>
      </x:c>
      <x:c r="D69" s="73" t="str">
        <x:v>02 · Optimización digital</x:v>
      </x:c>
      <x:c r="E69" s="73" t="str">
        <x:v>Diseño</x:v>
      </x:c>
      <x:c r="F69" s="73" t="str">
        <x:v>INT-003</x:v>
      </x:c>
      <x:c r="G69" s="73" t="str">
        <x:v>Diseño del mapeo de datos y transformaciones</x:v>
      </x:c>
      <x:c r="H69" s="73" t="str">
        <x:v>Integración</x:v>
      </x:c>
      <x:c r="I69" s="85" t="n">
        <x:v>1</x:v>
      </x:c>
      <x:c r="J69" s="73" t="str">
        <x:v>Sí</x:v>
      </x:c>
      <x:c r="K69" s="73" t="str">
        <x:v>Sí</x:v>
      </x:c>
      <x:c r="L69" s="85" t="n">
        <x:v>3</x:v>
      </x:c>
      <x:c r="M69" s="85" t="str">
        <x:v>No</x:v>
      </x:c>
      <x:c r="N69" s="85" t="n">
        <x:v>1</x:v>
      </x:c>
      <x:c r="O69" s="85" t="n">
        <x:f>L69*N69</x:f>
        <x:v>3</x:v>
      </x:c>
      <x:c r="P69" s="85" t="str">
        <x:v>Alta</x:v>
      </x:c>
      <x:c r="Q69" s="85" t="n">
        <x:v>1</x:v>
      </x:c>
      <x:c r="R69" s="85" t="n">
        <x:v>1.45</x:v>
      </x:c>
      <x:c r="S69" s="85" t="n">
        <x:v>1.8</x:v>
      </x:c>
      <x:c r="T69" s="85" t="n">
        <x:f>IF(J69="Sí",I69*O69*Q69,0)</x:f>
        <x:v>3</x:v>
      </x:c>
      <x:c r="U69" s="85" t="n">
        <x:f>IF(J69="Sí",I69*O69*R69,0)</x:f>
        <x:v>4.35</x:v>
      </x:c>
      <x:c r="V69" s="85" t="n">
        <x:f>IF(J69="Sí",I69*O69*S69,0)</x:f>
        <x:v>5.4</x:v>
      </x:c>
      <x:c r="W69" s="73" t="str">
        <x:v>INT-002</x:v>
      </x:c>
      <x:c r="X69" s="73" t="str">
        <x:v>Matriz de mapeo</x:v>
      </x:c>
      <x:c r="Y69" s="73" t="str">
        <x:v>Especificación de campos de origen y destino, equivalencias, formatos y reglas de conversión.</x:v>
      </x:c>
      <x:c r="Z69" s="73" t="str">
        <x:v>La implementación de estas reglas se contabiliza en INT-010.</x:v>
      </x:c>
      <x:c r="AA69" s="73" t="str">
        <x:v>Preliminar</x:v>
      </x:c>
      <x:c r="AB69" s="78" t="str">
        <x:v>Estimación técnica ISM · Validar</x:v>
      </x:c>
    </x:row>
    <x:row r="70">
      <x:c r="A70" s="77" t="str">
        <x:v>Desarrollo e Implementación</x:v>
      </x:c>
      <x:c r="B70" s="73" t="str">
        <x:v>INT-01</x:v>
      </x:c>
      <x:c r="C70" s="73" t="str">
        <x:v>Integración y automatización de procesos</x:v>
      </x:c>
      <x:c r="D70" s="73" t="str">
        <x:v>02 · Optimización digital</x:v>
      </x:c>
      <x:c r="E70" s="73" t="str">
        <x:v>Diseño</x:v>
      </x:c>
      <x:c r="F70" s="73" t="str">
        <x:v>INT-004</x:v>
      </x:c>
      <x:c r="G70" s="73" t="str">
        <x:v>Diseño de manejo de errores y reintentos</x:v>
      </x:c>
      <x:c r="H70" s="73" t="str">
        <x:v>Integración</x:v>
      </x:c>
      <x:c r="I70" s="85" t="n">
        <x:v>1</x:v>
      </x:c>
      <x:c r="J70" s="73" t="str">
        <x:v>Sí</x:v>
      </x:c>
      <x:c r="K70" s="73" t="str">
        <x:v>Sí</x:v>
      </x:c>
      <x:c r="L70" s="85" t="n">
        <x:v>2</x:v>
      </x:c>
      <x:c r="M70" s="85" t="str">
        <x:v>Parcial</x:v>
      </x:c>
      <x:c r="N70" s="85" t="n">
        <x:v>0.85</x:v>
      </x:c>
      <x:c r="O70" s="85" t="n">
        <x:f>L70*N70</x:f>
        <x:v>1.7</x:v>
      </x:c>
      <x:c r="P70" s="85" t="str">
        <x:v>Alta</x:v>
      </x:c>
      <x:c r="Q70" s="85" t="n">
        <x:v>1</x:v>
      </x:c>
      <x:c r="R70" s="85" t="n">
        <x:v>1.45</x:v>
      </x:c>
      <x:c r="S70" s="85" t="n">
        <x:v>1.8</x:v>
      </x:c>
      <x:c r="T70" s="85" t="n">
        <x:f>IF(J70="Sí",I70*O70*Q70,0)</x:f>
        <x:v>1.7</x:v>
      </x:c>
      <x:c r="U70" s="85" t="n">
        <x:f>IF(J70="Sí",I70*O70*R70,0)</x:f>
        <x:v>2.465</x:v>
      </x:c>
      <x:c r="V70" s="85" t="n">
        <x:f>IF(J70="Sí",I70*O70*S70,0)</x:f>
        <x:v>3.06</x:v>
      </x:c>
      <x:c r="W70" s="73" t="str">
        <x:v>INT-002</x:v>
      </x:c>
      <x:c r="X70" s="73" t="str">
        <x:v>Diseño de resiliencia</x:v>
      </x:c>
      <x:c r="Y70" s="73" t="str">
        <x:v>Errores, reintentos, alertas y trazabilidad</x:v>
      </x:c>
      <x:c r="Z70" s="73"/>
      <x:c r="AA70" s="73" t="str">
        <x:v>Preliminar</x:v>
      </x:c>
      <x:c r="AB70" s="78" t="str">
        <x:v>Estimación técnica ISM · Validar</x:v>
      </x:c>
    </x:row>
    <x:row r="71">
      <x:c r="A71" s="77" t="str">
        <x:v>Desarrollo e Implementación</x:v>
      </x:c>
      <x:c r="B71" s="73" t="str">
        <x:v>INT-01</x:v>
      </x:c>
      <x:c r="C71" s="73" t="str">
        <x:v>Integración y automatización de procesos</x:v>
      </x:c>
      <x:c r="D71" s="73" t="str">
        <x:v>02 · Optimización digital</x:v>
      </x:c>
      <x:c r="E71" s="73" t="str">
        <x:v>Desarrollo</x:v>
      </x:c>
      <x:c r="F71" s="73" t="str">
        <x:v>INT-005</x:v>
      </x:c>
      <x:c r="G71" s="73" t="str">
        <x:v>Configuración de credenciales y secretos</x:v>
      </x:c>
      <x:c r="H71" s="73" t="str">
        <x:v>Entorno</x:v>
      </x:c>
      <x:c r="I71" s="85" t="n">
        <x:v>1</x:v>
      </x:c>
      <x:c r="J71" s="73" t="str">
        <x:v>Sí</x:v>
      </x:c>
      <x:c r="K71" s="73" t="str">
        <x:v>Sí</x:v>
      </x:c>
      <x:c r="L71" s="85" t="n">
        <x:v>1.5</x:v>
      </x:c>
      <x:c r="M71" s="85" t="str">
        <x:v>Parcial</x:v>
      </x:c>
      <x:c r="N71" s="85" t="n">
        <x:v>0.8</x:v>
      </x:c>
      <x:c r="O71" s="85" t="n">
        <x:f>L71*N71</x:f>
        <x:v>1.2000000000000002</x:v>
      </x:c>
      <x:c r="P71" s="85" t="str">
        <x:v>Media</x:v>
      </x:c>
      <x:c r="Q71" s="85" t="n">
        <x:v>1</x:v>
      </x:c>
      <x:c r="R71" s="85" t="n">
        <x:v>1.3</x:v>
      </x:c>
      <x:c r="S71" s="85" t="n">
        <x:v>1.55</x:v>
      </x:c>
      <x:c r="T71" s="85" t="n">
        <x:f>IF(J71="Sí",I71*O71*Q71,0)</x:f>
        <x:v>1.2000000000000002</x:v>
      </x:c>
      <x:c r="U71" s="85" t="n">
        <x:f>IF(J71="Sí",I71*O71*R71,0)</x:f>
        <x:v>1.5600000000000003</x:v>
      </x:c>
      <x:c r="V71" s="85" t="n">
        <x:f>IF(J71="Sí",I71*O71*S71,0)</x:f>
        <x:v>1.8600000000000003</x:v>
      </x:c>
      <x:c r="W71" s="73" t="str">
        <x:v>INT-002</x:v>
      </x:c>
      <x:c r="X71" s="73" t="str">
        <x:v>Secretos configurados</x:v>
      </x:c>
      <x:c r="Y71" s="73" t="str">
        <x:v>Gestión segura de credenciales</x:v>
      </x:c>
      <x:c r="Z71" s="73"/>
      <x:c r="AA71" s="73" t="str">
        <x:v>Preliminar</x:v>
      </x:c>
      <x:c r="AB71" s="78" t="str">
        <x:v>Estimación técnica ISM · Validar</x:v>
      </x:c>
    </x:row>
    <x:row r="72">
      <x:c r="A72" s="77" t="str">
        <x:v>Desarrollo e Implementación</x:v>
      </x:c>
      <x:c r="B72" s="73" t="str">
        <x:v>INT-01</x:v>
      </x:c>
      <x:c r="C72" s="73" t="str">
        <x:v>Integración y automatización de procesos</x:v>
      </x:c>
      <x:c r="D72" s="73" t="str">
        <x:v>02 · Optimización digital</x:v>
      </x:c>
      <x:c r="E72" s="73" t="str">
        <x:v>Desarrollo</x:v>
      </x:c>
      <x:c r="F72" s="73" t="str">
        <x:v>INT-006</x:v>
      </x:c>
      <x:c r="G72" s="73" t="str">
        <x:v>Desarrollo de conector API estándar</x:v>
      </x:c>
      <x:c r="H72" s="73" t="str">
        <x:v>Integración</x:v>
      </x:c>
      <x:c r="I72" s="85" t="n">
        <x:v>1</x:v>
      </x:c>
      <x:c r="J72" s="73" t="str">
        <x:v>Sí</x:v>
      </x:c>
      <x:c r="K72" s="73" t="str">
        <x:v>No</x:v>
      </x:c>
      <x:c r="L72" s="85" t="n">
        <x:v>5</x:v>
      </x:c>
      <x:c r="M72" s="85" t="str">
        <x:v>Parcial</x:v>
      </x:c>
      <x:c r="N72" s="85" t="n">
        <x:v>0.85</x:v>
      </x:c>
      <x:c r="O72" s="85" t="n">
        <x:f>L72*N72</x:f>
        <x:v>4.25</x:v>
      </x:c>
      <x:c r="P72" s="85" t="str">
        <x:v>Alta</x:v>
      </x:c>
      <x:c r="Q72" s="85" t="n">
        <x:v>1</x:v>
      </x:c>
      <x:c r="R72" s="85" t="n">
        <x:v>1.45</x:v>
      </x:c>
      <x:c r="S72" s="85" t="n">
        <x:v>1.8</x:v>
      </x:c>
      <x:c r="T72" s="85" t="n">
        <x:f>IF(J72="Sí",I72*O72*Q72,0)</x:f>
        <x:v>4.25</x:v>
      </x:c>
      <x:c r="U72" s="85" t="n">
        <x:f>IF(J72="Sí",I72*O72*R72,0)</x:f>
        <x:v>6.1625</x:v>
      </x:c>
      <x:c r="V72" s="85" t="n">
        <x:f>IF(J72="Sí",I72*O72*S72,0)</x:f>
        <x:v>7.65</x:v>
      </x:c>
      <x:c r="W72" s="73" t="str">
        <x:v>INT-003</x:v>
      </x:c>
      <x:c r="X72" s="73" t="str">
        <x:v>Conector funcional</x:v>
      </x:c>
      <x:c r="Y72" s="73" t="str">
        <x:v>Autenticación, consultas, envío y manejo de respuesta</x:v>
      </x:c>
      <x:c r="Z72" s="73"/>
      <x:c r="AA72" s="73" t="str">
        <x:v>Preliminar</x:v>
      </x:c>
      <x:c r="AB72" s="78" t="str">
        <x:v>Estimación técnica ISM · Validar</x:v>
      </x:c>
    </x:row>
    <x:row r="73">
      <x:c r="A73" s="77" t="str">
        <x:v>Desarrollo e Implementación</x:v>
      </x:c>
      <x:c r="B73" s="73" t="str">
        <x:v>INT-01</x:v>
      </x:c>
      <x:c r="C73" s="73" t="str">
        <x:v>Integración y automatización de procesos</x:v>
      </x:c>
      <x:c r="D73" s="73" t="str">
        <x:v>02 · Optimización digital</x:v>
      </x:c>
      <x:c r="E73" s="73" t="str">
        <x:v>Desarrollo</x:v>
      </x:c>
      <x:c r="F73" s="73" t="str">
        <x:v>INT-007</x:v>
      </x:c>
      <x:c r="G73" s="73" t="str">
        <x:v>Importación o exportación por archivo</x:v>
      </x:c>
      <x:c r="H73" s="73" t="str">
        <x:v>Formato</x:v>
      </x:c>
      <x:c r="I73" s="85" t="n">
        <x:v>0</x:v>
      </x:c>
      <x:c r="J73" s="73" t="str">
        <x:v>No</x:v>
      </x:c>
      <x:c r="K73" s="73" t="str">
        <x:v>No</x:v>
      </x:c>
      <x:c r="L73" s="85" t="n">
        <x:v>4</x:v>
      </x:c>
      <x:c r="M73" s="85" t="str">
        <x:v>Parcial</x:v>
      </x:c>
      <x:c r="N73" s="85" t="n">
        <x:v>0.8</x:v>
      </x:c>
      <x:c r="O73" s="85" t="n">
        <x:f>L73*N73</x:f>
        <x:v>3.2</x:v>
      </x:c>
      <x:c r="P73" s="85" t="str">
        <x:v>Alta</x:v>
      </x:c>
      <x:c r="Q73" s="85" t="n">
        <x:v>1</x:v>
      </x:c>
      <x:c r="R73" s="85" t="n">
        <x:v>1.45</x:v>
      </x:c>
      <x:c r="S73" s="85" t="n">
        <x:v>1.8</x:v>
      </x:c>
      <x:c r="T73" s="85" t="n">
        <x:f>IF(J73="Sí",I73*O73*Q73,0)</x:f>
        <x:v>0</x:v>
      </x:c>
      <x:c r="U73" s="85" t="n">
        <x:f>IF(J73="Sí",I73*O73*R73,0)</x:f>
        <x:v>0</x:v>
      </x:c>
      <x:c r="V73" s="85" t="n">
        <x:f>IF(J73="Sí",I73*O73*S73,0)</x:f>
        <x:v>0</x:v>
      </x:c>
      <x:c r="W73" s="73" t="str">
        <x:v>INT-003</x:v>
      </x:c>
      <x:c r="X73" s="73" t="str">
        <x:v>Proceso de archivo</x:v>
      </x:c>
      <x:c r="Y73" s="73" t="str">
        <x:v>CSV, XLSX o JSON con validación</x:v>
      </x:c>
      <x:c r="Z73" s="73"/>
      <x:c r="AA73" s="73" t="str">
        <x:v>Preliminar</x:v>
      </x:c>
      <x:c r="AB73" s="78" t="str">
        <x:v>Estimación técnica ISM · Validar</x:v>
      </x:c>
    </x:row>
    <x:row r="74">
      <x:c r="A74" s="77" t="str">
        <x:v>Desarrollo e Implementación</x:v>
      </x:c>
      <x:c r="B74" s="73" t="str">
        <x:v>INT-01</x:v>
      </x:c>
      <x:c r="C74" s="73" t="str">
        <x:v>Integración y automatización de procesos</x:v>
      </x:c>
      <x:c r="D74" s="73" t="str">
        <x:v>02 · Optimización digital</x:v>
      </x:c>
      <x:c r="E74" s="73" t="str">
        <x:v>Desarrollo</x:v>
      </x:c>
      <x:c r="F74" s="73" t="str">
        <x:v>INT-008</x:v>
      </x:c>
      <x:c r="G74" s="73" t="str">
        <x:v>Implementación de webhook</x:v>
      </x:c>
      <x:c r="H74" s="73" t="str">
        <x:v>Evento</x:v>
      </x:c>
      <x:c r="I74" s="85" t="n">
        <x:v>0</x:v>
      </x:c>
      <x:c r="J74" s="73" t="str">
        <x:v>No</x:v>
      </x:c>
      <x:c r="K74" s="73" t="str">
        <x:v>No</x:v>
      </x:c>
      <x:c r="L74" s="85" t="n">
        <x:v>3.5</x:v>
      </x:c>
      <x:c r="M74" s="85" t="str">
        <x:v>Parcial</x:v>
      </x:c>
      <x:c r="N74" s="85" t="n">
        <x:v>0.85</x:v>
      </x:c>
      <x:c r="O74" s="85" t="n">
        <x:f>L74*N74</x:f>
        <x:v>2.975</x:v>
      </x:c>
      <x:c r="P74" s="85" t="str">
        <x:v>Alta</x:v>
      </x:c>
      <x:c r="Q74" s="85" t="n">
        <x:v>1</x:v>
      </x:c>
      <x:c r="R74" s="85" t="n">
        <x:v>1.45</x:v>
      </x:c>
      <x:c r="S74" s="85" t="n">
        <x:v>1.8</x:v>
      </x:c>
      <x:c r="T74" s="85" t="n">
        <x:f>IF(J74="Sí",I74*O74*Q74,0)</x:f>
        <x:v>0</x:v>
      </x:c>
      <x:c r="U74" s="85" t="n">
        <x:f>IF(J74="Sí",I74*O74*R74,0)</x:f>
        <x:v>0</x:v>
      </x:c>
      <x:c r="V74" s="85" t="n">
        <x:f>IF(J74="Sí",I74*O74*S74,0)</x:f>
        <x:v>0</x:v>
      </x:c>
      <x:c r="W74" s="73" t="str">
        <x:v>INT-004</x:v>
      </x:c>
      <x:c r="X74" s="73" t="str">
        <x:v>Webhook operativo</x:v>
      </x:c>
      <x:c r="Y74" s="73" t="str">
        <x:v>Recepción, validación, idempotencia y respuesta</x:v>
      </x:c>
      <x:c r="Z74" s="73"/>
      <x:c r="AA74" s="73" t="str">
        <x:v>Preliminar</x:v>
      </x:c>
      <x:c r="AB74" s="78" t="str">
        <x:v>Estimación técnica ISM · Validar</x:v>
      </x:c>
    </x:row>
    <x:row r="75">
      <x:c r="A75" s="77" t="str">
        <x:v>Desarrollo e Implementación</x:v>
      </x:c>
      <x:c r="B75" s="73" t="str">
        <x:v>INT-01</x:v>
      </x:c>
      <x:c r="C75" s="73" t="str">
        <x:v>Integración y automatización de procesos</x:v>
      </x:c>
      <x:c r="D75" s="73" t="str">
        <x:v>02 · Optimización digital</x:v>
      </x:c>
      <x:c r="E75" s="73" t="str">
        <x:v>Automatización</x:v>
      </x:c>
      <x:c r="F75" s="73" t="str">
        <x:v>INT-009</x:v>
      </x:c>
      <x:c r="G75" s="73" t="str">
        <x:v>Automatización programada</x:v>
      </x:c>
      <x:c r="H75" s="73" t="str">
        <x:v>Job</x:v>
      </x:c>
      <x:c r="I75" s="85" t="n">
        <x:v>1</x:v>
      </x:c>
      <x:c r="J75" s="73" t="str">
        <x:v>Sí</x:v>
      </x:c>
      <x:c r="K75" s="73" t="str">
        <x:v>No</x:v>
      </x:c>
      <x:c r="L75" s="85" t="n">
        <x:v>3</x:v>
      </x:c>
      <x:c r="M75" s="85" t="str">
        <x:v>Parcial</x:v>
      </x:c>
      <x:c r="N75" s="85" t="n">
        <x:v>0.8</x:v>
      </x:c>
      <x:c r="O75" s="85" t="n">
        <x:f>L75*N75</x:f>
        <x:v>2.4000000000000004</x:v>
      </x:c>
      <x:c r="P75" s="85" t="str">
        <x:v>Media</x:v>
      </x:c>
      <x:c r="Q75" s="85" t="n">
        <x:v>1</x:v>
      </x:c>
      <x:c r="R75" s="85" t="n">
        <x:v>1.3</x:v>
      </x:c>
      <x:c r="S75" s="85" t="n">
        <x:v>1.55</x:v>
      </x:c>
      <x:c r="T75" s="85" t="n">
        <x:f>IF(J75="Sí",I75*O75*Q75,0)</x:f>
        <x:v>2.4000000000000004</x:v>
      </x:c>
      <x:c r="U75" s="85" t="n">
        <x:f>IF(J75="Sí",I75*O75*R75,0)</x:f>
        <x:v>3.1200000000000006</x:v>
      </x:c>
      <x:c r="V75" s="85" t="n">
        <x:f>IF(J75="Sí",I75*O75*S75,0)</x:f>
        <x:v>3.7200000000000006</x:v>
      </x:c>
      <x:c r="W75" s="73" t="str">
        <x:v>INT-004</x:v>
      </x:c>
      <x:c r="X75" s="73" t="str">
        <x:v>Job programado</x:v>
      </x:c>
      <x:c r="Y75" s="73" t="str">
        <x:v>Frecuencia, ejecución y registro</x:v>
      </x:c>
      <x:c r="Z75" s="73"/>
      <x:c r="AA75" s="73" t="str">
        <x:v>Preliminar</x:v>
      </x:c>
      <x:c r="AB75" s="78" t="str">
        <x:v>Estimación técnica ISM · Validar</x:v>
      </x:c>
    </x:row>
    <x:row r="76">
      <x:c r="A76" s="77" t="str">
        <x:v>Desarrollo e Implementación</x:v>
      </x:c>
      <x:c r="B76" s="73" t="str">
        <x:v>INT-01</x:v>
      </x:c>
      <x:c r="C76" s="73" t="str">
        <x:v>Integración y automatización de procesos</x:v>
      </x:c>
      <x:c r="D76" s="73" t="str">
        <x:v>02 · Optimización digital</x:v>
      </x:c>
      <x:c r="E76" s="73" t="str">
        <x:v>Automatización</x:v>
      </x:c>
      <x:c r="F76" s="73" t="str">
        <x:v>INT-010</x:v>
      </x:c>
      <x:c r="G76" s="73" t="str">
        <x:v>Implementación de reglas de negocio y transformaciones</x:v>
      </x:c>
      <x:c r="H76" s="73" t="str">
        <x:v>Regla</x:v>
      </x:c>
      <x:c r="I76" s="85" t="n">
        <x:v>3</x:v>
      </x:c>
      <x:c r="J76" s="73" t="str">
        <x:v>Sí</x:v>
      </x:c>
      <x:c r="K76" s="73" t="str">
        <x:v>No</x:v>
      </x:c>
      <x:c r="L76" s="85" t="n">
        <x:v>1.5</x:v>
      </x:c>
      <x:c r="M76" s="85" t="str">
        <x:v>Parcial</x:v>
      </x:c>
      <x:c r="N76" s="85" t="n">
        <x:v>0.85</x:v>
      </x:c>
      <x:c r="O76" s="85" t="n">
        <x:f>L76*N76</x:f>
        <x:v>1.275</x:v>
      </x:c>
      <x:c r="P76" s="85" t="str">
        <x:v>Alta</x:v>
      </x:c>
      <x:c r="Q76" s="85" t="n">
        <x:v>1</x:v>
      </x:c>
      <x:c r="R76" s="85" t="n">
        <x:v>1.45</x:v>
      </x:c>
      <x:c r="S76" s="85" t="n">
        <x:v>1.8</x:v>
      </x:c>
      <x:c r="T76" s="85" t="n">
        <x:f>IF(J76="Sí",I76*O76*Q76,0)</x:f>
        <x:v>3.8249999999999997</x:v>
      </x:c>
      <x:c r="U76" s="85" t="n">
        <x:f>IF(J76="Sí",I76*O76*R76,0)</x:f>
        <x:v>5.54625</x:v>
      </x:c>
      <x:c r="V76" s="85" t="n">
        <x:f>IF(J76="Sí",I76*O76*S76,0)</x:f>
        <x:v>6.885</x:v>
      </x:c>
      <x:c r="W76" s="73" t="str">
        <x:v>INT-003</x:v>
      </x:c>
      <x:c r="X76" s="73" t="str">
        <x:v>Reglas implementadas</x:v>
      </x:c>
      <x:c r="Y76" s="73" t="str">
        <x:v>Construcción y validación de transformaciones, condiciones y reglas definidas en el mapeo.</x:v>
      </x:c>
      <x:c r="Z76" s="73" t="str">
        <x:v>No vuelve a incluir el diseño documental de INT-003.</x:v>
      </x:c>
      <x:c r="AA76" s="73" t="str">
        <x:v>Preliminar</x:v>
      </x:c>
      <x:c r="AB76" s="78" t="str">
        <x:v>Estimación técnica ISM · Validar</x:v>
      </x:c>
    </x:row>
    <x:row r="77">
      <x:c r="A77" s="77" t="str">
        <x:v>Desarrollo e Implementación</x:v>
      </x:c>
      <x:c r="B77" s="73" t="str">
        <x:v>INT-01</x:v>
      </x:c>
      <x:c r="C77" s="73" t="str">
        <x:v>Integración y automatización de procesos</x:v>
      </x:c>
      <x:c r="D77" s="73" t="str">
        <x:v>02 · Optimización digital</x:v>
      </x:c>
      <x:c r="E77" s="73" t="str">
        <x:v>Observabilidad</x:v>
      </x:c>
      <x:c r="F77" s="73" t="str">
        <x:v>INT-011</x:v>
      </x:c>
      <x:c r="G77" s="73" t="str">
        <x:v>Registro de ejecuciones y errores</x:v>
      </x:c>
      <x:c r="H77" s="73" t="str">
        <x:v>Integración</x:v>
      </x:c>
      <x:c r="I77" s="85" t="n">
        <x:v>1</x:v>
      </x:c>
      <x:c r="J77" s="73" t="str">
        <x:v>Sí</x:v>
      </x:c>
      <x:c r="K77" s="73" t="str">
        <x:v>Sí</x:v>
      </x:c>
      <x:c r="L77" s="85" t="n">
        <x:v>2</x:v>
      </x:c>
      <x:c r="M77" s="85" t="str">
        <x:v>Alta</x:v>
      </x:c>
      <x:c r="N77" s="85" t="n">
        <x:v>0.65</x:v>
      </x:c>
      <x:c r="O77" s="85" t="n">
        <x:f>L77*N77</x:f>
        <x:v>1.3</x:v>
      </x:c>
      <x:c r="P77" s="85" t="str">
        <x:v>Media</x:v>
      </x:c>
      <x:c r="Q77" s="85" t="n">
        <x:v>1</x:v>
      </x:c>
      <x:c r="R77" s="85" t="n">
        <x:v>1.3</x:v>
      </x:c>
      <x:c r="S77" s="85" t="n">
        <x:v>1.55</x:v>
      </x:c>
      <x:c r="T77" s="85" t="n">
        <x:f>IF(J77="Sí",I77*O77*Q77,0)</x:f>
        <x:v>1.3</x:v>
      </x:c>
      <x:c r="U77" s="85" t="n">
        <x:f>IF(J77="Sí",I77*O77*R77,0)</x:f>
        <x:v>1.6900000000000002</x:v>
      </x:c>
      <x:c r="V77" s="85" t="n">
        <x:f>IF(J77="Sí",I77*O77*S77,0)</x:f>
        <x:v>2.015</x:v>
      </x:c>
      <x:c r="W77" s="73" t="str">
        <x:v>INT-004</x:v>
      </x:c>
      <x:c r="X77" s="73" t="str">
        <x:v>Bitácora técnica</x:v>
      </x:c>
      <x:c r="Y77" s="73" t="str">
        <x:v>Estado, fecha, resultado y detalle</x:v>
      </x:c>
      <x:c r="Z77" s="73"/>
      <x:c r="AA77" s="73" t="str">
        <x:v>Preliminar</x:v>
      </x:c>
      <x:c r="AB77" s="78" t="str">
        <x:v>Estimación técnica ISM · Validar</x:v>
      </x:c>
    </x:row>
    <x:row r="78">
      <x:c r="A78" s="77" t="str">
        <x:v>Desarrollo e Implementación</x:v>
      </x:c>
      <x:c r="B78" s="73" t="str">
        <x:v>INT-01</x:v>
      </x:c>
      <x:c r="C78" s="73" t="str">
        <x:v>Integración y automatización de procesos</x:v>
      </x:c>
      <x:c r="D78" s="73" t="str">
        <x:v>02 · Optimización digital</x:v>
      </x:c>
      <x:c r="E78" s="73" t="str">
        <x:v>Observabilidad</x:v>
      </x:c>
      <x:c r="F78" s="73" t="str">
        <x:v>INT-012</x:v>
      </x:c>
      <x:c r="G78" s="73" t="str">
        <x:v>Alertas de fallo de integración</x:v>
      </x:c>
      <x:c r="H78" s="73" t="str">
        <x:v>Canal</x:v>
      </x:c>
      <x:c r="I78" s="85" t="n">
        <x:v>1</x:v>
      </x:c>
      <x:c r="J78" s="73" t="str">
        <x:v>No</x:v>
      </x:c>
      <x:c r="K78" s="73" t="str">
        <x:v>No</x:v>
      </x:c>
      <x:c r="L78" s="85" t="n">
        <x:v>1.5</x:v>
      </x:c>
      <x:c r="M78" s="85" t="str">
        <x:v>Parcial</x:v>
      </x:c>
      <x:c r="N78" s="85" t="n">
        <x:v>0.8</x:v>
      </x:c>
      <x:c r="O78" s="85" t="n">
        <x:f>L78*N78</x:f>
        <x:v>1.2000000000000002</x:v>
      </x:c>
      <x:c r="P78" s="85" t="str">
        <x:v>Media</x:v>
      </x:c>
      <x:c r="Q78" s="85" t="n">
        <x:v>1</x:v>
      </x:c>
      <x:c r="R78" s="85" t="n">
        <x:v>1.3</x:v>
      </x:c>
      <x:c r="S78" s="85" t="n">
        <x:v>1.55</x:v>
      </x:c>
      <x:c r="T78" s="85" t="n">
        <x:f>IF(J78="Sí",I78*O78*Q78,0)</x:f>
        <x:v>0</x:v>
      </x:c>
      <x:c r="U78" s="85" t="n">
        <x:f>IF(J78="Sí",I78*O78*R78,0)</x:f>
        <x:v>0</x:v>
      </x:c>
      <x:c r="V78" s="85" t="n">
        <x:f>IF(J78="Sí",I78*O78*S78,0)</x:f>
        <x:v>0</x:v>
      </x:c>
      <x:c r="W78" s="73" t="str">
        <x:v>INT-011</x:v>
      </x:c>
      <x:c r="X78" s="73" t="str">
        <x:v>Alerta configurada</x:v>
      </x:c>
      <x:c r="Y78" s="73" t="str">
        <x:v>Notificación por canal acordado</x:v>
      </x:c>
      <x:c r="Z78" s="73"/>
      <x:c r="AA78" s="73" t="str">
        <x:v>Preliminar</x:v>
      </x:c>
      <x:c r="AB78" s="78" t="str">
        <x:v>Estimación técnica ISM · Validar</x:v>
      </x:c>
    </x:row>
    <x:row r="79">
      <x:c r="A79" s="77" t="str">
        <x:v>Desarrollo e Implementación</x:v>
      </x:c>
      <x:c r="B79" s="73" t="str">
        <x:v>INT-01</x:v>
      </x:c>
      <x:c r="C79" s="73" t="str">
        <x:v>Integración y automatización de procesos</x:v>
      </x:c>
      <x:c r="D79" s="73" t="str">
        <x:v>02 · Optimización digital</x:v>
      </x:c>
      <x:c r="E79" s="73" t="str">
        <x:v>Calidad</x:v>
      </x:c>
      <x:c r="F79" s="73" t="str">
        <x:v>INT-013</x:v>
      </x:c>
      <x:c r="G79" s="73" t="str">
        <x:v>Pruebas con datos de ejemplo</x:v>
      </x:c>
      <x:c r="H79" s="73" t="str">
        <x:v>Caso</x:v>
      </x:c>
      <x:c r="I79" s="85" t="n">
        <x:v>4</x:v>
      </x:c>
      <x:c r="J79" s="73" t="str">
        <x:v>Sí</x:v>
      </x:c>
      <x:c r="K79" s="73" t="str">
        <x:v>Sí</x:v>
      </x:c>
      <x:c r="L79" s="85" t="n">
        <x:v>1</x:v>
      </x:c>
      <x:c r="M79" s="85" t="str">
        <x:v>No</x:v>
      </x:c>
      <x:c r="N79" s="85" t="n">
        <x:v>1</x:v>
      </x:c>
      <x:c r="O79" s="85" t="n">
        <x:f>L79*N79</x:f>
        <x:v>1</x:v>
      </x:c>
      <x:c r="P79" s="85" t="str">
        <x:v>Alta</x:v>
      </x:c>
      <x:c r="Q79" s="85" t="n">
        <x:v>1</x:v>
      </x:c>
      <x:c r="R79" s="85" t="n">
        <x:v>1.45</x:v>
      </x:c>
      <x:c r="S79" s="85" t="n">
        <x:v>1.8</x:v>
      </x:c>
      <x:c r="T79" s="85" t="n">
        <x:f>IF(J79="Sí",I79*O79*Q79,0)</x:f>
        <x:v>4</x:v>
      </x:c>
      <x:c r="U79" s="85" t="n">
        <x:f>IF(J79="Sí",I79*O79*R79,0)</x:f>
        <x:v>5.8</x:v>
      </x:c>
      <x:c r="V79" s="85" t="n">
        <x:f>IF(J79="Sí",I79*O79*S79,0)</x:f>
        <x:v>7.2</x:v>
      </x:c>
      <x:c r="W79" s="73"/>
      <x:c r="X79" s="73" t="str">
        <x:v>Casos ejecutados</x:v>
      </x:c>
      <x:c r="Y79" s="73" t="str">
        <x:v>Éxito, error, duplicado y datos incompletos</x:v>
      </x:c>
      <x:c r="Z79" s="73"/>
      <x:c r="AA79" s="73" t="str">
        <x:v>Preliminar</x:v>
      </x:c>
      <x:c r="AB79" s="78" t="str">
        <x:v>Estimación técnica ISM · Validar</x:v>
      </x:c>
    </x:row>
    <x:row r="80">
      <x:c r="A80" s="77" t="str">
        <x:v>Desarrollo e Implementación</x:v>
      </x:c>
      <x:c r="B80" s="73" t="str">
        <x:v>INT-01</x:v>
      </x:c>
      <x:c r="C80" s="73" t="str">
        <x:v>Integración y automatización de procesos</x:v>
      </x:c>
      <x:c r="D80" s="73" t="str">
        <x:v>02 · Optimización digital</x:v>
      </x:c>
      <x:c r="E80" s="73" t="str">
        <x:v>Calidad</x:v>
      </x:c>
      <x:c r="F80" s="73" t="str">
        <x:v>INT-014</x:v>
      </x:c>
      <x:c r="G80" s="73" t="str">
        <x:v>Prueba de volumen y límites</x:v>
      </x:c>
      <x:c r="H80" s="73" t="str">
        <x:v>Prueba</x:v>
      </x:c>
      <x:c r="I80" s="85" t="n">
        <x:v>1</x:v>
      </x:c>
      <x:c r="J80" s="73" t="str">
        <x:v>No</x:v>
      </x:c>
      <x:c r="K80" s="73" t="str">
        <x:v>No</x:v>
      </x:c>
      <x:c r="L80" s="85" t="n">
        <x:v>2.5</x:v>
      </x:c>
      <x:c r="M80" s="85" t="str">
        <x:v>No</x:v>
      </x:c>
      <x:c r="N80" s="85" t="n">
        <x:v>1</x:v>
      </x:c>
      <x:c r="O80" s="85" t="n">
        <x:f>L80*N80</x:f>
        <x:v>2.5</x:v>
      </x:c>
      <x:c r="P80" s="85" t="str">
        <x:v>Alta</x:v>
      </x:c>
      <x:c r="Q80" s="85" t="n">
        <x:v>1</x:v>
      </x:c>
      <x:c r="R80" s="85" t="n">
        <x:v>1.45</x:v>
      </x:c>
      <x:c r="S80" s="85" t="n">
        <x:v>1.8</x:v>
      </x:c>
      <x:c r="T80" s="85" t="n">
        <x:f>IF(J80="Sí",I80*O80*Q80,0)</x:f>
        <x:v>0</x:v>
      </x:c>
      <x:c r="U80" s="85" t="n">
        <x:f>IF(J80="Sí",I80*O80*R80,0)</x:f>
        <x:v>0</x:v>
      </x:c>
      <x:c r="V80" s="85" t="n">
        <x:f>IF(J80="Sí",I80*O80*S80,0)</x:f>
        <x:v>0</x:v>
      </x:c>
      <x:c r="W80" s="73" t="str">
        <x:v>INT-006</x:v>
      </x:c>
      <x:c r="X80" s="73" t="str">
        <x:v>Resultado de carga</x:v>
      </x:c>
      <x:c r="Y80" s="73" t="str">
        <x:v>Volumen, tiempos y límites conocidos</x:v>
      </x:c>
      <x:c r="Z80" s="73"/>
      <x:c r="AA80" s="73" t="str">
        <x:v>Preliminar</x:v>
      </x:c>
      <x:c r="AB80" s="78" t="str">
        <x:v>Estimación técnica ISM · Validar</x:v>
      </x:c>
    </x:row>
    <x:row r="81">
      <x:c r="A81" s="77" t="str">
        <x:v>Desarrollo e Implementación</x:v>
      </x:c>
      <x:c r="B81" s="73" t="str">
        <x:v>INT-01</x:v>
      </x:c>
      <x:c r="C81" s="73" t="str">
        <x:v>Integración y automatización de procesos</x:v>
      </x:c>
      <x:c r="D81" s="73" t="str">
        <x:v>02 · Optimización digital</x:v>
      </x:c>
      <x:c r="E81" s="73" t="str">
        <x:v>Seguridad</x:v>
      </x:c>
      <x:c r="F81" s="73" t="str">
        <x:v>INT-015</x:v>
      </x:c>
      <x:c r="G81" s="73" t="str">
        <x:v>Revisión de permisos y exposición de datos</x:v>
      </x:c>
      <x:c r="H81" s="73" t="str">
        <x:v>Integración</x:v>
      </x:c>
      <x:c r="I81" s="85" t="n">
        <x:v>1</x:v>
      </x:c>
      <x:c r="J81" s="73" t="str">
        <x:v>Sí</x:v>
      </x:c>
      <x:c r="K81" s="73" t="str">
        <x:v>Sí</x:v>
      </x:c>
      <x:c r="L81" s="85" t="n">
        <x:v>1.5</x:v>
      </x:c>
      <x:c r="M81" s="85" t="str">
        <x:v>No</x:v>
      </x:c>
      <x:c r="N81" s="85" t="n">
        <x:v>1</x:v>
      </x:c>
      <x:c r="O81" s="85" t="n">
        <x:f>L81*N81</x:f>
        <x:v>1.5</x:v>
      </x:c>
      <x:c r="P81" s="85" t="str">
        <x:v>Alta</x:v>
      </x:c>
      <x:c r="Q81" s="85" t="n">
        <x:v>1</x:v>
      </x:c>
      <x:c r="R81" s="85" t="n">
        <x:v>1.45</x:v>
      </x:c>
      <x:c r="S81" s="85" t="n">
        <x:v>1.8</x:v>
      </x:c>
      <x:c r="T81" s="85" t="n">
        <x:f>IF(J81="Sí",I81*O81*Q81,0)</x:f>
        <x:v>1.5</x:v>
      </x:c>
      <x:c r="U81" s="85" t="n">
        <x:f>IF(J81="Sí",I81*O81*R81,0)</x:f>
        <x:v>2.175</x:v>
      </x:c>
      <x:c r="V81" s="85" t="n">
        <x:f>IF(J81="Sí",I81*O81*S81,0)</x:f>
        <x:v>2.7</x:v>
      </x:c>
      <x:c r="W81" s="73"/>
      <x:c r="X81" s="73" t="str">
        <x:v>Checklist de seguridad</x:v>
      </x:c>
      <x:c r="Y81" s="73" t="str">
        <x:v>Mínimo privilegio y datos sensibles</x:v>
      </x:c>
      <x:c r="Z81" s="73"/>
      <x:c r="AA81" s="73" t="str">
        <x:v>Preliminar</x:v>
      </x:c>
      <x:c r="AB81" s="78" t="str">
        <x:v>Estimación técnica ISM · Validar</x:v>
      </x:c>
    </x:row>
    <x:row r="82">
      <x:c r="A82" s="77" t="str">
        <x:v>Desarrollo e Implementación</x:v>
      </x:c>
      <x:c r="B82" s="73" t="str">
        <x:v>INT-01</x:v>
      </x:c>
      <x:c r="C82" s="73" t="str">
        <x:v>Integración y automatización de procesos</x:v>
      </x:c>
      <x:c r="D82" s="73" t="str">
        <x:v>02 · Optimización digital</x:v>
      </x:c>
      <x:c r="E82" s="73" t="str">
        <x:v>Despliegue</x:v>
      </x:c>
      <x:c r="F82" s="73" t="str">
        <x:v>INT-016</x:v>
      </x:c>
      <x:c r="G82" s="73" t="str">
        <x:v>Configuración en producción</x:v>
      </x:c>
      <x:c r="H82" s="73" t="str">
        <x:v>Entorno</x:v>
      </x:c>
      <x:c r="I82" s="85" t="n">
        <x:v>1</x:v>
      </x:c>
      <x:c r="J82" s="73" t="str">
        <x:v>Sí</x:v>
      </x:c>
      <x:c r="K82" s="73" t="str">
        <x:v>Sí</x:v>
      </x:c>
      <x:c r="L82" s="85" t="n">
        <x:v>2</x:v>
      </x:c>
      <x:c r="M82" s="85" t="str">
        <x:v>Parcial</x:v>
      </x:c>
      <x:c r="N82" s="85" t="n">
        <x:v>0.8</x:v>
      </x:c>
      <x:c r="O82" s="85" t="n">
        <x:f>L82*N82</x:f>
        <x:v>1.6</x:v>
      </x:c>
      <x:c r="P82" s="85" t="str">
        <x:v>Alta</x:v>
      </x:c>
      <x:c r="Q82" s="85" t="n">
        <x:v>1</x:v>
      </x:c>
      <x:c r="R82" s="85" t="n">
        <x:v>1.45</x:v>
      </x:c>
      <x:c r="S82" s="85" t="n">
        <x:v>1.8</x:v>
      </x:c>
      <x:c r="T82" s="85" t="n">
        <x:f>IF(J82="Sí",I82*O82*Q82,0)</x:f>
        <x:v>1.6</x:v>
      </x:c>
      <x:c r="U82" s="85" t="n">
        <x:f>IF(J82="Sí",I82*O82*R82,0)</x:f>
        <x:v>2.32</x:v>
      </x:c>
      <x:c r="V82" s="85" t="n">
        <x:f>IF(J82="Sí",I82*O82*S82,0)</x:f>
        <x:v>2.8800000000000003</x:v>
      </x:c>
      <x:c r="W82" s="73" t="str">
        <x:v>INT-013</x:v>
      </x:c>
      <x:c r="X82" s="73" t="str">
        <x:v>Integración desplegada</x:v>
      </x:c>
      <x:c r="Y82" s="73" t="str">
        <x:v>Variables, secretos, job y validación</x:v>
      </x:c>
      <x:c r="Z82" s="73"/>
      <x:c r="AA82" s="73" t="str">
        <x:v>Preliminar</x:v>
      </x:c>
      <x:c r="AB82" s="78" t="str">
        <x:v>Estimación técnica ISM · Validar</x:v>
      </x:c>
    </x:row>
    <x:row r="83">
      <x:c r="A83" s="77" t="str">
        <x:v>Desarrollo e Implementación</x:v>
      </x:c>
      <x:c r="B83" s="73" t="str">
        <x:v>INT-01</x:v>
      </x:c>
      <x:c r="C83" s="73" t="str">
        <x:v>Integración y automatización de procesos</x:v>
      </x:c>
      <x:c r="D83" s="73" t="str">
        <x:v>02 · Optimización digital</x:v>
      </x:c>
      <x:c r="E83" s="73" t="str">
        <x:v>Cierre</x:v>
      </x:c>
      <x:c r="F83" s="73" t="str">
        <x:v>INT-017</x:v>
      </x:c>
      <x:c r="G83" s="73" t="str">
        <x:v>Documentación y procedimiento operativo</x:v>
      </x:c>
      <x:c r="H83" s="73" t="str">
        <x:v>Integración</x:v>
      </x:c>
      <x:c r="I83" s="85" t="n">
        <x:v>1</x:v>
      </x:c>
      <x:c r="J83" s="73" t="str">
        <x:v>Sí</x:v>
      </x:c>
      <x:c r="K83" s="73" t="str">
        <x:v>Sí</x:v>
      </x:c>
      <x:c r="L83" s="85" t="n">
        <x:v>2</x:v>
      </x:c>
      <x:c r="M83" s="85" t="str">
        <x:v>No</x:v>
      </x:c>
      <x:c r="N83" s="85" t="n">
        <x:v>1</x:v>
      </x:c>
      <x:c r="O83" s="85" t="n">
        <x:f>L83*N83</x:f>
        <x:v>2</x:v>
      </x:c>
      <x:c r="P83" s="85" t="str">
        <x:v>Media</x:v>
      </x:c>
      <x:c r="Q83" s="85" t="n">
        <x:v>1</x:v>
      </x:c>
      <x:c r="R83" s="85" t="n">
        <x:v>1.3</x:v>
      </x:c>
      <x:c r="S83" s="85" t="n">
        <x:v>1.55</x:v>
      </x:c>
      <x:c r="T83" s="85" t="n">
        <x:f>IF(J83="Sí",I83*O83*Q83,0)</x:f>
        <x:v>2</x:v>
      </x:c>
      <x:c r="U83" s="85" t="n">
        <x:f>IF(J83="Sí",I83*O83*R83,0)</x:f>
        <x:v>2.6</x:v>
      </x:c>
      <x:c r="V83" s="85" t="n">
        <x:f>IF(J83="Sí",I83*O83*S83,0)</x:f>
        <x:v>3.1</x:v>
      </x:c>
      <x:c r="W83" s="73"/>
      <x:c r="X83" s="73" t="str">
        <x:v>Runbook de integración</x:v>
      </x:c>
      <x:c r="Y83" s="73" t="str">
        <x:v>Operación, errores, reintentos y contactos</x:v>
      </x:c>
      <x:c r="Z83" s="73"/>
      <x:c r="AA83" s="73" t="str">
        <x:v>Preliminar</x:v>
      </x:c>
      <x:c r="AB83" s="78" t="str">
        <x:v>Estimación técnica ISM · Validar</x:v>
      </x:c>
    </x:row>
    <x:row r="84">
      <x:c r="A84" s="77" t="str">
        <x:v>Mantenimiento y Evolución</x:v>
      </x:c>
      <x:c r="B84" s="73" t="str">
        <x:v>MNT-01</x:v>
      </x:c>
      <x:c r="C84" s="73" t="str">
        <x:v>Corrección de errores y estabilización</x:v>
      </x:c>
      <x:c r="D84" s="73" t="str">
        <x:v>02 · Optimización digital</x:v>
      </x:c>
      <x:c r="E84" s="73" t="str">
        <x:v>Recepción</x:v>
      </x:c>
      <x:c r="F84" s="73" t="str">
        <x:v>MNT1-001</x:v>
      </x:c>
      <x:c r="G84" s="73" t="str">
        <x:v>Registro del incidente y evidencia</x:v>
      </x:c>
      <x:c r="H84" s="73" t="str">
        <x:v>Incidente</x:v>
      </x:c>
      <x:c r="I84" s="85" t="n">
        <x:v>1</x:v>
      </x:c>
      <x:c r="J84" s="73" t="str">
        <x:v>Sí</x:v>
      </x:c>
      <x:c r="K84" s="73" t="str">
        <x:v>Sí</x:v>
      </x:c>
      <x:c r="L84" s="85" t="n">
        <x:v>0.5</x:v>
      </x:c>
      <x:c r="M84" s="85" t="str">
        <x:v>No</x:v>
      </x:c>
      <x:c r="N84" s="85" t="n">
        <x:v>1</x:v>
      </x:c>
      <x:c r="O84" s="85" t="n">
        <x:f>L84*N84</x:f>
        <x:v>0.5</x:v>
      </x:c>
      <x:c r="P84" s="85" t="str">
        <x:v>Baja</x:v>
      </x:c>
      <x:c r="Q84" s="85" t="n">
        <x:v>1</x:v>
      </x:c>
      <x:c r="R84" s="85" t="n">
        <x:v>1.15</x:v>
      </x:c>
      <x:c r="S84" s="85" t="n">
        <x:v>1.3</x:v>
      </x:c>
      <x:c r="T84" s="85" t="n">
        <x:f>IF(J84="Sí",I84*O84*Q84,0)</x:f>
        <x:v>0.5</x:v>
      </x:c>
      <x:c r="U84" s="85" t="n">
        <x:f>IF(J84="Sí",I84*O84*R84,0)</x:f>
        <x:v>0.575</x:v>
      </x:c>
      <x:c r="V84" s="85" t="n">
        <x:f>IF(J84="Sí",I84*O84*S84,0)</x:f>
        <x:v>0.65</x:v>
      </x:c>
      <x:c r="W84" s="73"/>
      <x:c r="X84" s="73" t="str">
        <x:v>Ticket documentado</x:v>
      </x:c>
      <x:c r="Y84" s="73" t="str">
        <x:v>Descripción, pasos, evidencia y entorno</x:v>
      </x:c>
      <x:c r="Z84" s="73"/>
      <x:c r="AA84" s="73" t="str">
        <x:v>Preliminar</x:v>
      </x:c>
      <x:c r="AB84" s="78" t="str">
        <x:v>Estimación técnica ISM · Validar</x:v>
      </x:c>
    </x:row>
    <x:row r="85">
      <x:c r="A85" s="77" t="str">
        <x:v>Mantenimiento y Evolución</x:v>
      </x:c>
      <x:c r="B85" s="73" t="str">
        <x:v>MNT-01</x:v>
      </x:c>
      <x:c r="C85" s="73" t="str">
        <x:v>Corrección de errores y estabilización</x:v>
      </x:c>
      <x:c r="D85" s="73" t="str">
        <x:v>02 · Optimización digital</x:v>
      </x:c>
      <x:c r="E85" s="73" t="str">
        <x:v>Triage</x:v>
      </x:c>
      <x:c r="F85" s="73" t="str">
        <x:v>MNT1-002</x:v>
      </x:c>
      <x:c r="G85" s="73" t="str">
        <x:v>Clasificación de severidad e impacto</x:v>
      </x:c>
      <x:c r="H85" s="73" t="str">
        <x:v>Incidente</x:v>
      </x:c>
      <x:c r="I85" s="85" t="n">
        <x:v>1</x:v>
      </x:c>
      <x:c r="J85" s="73" t="str">
        <x:v>Sí</x:v>
      </x:c>
      <x:c r="K85" s="73" t="str">
        <x:v>Sí</x:v>
      </x:c>
      <x:c r="L85" s="85" t="n">
        <x:v>0.5</x:v>
      </x:c>
      <x:c r="M85" s="85" t="str">
        <x:v>No</x:v>
      </x:c>
      <x:c r="N85" s="85" t="n">
        <x:v>1</x:v>
      </x:c>
      <x:c r="O85" s="85" t="n">
        <x:f>L85*N85</x:f>
        <x:v>0.5</x:v>
      </x:c>
      <x:c r="P85" s="85" t="str">
        <x:v>Media</x:v>
      </x:c>
      <x:c r="Q85" s="85" t="n">
        <x:v>1</x:v>
      </x:c>
      <x:c r="R85" s="85" t="n">
        <x:v>1.3</x:v>
      </x:c>
      <x:c r="S85" s="85" t="n">
        <x:v>1.55</x:v>
      </x:c>
      <x:c r="T85" s="85" t="n">
        <x:f>IF(J85="Sí",I85*O85*Q85,0)</x:f>
        <x:v>0.5</x:v>
      </x:c>
      <x:c r="U85" s="85" t="n">
        <x:f>IF(J85="Sí",I85*O85*R85,0)</x:f>
        <x:v>0.65</x:v>
      </x:c>
      <x:c r="V85" s="85" t="n">
        <x:f>IF(J85="Sí",I85*O85*S85,0)</x:f>
        <x:v>0.775</x:v>
      </x:c>
      <x:c r="W85" s="73" t="str">
        <x:v>MNT1-001</x:v>
      </x:c>
      <x:c r="X85" s="73" t="str">
        <x:v>Prioridad definida</x:v>
      </x:c>
      <x:c r="Y85" s="73" t="str">
        <x:v>Impacto, urgencia, alcance y usuarios afectados</x:v>
      </x:c>
      <x:c r="Z85" s="73"/>
      <x:c r="AA85" s="73" t="str">
        <x:v>Preliminar</x:v>
      </x:c>
      <x:c r="AB85" s="78" t="str">
        <x:v>Estimación técnica ISM · Validar</x:v>
      </x:c>
    </x:row>
    <x:row r="86">
      <x:c r="A86" s="77" t="str">
        <x:v>Mantenimiento y Evolución</x:v>
      </x:c>
      <x:c r="B86" s="73" t="str">
        <x:v>MNT-01</x:v>
      </x:c>
      <x:c r="C86" s="73" t="str">
        <x:v>Corrección de errores y estabilización</x:v>
      </x:c>
      <x:c r="D86" s="73" t="str">
        <x:v>02 · Optimización digital</x:v>
      </x:c>
      <x:c r="E86" s="73" t="str">
        <x:v>Diagnóstico</x:v>
      </x:c>
      <x:c r="F86" s="73" t="str">
        <x:v>MNT1-003</x:v>
      </x:c>
      <x:c r="G86" s="73" t="str">
        <x:v>Reproducción controlada del error</x:v>
      </x:c>
      <x:c r="H86" s="73" t="str">
        <x:v>Incidente</x:v>
      </x:c>
      <x:c r="I86" s="85" t="n">
        <x:v>1</x:v>
      </x:c>
      <x:c r="J86" s="73" t="str">
        <x:v>Sí</x:v>
      </x:c>
      <x:c r="K86" s="73" t="str">
        <x:v>Sí</x:v>
      </x:c>
      <x:c r="L86" s="85" t="n">
        <x:v>1.5</x:v>
      </x:c>
      <x:c r="M86" s="85" t="str">
        <x:v>No</x:v>
      </x:c>
      <x:c r="N86" s="85" t="n">
        <x:v>1</x:v>
      </x:c>
      <x:c r="O86" s="85" t="n">
        <x:f>L86*N86</x:f>
        <x:v>1.5</x:v>
      </x:c>
      <x:c r="P86" s="85" t="str">
        <x:v>Alta</x:v>
      </x:c>
      <x:c r="Q86" s="85" t="n">
        <x:v>1</x:v>
      </x:c>
      <x:c r="R86" s="85" t="n">
        <x:v>1.45</x:v>
      </x:c>
      <x:c r="S86" s="85" t="n">
        <x:v>1.8</x:v>
      </x:c>
      <x:c r="T86" s="85" t="n">
        <x:f>IF(J86="Sí",I86*O86*Q86,0)</x:f>
        <x:v>1.5</x:v>
      </x:c>
      <x:c r="U86" s="85" t="n">
        <x:f>IF(J86="Sí",I86*O86*R86,0)</x:f>
        <x:v>2.175</x:v>
      </x:c>
      <x:c r="V86" s="85" t="n">
        <x:f>IF(J86="Sí",I86*O86*S86,0)</x:f>
        <x:v>2.7</x:v>
      </x:c>
      <x:c r="W86" s="73" t="str">
        <x:v>MNT1-001</x:v>
      </x:c>
      <x:c r="X86" s="73" t="str">
        <x:v>Caso reproducible</x:v>
      </x:c>
      <x:c r="Y86" s="73" t="str">
        <x:v>Pasos, datos y condiciones de reproducción</x:v>
      </x:c>
      <x:c r="Z86" s="73"/>
      <x:c r="AA86" s="73" t="str">
        <x:v>Preliminar</x:v>
      </x:c>
      <x:c r="AB86" s="78" t="str">
        <x:v>Estimación técnica ISM · Validar</x:v>
      </x:c>
    </x:row>
    <x:row r="87">
      <x:c r="A87" s="77" t="str">
        <x:v>Mantenimiento y Evolución</x:v>
      </x:c>
      <x:c r="B87" s="73" t="str">
        <x:v>MNT-01</x:v>
      </x:c>
      <x:c r="C87" s="73" t="str">
        <x:v>Corrección de errores y estabilización</x:v>
      </x:c>
      <x:c r="D87" s="73" t="str">
        <x:v>02 · Optimización digital</x:v>
      </x:c>
      <x:c r="E87" s="73" t="str">
        <x:v>Diagnóstico</x:v>
      </x:c>
      <x:c r="F87" s="73" t="str">
        <x:v>MNT1-004</x:v>
      </x:c>
      <x:c r="G87" s="73" t="str">
        <x:v>Análisis de logs, datos y código relacionado</x:v>
      </x:c>
      <x:c r="H87" s="73" t="str">
        <x:v>Incidente</x:v>
      </x:c>
      <x:c r="I87" s="85" t="n">
        <x:v>1</x:v>
      </x:c>
      <x:c r="J87" s="73" t="str">
        <x:v>Sí</x:v>
      </x:c>
      <x:c r="K87" s="73" t="str">
        <x:v>Sí</x:v>
      </x:c>
      <x:c r="L87" s="85" t="n">
        <x:v>2</x:v>
      </x:c>
      <x:c r="M87" s="85" t="str">
        <x:v>No</x:v>
      </x:c>
      <x:c r="N87" s="85" t="n">
        <x:v>1</x:v>
      </x:c>
      <x:c r="O87" s="85" t="n">
        <x:f>L87*N87</x:f>
        <x:v>2</x:v>
      </x:c>
      <x:c r="P87" s="85" t="str">
        <x:v>Alta</x:v>
      </x:c>
      <x:c r="Q87" s="85" t="n">
        <x:v>1</x:v>
      </x:c>
      <x:c r="R87" s="85" t="n">
        <x:v>1.45</x:v>
      </x:c>
      <x:c r="S87" s="85" t="n">
        <x:v>1.8</x:v>
      </x:c>
      <x:c r="T87" s="85" t="n">
        <x:f>IF(J87="Sí",I87*O87*Q87,0)</x:f>
        <x:v>2</x:v>
      </x:c>
      <x:c r="U87" s="85" t="n">
        <x:f>IF(J87="Sí",I87*O87*R87,0)</x:f>
        <x:v>2.9</x:v>
      </x:c>
      <x:c r="V87" s="85" t="n">
        <x:f>IF(J87="Sí",I87*O87*S87,0)</x:f>
        <x:v>3.6</x:v>
      </x:c>
      <x:c r="W87" s="73" t="str">
        <x:v>MNT1-003</x:v>
      </x:c>
      <x:c r="X87" s="73" t="str">
        <x:v>Causa probable</x:v>
      </x:c>
      <x:c r="Y87" s="73" t="str">
        <x:v>Evidencia técnica y componentes involucrados</x:v>
      </x:c>
      <x:c r="Z87" s="73"/>
      <x:c r="AA87" s="73" t="str">
        <x:v>Preliminar</x:v>
      </x:c>
      <x:c r="AB87" s="78" t="str">
        <x:v>Estimación técnica ISM · Validar</x:v>
      </x:c>
    </x:row>
    <x:row r="88">
      <x:c r="A88" s="77" t="str">
        <x:v>Mantenimiento y Evolución</x:v>
      </x:c>
      <x:c r="B88" s="73" t="str">
        <x:v>MNT-01</x:v>
      </x:c>
      <x:c r="C88" s="73" t="str">
        <x:v>Corrección de errores y estabilización</x:v>
      </x:c>
      <x:c r="D88" s="73" t="str">
        <x:v>02 · Optimización digital</x:v>
      </x:c>
      <x:c r="E88" s="73" t="str">
        <x:v>Diagnóstico</x:v>
      </x:c>
      <x:c r="F88" s="73" t="str">
        <x:v>MNT1-005</x:v>
      </x:c>
      <x:c r="G88" s="73" t="str">
        <x:v>Análisis de causa raíz</x:v>
      </x:c>
      <x:c r="H88" s="73" t="str">
        <x:v>Incidente</x:v>
      </x:c>
      <x:c r="I88" s="85" t="n">
        <x:v>1</x:v>
      </x:c>
      <x:c r="J88" s="73" t="str">
        <x:v>Sí</x:v>
      </x:c>
      <x:c r="K88" s="73" t="str">
        <x:v>Sí</x:v>
      </x:c>
      <x:c r="L88" s="85" t="n">
        <x:v>1.5</x:v>
      </x:c>
      <x:c r="M88" s="85" t="str">
        <x:v>No</x:v>
      </x:c>
      <x:c r="N88" s="85" t="n">
        <x:v>1</x:v>
      </x:c>
      <x:c r="O88" s="85" t="n">
        <x:f>L88*N88</x:f>
        <x:v>1.5</x:v>
      </x:c>
      <x:c r="P88" s="85" t="str">
        <x:v>Alta</x:v>
      </x:c>
      <x:c r="Q88" s="85" t="n">
        <x:v>1</x:v>
      </x:c>
      <x:c r="R88" s="85" t="n">
        <x:v>1.45</x:v>
      </x:c>
      <x:c r="S88" s="85" t="n">
        <x:v>1.8</x:v>
      </x:c>
      <x:c r="T88" s="85" t="n">
        <x:f>IF(J88="Sí",I88*O88*Q88,0)</x:f>
        <x:v>1.5</x:v>
      </x:c>
      <x:c r="U88" s="85" t="n">
        <x:f>IF(J88="Sí",I88*O88*R88,0)</x:f>
        <x:v>2.175</x:v>
      </x:c>
      <x:c r="V88" s="85" t="n">
        <x:f>IF(J88="Sí",I88*O88*S88,0)</x:f>
        <x:v>2.7</x:v>
      </x:c>
      <x:c r="W88" s="73" t="str">
        <x:v>MNT1-004</x:v>
      </x:c>
      <x:c r="X88" s="73" t="str">
        <x:v>Causa raíz</x:v>
      </x:c>
      <x:c r="Y88" s="73" t="str">
        <x:v>Origen y condiciones que provocan el fallo</x:v>
      </x:c>
      <x:c r="Z88" s="73"/>
      <x:c r="AA88" s="73" t="str">
        <x:v>Preliminar</x:v>
      </x:c>
      <x:c r="AB88" s="78" t="str">
        <x:v>Estimación técnica ISM · Validar</x:v>
      </x:c>
    </x:row>
    <x:row r="89">
      <x:c r="A89" s="77" t="str">
        <x:v>Mantenimiento y Evolución</x:v>
      </x:c>
      <x:c r="B89" s="73" t="str">
        <x:v>MNT-01</x:v>
      </x:c>
      <x:c r="C89" s="73" t="str">
        <x:v>Corrección de errores y estabilización</x:v>
      </x:c>
      <x:c r="D89" s="73" t="str">
        <x:v>02 · Optimización digital</x:v>
      </x:c>
      <x:c r="E89" s="73" t="str">
        <x:v>Planificación</x:v>
      </x:c>
      <x:c r="F89" s="73" t="str">
        <x:v>MNT1-006</x:v>
      </x:c>
      <x:c r="G89" s="73" t="str">
        <x:v>Definición de corrección y plan de reversa</x:v>
      </x:c>
      <x:c r="H89" s="73" t="str">
        <x:v>Cambio</x:v>
      </x:c>
      <x:c r="I89" s="85" t="n">
        <x:v>1</x:v>
      </x:c>
      <x:c r="J89" s="73" t="str">
        <x:v>Sí</x:v>
      </x:c>
      <x:c r="K89" s="73" t="str">
        <x:v>Sí</x:v>
      </x:c>
      <x:c r="L89" s="85" t="n">
        <x:v>1</x:v>
      </x:c>
      <x:c r="M89" s="85" t="str">
        <x:v>Parcial</x:v>
      </x:c>
      <x:c r="N89" s="85" t="n">
        <x:v>0.9</x:v>
      </x:c>
      <x:c r="O89" s="85" t="n">
        <x:f>L89*N89</x:f>
        <x:v>0.9</x:v>
      </x:c>
      <x:c r="P89" s="85" t="str">
        <x:v>Alta</x:v>
      </x:c>
      <x:c r="Q89" s="85" t="n">
        <x:v>1</x:v>
      </x:c>
      <x:c r="R89" s="85" t="n">
        <x:v>1.45</x:v>
      </x:c>
      <x:c r="S89" s="85" t="n">
        <x:v>1.8</x:v>
      </x:c>
      <x:c r="T89" s="85" t="n">
        <x:f>IF(J89="Sí",I89*O89*Q89,0)</x:f>
        <x:v>0.9</x:v>
      </x:c>
      <x:c r="U89" s="85" t="n">
        <x:f>IF(J89="Sí",I89*O89*R89,0)</x:f>
        <x:v>1.305</x:v>
      </x:c>
      <x:c r="V89" s="85" t="n">
        <x:f>IF(J89="Sí",I89*O89*S89,0)</x:f>
        <x:v>1.62</x:v>
      </x:c>
      <x:c r="W89" s="73" t="str">
        <x:v>MNT1-005</x:v>
      </x:c>
      <x:c r="X89" s="73" t="str">
        <x:v>Plan de cambio</x:v>
      </x:c>
      <x:c r="Y89" s="73" t="str">
        <x:v>Corrección, riesgo, pruebas y reversa</x:v>
      </x:c>
      <x:c r="Z89" s="73"/>
      <x:c r="AA89" s="73" t="str">
        <x:v>Preliminar</x:v>
      </x:c>
      <x:c r="AB89" s="78" t="str">
        <x:v>Estimación técnica ISM · Validar</x:v>
      </x:c>
    </x:row>
    <x:row r="90">
      <x:c r="A90" s="77" t="str">
        <x:v>Mantenimiento y Evolución</x:v>
      </x:c>
      <x:c r="B90" s="73" t="str">
        <x:v>MNT-01</x:v>
      </x:c>
      <x:c r="C90" s="73" t="str">
        <x:v>Corrección de errores y estabilización</x:v>
      </x:c>
      <x:c r="D90" s="73" t="str">
        <x:v>02 · Optimización digital</x:v>
      </x:c>
      <x:c r="E90" s="73" t="str">
        <x:v>Corrección</x:v>
      </x:c>
      <x:c r="F90" s="73" t="str">
        <x:v>MNT1-007</x:v>
      </x:c>
      <x:c r="G90" s="73" t="str">
        <x:v>Corrección de baja complejidad</x:v>
      </x:c>
      <x:c r="H90" s="73" t="str">
        <x:v>Cambio</x:v>
      </x:c>
      <x:c r="I90" s="85" t="n">
        <x:v>1</x:v>
      </x:c>
      <x:c r="J90" s="73" t="str">
        <x:v>Sí</x:v>
      </x:c>
      <x:c r="K90" s="73" t="str">
        <x:v>No</x:v>
      </x:c>
      <x:c r="L90" s="85" t="n">
        <x:v>2</x:v>
      </x:c>
      <x:c r="M90" s="85" t="str">
        <x:v>Parcial</x:v>
      </x:c>
      <x:c r="N90" s="85" t="n">
        <x:v>0.85</x:v>
      </x:c>
      <x:c r="O90" s="85" t="n">
        <x:f>L90*N90</x:f>
        <x:v>1.7</x:v>
      </x:c>
      <x:c r="P90" s="85" t="str">
        <x:v>Media</x:v>
      </x:c>
      <x:c r="Q90" s="85" t="n">
        <x:v>1</x:v>
      </x:c>
      <x:c r="R90" s="85" t="n">
        <x:v>1.3</x:v>
      </x:c>
      <x:c r="S90" s="85" t="n">
        <x:v>1.55</x:v>
      </x:c>
      <x:c r="T90" s="85" t="n">
        <x:f>IF(J90="Sí",I90*O90*Q90,0)</x:f>
        <x:v>1.7</x:v>
      </x:c>
      <x:c r="U90" s="85" t="n">
        <x:f>IF(J90="Sí",I90*O90*R90,0)</x:f>
        <x:v>2.21</x:v>
      </x:c>
      <x:c r="V90" s="85" t="n">
        <x:f>IF(J90="Sí",I90*O90*S90,0)</x:f>
        <x:v>2.635</x:v>
      </x:c>
      <x:c r="W90" s="73" t="str">
        <x:v>MNT1-006</x:v>
      </x:c>
      <x:c r="X90" s="73" t="str">
        <x:v>Código corregido</x:v>
      </x:c>
      <x:c r="Y90" s="73" t="str">
        <x:v>Ajuste localizado sin cambio de arquitectura</x:v>
      </x:c>
      <x:c r="Z90" s="73" t="str">
        <x:v>Mutuamente excluyente con MNT1-008 para el mismo incidente.</x:v>
      </x:c>
      <x:c r="AA90" s="73" t="str">
        <x:v>Preliminar</x:v>
      </x:c>
      <x:c r="AB90" s="78" t="str">
        <x:v>Estimación técnica ISM · Validar</x:v>
      </x:c>
    </x:row>
    <x:row r="91">
      <x:c r="A91" s="77" t="str">
        <x:v>Mantenimiento y Evolución</x:v>
      </x:c>
      <x:c r="B91" s="73" t="str">
        <x:v>MNT-01</x:v>
      </x:c>
      <x:c r="C91" s="73" t="str">
        <x:v>Corrección de errores y estabilización</x:v>
      </x:c>
      <x:c r="D91" s="73" t="str">
        <x:v>02 · Optimización digital</x:v>
      </x:c>
      <x:c r="E91" s="73" t="str">
        <x:v>Corrección</x:v>
      </x:c>
      <x:c r="F91" s="73" t="str">
        <x:v>MNT1-008</x:v>
      </x:c>
      <x:c r="G91" s="73" t="str">
        <x:v>Corrección de complejidad media</x:v>
      </x:c>
      <x:c r="H91" s="73" t="str">
        <x:v>Cambio</x:v>
      </x:c>
      <x:c r="I91" s="85" t="n">
        <x:v>2</x:v>
      </x:c>
      <x:c r="J91" s="73" t="str">
        <x:v>No</x:v>
      </x:c>
      <x:c r="K91" s="73" t="str">
        <x:v>No</x:v>
      </x:c>
      <x:c r="L91" s="85" t="n">
        <x:v>4</x:v>
      </x:c>
      <x:c r="M91" s="85" t="str">
        <x:v>No</x:v>
      </x:c>
      <x:c r="N91" s="85" t="n">
        <x:v>1</x:v>
      </x:c>
      <x:c r="O91" s="85" t="n">
        <x:f>L91*N91</x:f>
        <x:v>4</x:v>
      </x:c>
      <x:c r="P91" s="85" t="str">
        <x:v>Alta</x:v>
      </x:c>
      <x:c r="Q91" s="85" t="n">
        <x:v>1</x:v>
      </x:c>
      <x:c r="R91" s="85" t="n">
        <x:v>1.45</x:v>
      </x:c>
      <x:c r="S91" s="85" t="n">
        <x:v>1.8</x:v>
      </x:c>
      <x:c r="T91" s="85" t="n">
        <x:f>IF(J91="Sí",I91*O91*Q91,0)</x:f>
        <x:v>0</x:v>
      </x:c>
      <x:c r="U91" s="85" t="n">
        <x:f>IF(J91="Sí",I91*O91*R91,0)</x:f>
        <x:v>0</x:v>
      </x:c>
      <x:c r="V91" s="85" t="n">
        <x:f>IF(J91="Sí",I91*O91*S91,0)</x:f>
        <x:v>0</x:v>
      </x:c>
      <x:c r="W91" s="73" t="str">
        <x:v>MNT1-006</x:v>
      </x:c>
      <x:c r="X91" s="73" t="str">
        <x:v>Código corregido</x:v>
      </x:c>
      <x:c r="Y91" s="73" t="str">
        <x:v>Cambios en varios componentes o reglas</x:v>
      </x:c>
      <x:c r="Z91" s="73" t="str">
        <x:v>Mutuamente excluyente con MNT1-007 para el mismo incidente.</x:v>
      </x:c>
      <x:c r="AA91" s="73" t="str">
        <x:v>Preliminar</x:v>
      </x:c>
      <x:c r="AB91" s="78" t="str">
        <x:v>Estimación técnica ISM · Validar</x:v>
      </x:c>
    </x:row>
    <x:row r="92">
      <x:c r="A92" s="77" t="str">
        <x:v>Mantenimiento y Evolución</x:v>
      </x:c>
      <x:c r="B92" s="73" t="str">
        <x:v>MNT-01</x:v>
      </x:c>
      <x:c r="C92" s="73" t="str">
        <x:v>Corrección de errores y estabilización</x:v>
      </x:c>
      <x:c r="D92" s="73" t="str">
        <x:v>02 · Optimización digital</x:v>
      </x:c>
      <x:c r="E92" s="73" t="str">
        <x:v>Datos</x:v>
      </x:c>
      <x:c r="F92" s="73" t="str">
        <x:v>MNT1-009</x:v>
      </x:c>
      <x:c r="G92" s="73" t="str">
        <x:v>Corrección o regularización de datos</x:v>
      </x:c>
      <x:c r="H92" s="73" t="str">
        <x:v>Lote</x:v>
      </x:c>
      <x:c r="I92" s="85" t="n">
        <x:v>2</x:v>
      </x:c>
      <x:c r="J92" s="73" t="str">
        <x:v>No</x:v>
      </x:c>
      <x:c r="K92" s="73" t="str">
        <x:v>No</x:v>
      </x:c>
      <x:c r="L92" s="85" t="n">
        <x:v>2.5</x:v>
      </x:c>
      <x:c r="M92" s="85" t="str">
        <x:v>No</x:v>
      </x:c>
      <x:c r="N92" s="85" t="n">
        <x:v>1</x:v>
      </x:c>
      <x:c r="O92" s="85" t="n">
        <x:f>L92*N92</x:f>
        <x:v>2.5</x:v>
      </x:c>
      <x:c r="P92" s="85" t="str">
        <x:v>Alta</x:v>
      </x:c>
      <x:c r="Q92" s="85" t="n">
        <x:v>1</x:v>
      </x:c>
      <x:c r="R92" s="85" t="n">
        <x:v>1.45</x:v>
      </x:c>
      <x:c r="S92" s="85" t="n">
        <x:v>1.8</x:v>
      </x:c>
      <x:c r="T92" s="85" t="n">
        <x:f>IF(J92="Sí",I92*O92*Q92,0)</x:f>
        <x:v>0</x:v>
      </x:c>
      <x:c r="U92" s="85" t="n">
        <x:f>IF(J92="Sí",I92*O92*R92,0)</x:f>
        <x:v>0</x:v>
      </x:c>
      <x:c r="V92" s="85" t="n">
        <x:f>IF(J92="Sí",I92*O92*S92,0)</x:f>
        <x:v>0</x:v>
      </x:c>
      <x:c r="W92" s="73" t="str">
        <x:v>MNT1-006</x:v>
      </x:c>
      <x:c r="X92" s="73" t="str">
        <x:v>Datos regularizados</x:v>
      </x:c>
      <x:c r="Y92" s="73" t="str">
        <x:v>Script, respaldo y validación</x:v>
      </x:c>
      <x:c r="Z92" s="73" t="str">
        <x:v>Recuperación forense</x:v>
      </x:c>
      <x:c r="AA92" s="73" t="str">
        <x:v>Preliminar</x:v>
      </x:c>
      <x:c r="AB92" s="78" t="str">
        <x:v>Estimación técnica ISM · Validar</x:v>
      </x:c>
    </x:row>
    <x:row r="93">
      <x:c r="A93" s="77" t="str">
        <x:v>Mantenimiento y Evolución</x:v>
      </x:c>
      <x:c r="B93" s="73" t="str">
        <x:v>MNT-01</x:v>
      </x:c>
      <x:c r="C93" s="73" t="str">
        <x:v>Corrección de errores y estabilización</x:v>
      </x:c>
      <x:c r="D93" s="73" t="str">
        <x:v>02 · Optimización digital</x:v>
      </x:c>
      <x:c r="E93" s="73" t="str">
        <x:v>Calidad</x:v>
      </x:c>
      <x:c r="F93" s="73" t="str">
        <x:v>MNT1-010</x:v>
      </x:c>
      <x:c r="G93" s="73" t="str">
        <x:v>Prueba del caso corregido</x:v>
      </x:c>
      <x:c r="H93" s="73" t="str">
        <x:v>Caso</x:v>
      </x:c>
      <x:c r="I93" s="85" t="n">
        <x:v>1</x:v>
      </x:c>
      <x:c r="J93" s="73" t="str">
        <x:v>Sí</x:v>
      </x:c>
      <x:c r="K93" s="73" t="str">
        <x:v>Sí</x:v>
      </x:c>
      <x:c r="L93" s="85" t="n">
        <x:v>1</x:v>
      </x:c>
      <x:c r="M93" s="85" t="str">
        <x:v>No</x:v>
      </x:c>
      <x:c r="N93" s="85" t="n">
        <x:v>1</x:v>
      </x:c>
      <x:c r="O93" s="85" t="n">
        <x:f>L93*N93</x:f>
        <x:v>1</x:v>
      </x:c>
      <x:c r="P93" s="85" t="str">
        <x:v>Media</x:v>
      </x:c>
      <x:c r="Q93" s="85" t="n">
        <x:v>1</x:v>
      </x:c>
      <x:c r="R93" s="85" t="n">
        <x:v>1.3</x:v>
      </x:c>
      <x:c r="S93" s="85" t="n">
        <x:v>1.55</x:v>
      </x:c>
      <x:c r="T93" s="85" t="n">
        <x:f>IF(J93="Sí",I93*O93*Q93,0)</x:f>
        <x:v>1</x:v>
      </x:c>
      <x:c r="U93" s="85" t="n">
        <x:f>IF(J93="Sí",I93*O93*R93,0)</x:f>
        <x:v>1.3</x:v>
      </x:c>
      <x:c r="V93" s="85" t="n">
        <x:f>IF(J93="Sí",I93*O93*S93,0)</x:f>
        <x:v>1.55</x:v>
      </x:c>
      <x:c r="W93" s="73" t="str">
        <x:v>MNT1-007</x:v>
      </x:c>
      <x:c r="X93" s="73" t="str">
        <x:v>Caso validado</x:v>
      </x:c>
      <x:c r="Y93" s="73" t="str">
        <x:v>Prueba directa del defecto</x:v>
      </x:c>
      <x:c r="Z93" s="73"/>
      <x:c r="AA93" s="73" t="str">
        <x:v>Preliminar</x:v>
      </x:c>
      <x:c r="AB93" s="78" t="str">
        <x:v>Estimación técnica ISM · Validar</x:v>
      </x:c>
    </x:row>
    <x:row r="94">
      <x:c r="A94" s="77" t="str">
        <x:v>Mantenimiento y Evolución</x:v>
      </x:c>
      <x:c r="B94" s="73" t="str">
        <x:v>MNT-01</x:v>
      </x:c>
      <x:c r="C94" s="73" t="str">
        <x:v>Corrección de errores y estabilización</x:v>
      </x:c>
      <x:c r="D94" s="73" t="str">
        <x:v>02 · Optimización digital</x:v>
      </x:c>
      <x:c r="E94" s="73" t="str">
        <x:v>Calidad</x:v>
      </x:c>
      <x:c r="F94" s="73" t="str">
        <x:v>MNT1-011</x:v>
      </x:c>
      <x:c r="G94" s="73" t="str">
        <x:v>Pruebas de regresión relacionadas</x:v>
      </x:c>
      <x:c r="H94" s="73" t="str">
        <x:v>Caso</x:v>
      </x:c>
      <x:c r="I94" s="85" t="n">
        <x:v>3</x:v>
      </x:c>
      <x:c r="J94" s="73" t="str">
        <x:v>Sí</x:v>
      </x:c>
      <x:c r="K94" s="73" t="str">
        <x:v>Sí</x:v>
      </x:c>
      <x:c r="L94" s="85" t="n">
        <x:v>0.75</x:v>
      </x:c>
      <x:c r="M94" s="85" t="str">
        <x:v>Parcial</x:v>
      </x:c>
      <x:c r="N94" s="85" t="n">
        <x:v>0.9</x:v>
      </x:c>
      <x:c r="O94" s="85" t="n">
        <x:f>L94*N94</x:f>
        <x:v>0.675</x:v>
      </x:c>
      <x:c r="P94" s="85" t="str">
        <x:v>Alta</x:v>
      </x:c>
      <x:c r="Q94" s="85" t="n">
        <x:v>1</x:v>
      </x:c>
      <x:c r="R94" s="85" t="n">
        <x:v>1.45</x:v>
      </x:c>
      <x:c r="S94" s="85" t="n">
        <x:v>1.8</x:v>
      </x:c>
      <x:c r="T94" s="85" t="n">
        <x:f>IF(J94="Sí",I94*O94*Q94,0)</x:f>
        <x:v>2.0250000000000004</x:v>
      </x:c>
      <x:c r="U94" s="85" t="n">
        <x:f>IF(J94="Sí",I94*O94*R94,0)</x:f>
        <x:v>2.9362500000000002</x:v>
      </x:c>
      <x:c r="V94" s="85" t="n">
        <x:f>IF(J94="Sí",I94*O94*S94,0)</x:f>
        <x:v>3.645000000000001</x:v>
      </x:c>
      <x:c r="W94" s="73" t="str">
        <x:v>MNT1-010</x:v>
      </x:c>
      <x:c r="X94" s="73" t="str">
        <x:v>Regresión validada</x:v>
      </x:c>
      <x:c r="Y94" s="73" t="str">
        <x:v>Flujos cercanos y funciones relacionadas</x:v>
      </x:c>
      <x:c r="Z94" s="73"/>
      <x:c r="AA94" s="73" t="str">
        <x:v>Preliminar</x:v>
      </x:c>
      <x:c r="AB94" s="78" t="str">
        <x:v>Estimación técnica ISM · Validar</x:v>
      </x:c>
    </x:row>
    <x:row r="95">
      <x:c r="A95" s="77" t="str">
        <x:v>Mantenimiento y Evolución</x:v>
      </x:c>
      <x:c r="B95" s="73" t="str">
        <x:v>MNT-01</x:v>
      </x:c>
      <x:c r="C95" s="73" t="str">
        <x:v>Corrección de errores y estabilización</x:v>
      </x:c>
      <x:c r="D95" s="73" t="str">
        <x:v>02 · Optimización digital</x:v>
      </x:c>
      <x:c r="E95" s="73" t="str">
        <x:v>Despliegue</x:v>
      </x:c>
      <x:c r="F95" s="73" t="str">
        <x:v>MNT1-012</x:v>
      </x:c>
      <x:c r="G95" s="73" t="str">
        <x:v>Preparación y despliegue de corrección</x:v>
      </x:c>
      <x:c r="H95" s="73" t="str">
        <x:v>Entorno</x:v>
      </x:c>
      <x:c r="I95" s="85" t="n">
        <x:v>1</x:v>
      </x:c>
      <x:c r="J95" s="73" t="str">
        <x:v>Sí</x:v>
      </x:c>
      <x:c r="K95" s="73" t="str">
        <x:v>Sí</x:v>
      </x:c>
      <x:c r="L95" s="85" t="n">
        <x:v>1.5</x:v>
      </x:c>
      <x:c r="M95" s="85" t="str">
        <x:v>Parcial</x:v>
      </x:c>
      <x:c r="N95" s="85" t="n">
        <x:v>0.85</x:v>
      </x:c>
      <x:c r="O95" s="85" t="n">
        <x:f>L95*N95</x:f>
        <x:v>1.275</x:v>
      </x:c>
      <x:c r="P95" s="85" t="str">
        <x:v>Alta</x:v>
      </x:c>
      <x:c r="Q95" s="85" t="n">
        <x:v>1</x:v>
      </x:c>
      <x:c r="R95" s="85" t="n">
        <x:v>1.45</x:v>
      </x:c>
      <x:c r="S95" s="85" t="n">
        <x:v>1.8</x:v>
      </x:c>
      <x:c r="T95" s="85" t="n">
        <x:f>IF(J95="Sí",I95*O95*Q95,0)</x:f>
        <x:v>1.275</x:v>
      </x:c>
      <x:c r="U95" s="85" t="n">
        <x:f>IF(J95="Sí",I95*O95*R95,0)</x:f>
        <x:v>1.84875</x:v>
      </x:c>
      <x:c r="V95" s="85" t="n">
        <x:f>IF(J95="Sí",I95*O95*S95,0)</x:f>
        <x:v>2.295</x:v>
      </x:c>
      <x:c r="W95" s="73" t="str">
        <x:v>MNT1-011</x:v>
      </x:c>
      <x:c r="X95" s="73" t="str">
        <x:v>Corrección desplegada</x:v>
      </x:c>
      <x:c r="Y95" s="73" t="str">
        <x:v>Build, respaldo, despliegue y validación</x:v>
      </x:c>
      <x:c r="Z95" s="73"/>
      <x:c r="AA95" s="73" t="str">
        <x:v>Preliminar</x:v>
      </x:c>
      <x:c r="AB95" s="78" t="str">
        <x:v>Estimación técnica ISM · Validar</x:v>
      </x:c>
    </x:row>
    <x:row r="96">
      <x:c r="A96" s="77" t="str">
        <x:v>Mantenimiento y Evolución</x:v>
      </x:c>
      <x:c r="B96" s="73" t="str">
        <x:v>MNT-01</x:v>
      </x:c>
      <x:c r="C96" s="73" t="str">
        <x:v>Corrección de errores y estabilización</x:v>
      </x:c>
      <x:c r="D96" s="73" t="str">
        <x:v>02 · Optimización digital</x:v>
      </x:c>
      <x:c r="E96" s="73" t="str">
        <x:v>Seguimiento</x:v>
      </x:c>
      <x:c r="F96" s="73" t="str">
        <x:v>MNT1-013</x:v>
      </x:c>
      <x:c r="G96" s="73" t="str">
        <x:v>Monitoreo posterior al cambio</x:v>
      </x:c>
      <x:c r="H96" s="73" t="str">
        <x:v>Periodo</x:v>
      </x:c>
      <x:c r="I96" s="85" t="n">
        <x:v>1</x:v>
      </x:c>
      <x:c r="J96" s="73" t="str">
        <x:v>Sí</x:v>
      </x:c>
      <x:c r="K96" s="73" t="str">
        <x:v>No</x:v>
      </x:c>
      <x:c r="L96" s="85" t="n">
        <x:v>1</x:v>
      </x:c>
      <x:c r="M96" s="85" t="str">
        <x:v>No</x:v>
      </x:c>
      <x:c r="N96" s="85" t="n">
        <x:v>1</x:v>
      </x:c>
      <x:c r="O96" s="85" t="n">
        <x:f>L96*N96</x:f>
        <x:v>1</x:v>
      </x:c>
      <x:c r="P96" s="85" t="str">
        <x:v>Media</x:v>
      </x:c>
      <x:c r="Q96" s="85" t="n">
        <x:v>1</x:v>
      </x:c>
      <x:c r="R96" s="85" t="n">
        <x:v>1.3</x:v>
      </x:c>
      <x:c r="S96" s="85" t="n">
        <x:v>1.55</x:v>
      </x:c>
      <x:c r="T96" s="85" t="n">
        <x:f>IF(J96="Sí",I96*O96*Q96,0)</x:f>
        <x:v>1</x:v>
      </x:c>
      <x:c r="U96" s="85" t="n">
        <x:f>IF(J96="Sí",I96*O96*R96,0)</x:f>
        <x:v>1.3</x:v>
      </x:c>
      <x:c r="V96" s="85" t="n">
        <x:f>IF(J96="Sí",I96*O96*S96,0)</x:f>
        <x:v>1.55</x:v>
      </x:c>
      <x:c r="W96" s="73" t="str">
        <x:v>MNT1-012</x:v>
      </x:c>
      <x:c r="X96" s="73" t="str">
        <x:v>Seguimiento cerrado</x:v>
      </x:c>
      <x:c r="Y96" s="73" t="str">
        <x:v>Revisión de logs y comportamiento</x:v>
      </x:c>
      <x:c r="Z96" s="73"/>
      <x:c r="AA96" s="73" t="str">
        <x:v>Preliminar</x:v>
      </x:c>
      <x:c r="AB96" s="78" t="str">
        <x:v>Estimación técnica ISM · Validar</x:v>
      </x:c>
    </x:row>
    <x:row r="97">
      <x:c r="A97" s="77" t="str">
        <x:v>Mantenimiento y Evolución</x:v>
      </x:c>
      <x:c r="B97" s="73" t="str">
        <x:v>MNT-01</x:v>
      </x:c>
      <x:c r="C97" s="73" t="str">
        <x:v>Corrección de errores y estabilización</x:v>
      </x:c>
      <x:c r="D97" s="73" t="str">
        <x:v>02 · Optimización digital</x:v>
      </x:c>
      <x:c r="E97" s="73" t="str">
        <x:v>Cierre</x:v>
      </x:c>
      <x:c r="F97" s="73" t="str">
        <x:v>MNT1-014</x:v>
      </x:c>
      <x:c r="G97" s="73" t="str">
        <x:v>Documentación de causa y solución</x:v>
      </x:c>
      <x:c r="H97" s="73" t="str">
        <x:v>Incidente</x:v>
      </x:c>
      <x:c r="I97" s="85" t="n">
        <x:v>1</x:v>
      </x:c>
      <x:c r="J97" s="73" t="str">
        <x:v>Sí</x:v>
      </x:c>
      <x:c r="K97" s="73" t="str">
        <x:v>Sí</x:v>
      </x:c>
      <x:c r="L97" s="85" t="n">
        <x:v>0.75</x:v>
      </x:c>
      <x:c r="M97" s="85" t="str">
        <x:v>No</x:v>
      </x:c>
      <x:c r="N97" s="85" t="n">
        <x:v>1</x:v>
      </x:c>
      <x:c r="O97" s="85" t="n">
        <x:f>L97*N97</x:f>
        <x:v>0.75</x:v>
      </x:c>
      <x:c r="P97" s="85" t="str">
        <x:v>Baja</x:v>
      </x:c>
      <x:c r="Q97" s="85" t="n">
        <x:v>1</x:v>
      </x:c>
      <x:c r="R97" s="85" t="n">
        <x:v>1.15</x:v>
      </x:c>
      <x:c r="S97" s="85" t="n">
        <x:v>1.3</x:v>
      </x:c>
      <x:c r="T97" s="85" t="n">
        <x:f>IF(J97="Sí",I97*O97*Q97,0)</x:f>
        <x:v>0.75</x:v>
      </x:c>
      <x:c r="U97" s="85" t="n">
        <x:f>IF(J97="Sí",I97*O97*R97,0)</x:f>
        <x:v>0.8624999999999999</x:v>
      </x:c>
      <x:c r="V97" s="85" t="n">
        <x:f>IF(J97="Sí",I97*O97*S97,0)</x:f>
        <x:v>0.9750000000000001</x:v>
      </x:c>
      <x:c r="W97" s="73"/>
      <x:c r="X97" s="73" t="str">
        <x:v>Ticket cerrado</x:v>
      </x:c>
      <x:c r="Y97" s="73" t="str">
        <x:v>Causa, solución, pruebas y recomendaciones</x:v>
      </x:c>
      <x:c r="Z97" s="73"/>
      <x:c r="AA97" s="73" t="str">
        <x:v>Preliminar</x:v>
      </x:c>
      <x:c r="AB97" s="78" t="str">
        <x:v>Estimación técnica ISM · Validar</x:v>
      </x:c>
    </x:row>
    <x:row r="98">
      <x:c r="A98" s="77" t="str">
        <x:v>Mantenimiento y Evolución</x:v>
      </x:c>
      <x:c r="B98" s="73" t="str">
        <x:v>MNT-02</x:v>
      </x:c>
      <x:c r="C98" s="73" t="str">
        <x:v>Incorporación de nueva funcionalidad</x:v>
      </x:c>
      <x:c r="D98" s="73" t="str">
        <x:v>02 · Optimización digital</x:v>
      </x:c>
      <x:c r="E98" s="73" t="str">
        <x:v>Descubrimiento</x:v>
      </x:c>
      <x:c r="F98" s="73" t="str">
        <x:v>MNT2-001</x:v>
      </x:c>
      <x:c r="G98" s="73" t="str">
        <x:v>Levantamiento de necesidad y objetivo</x:v>
      </x:c>
      <x:c r="H98" s="73" t="str">
        <x:v>Funcionalidad</x:v>
      </x:c>
      <x:c r="I98" s="85" t="n">
        <x:v>1</x:v>
      </x:c>
      <x:c r="J98" s="73" t="str">
        <x:v>Sí</x:v>
      </x:c>
      <x:c r="K98" s="73" t="str">
        <x:v>Sí</x:v>
      </x:c>
      <x:c r="L98" s="85" t="n">
        <x:v>1.5</x:v>
      </x:c>
      <x:c r="M98" s="85" t="str">
        <x:v>No</x:v>
      </x:c>
      <x:c r="N98" s="85" t="n">
        <x:v>1</x:v>
      </x:c>
      <x:c r="O98" s="85" t="n">
        <x:f>L98*N98</x:f>
        <x:v>1.5</x:v>
      </x:c>
      <x:c r="P98" s="85" t="str">
        <x:v>Media</x:v>
      </x:c>
      <x:c r="Q98" s="85" t="n">
        <x:v>1</x:v>
      </x:c>
      <x:c r="R98" s="85" t="n">
        <x:v>1.3</x:v>
      </x:c>
      <x:c r="S98" s="85" t="n">
        <x:v>1.55</x:v>
      </x:c>
      <x:c r="T98" s="85" t="n">
        <x:f>IF(J98="Sí",I98*O98*Q98,0)</x:f>
        <x:v>1.5</x:v>
      </x:c>
      <x:c r="U98" s="85" t="n">
        <x:f>IF(J98="Sí",I98*O98*R98,0)</x:f>
        <x:v>1.9500000000000002</x:v>
      </x:c>
      <x:c r="V98" s="85" t="n">
        <x:f>IF(J98="Sí",I98*O98*S98,0)</x:f>
        <x:v>2.325</x:v>
      </x:c>
      <x:c r="W98" s="73"/>
      <x:c r="X98" s="73" t="str">
        <x:v>Solicitud definida</x:v>
      </x:c>
      <x:c r="Y98" s="73" t="str">
        <x:v>Usuario, problema, resultado y contexto</x:v>
      </x:c>
      <x:c r="Z98" s="73"/>
      <x:c r="AA98" s="73" t="str">
        <x:v>Preliminar</x:v>
      </x:c>
      <x:c r="AB98" s="78" t="str">
        <x:v>Estimación técnica ISM · Validar</x:v>
      </x:c>
    </x:row>
    <x:row r="99">
      <x:c r="A99" s="77" t="str">
        <x:v>Mantenimiento y Evolución</x:v>
      </x:c>
      <x:c r="B99" s="73" t="str">
        <x:v>MNT-02</x:v>
      </x:c>
      <x:c r="C99" s="73" t="str">
        <x:v>Incorporación de nueva funcionalidad</x:v>
      </x:c>
      <x:c r="D99" s="73" t="str">
        <x:v>02 · Optimización digital</x:v>
      </x:c>
      <x:c r="E99" s="73" t="str">
        <x:v>Análisis</x:v>
      </x:c>
      <x:c r="F99" s="73" t="str">
        <x:v>MNT2-002</x:v>
      </x:c>
      <x:c r="G99" s="73" t="str">
        <x:v>Análisis de impacto en sistema existente</x:v>
      </x:c>
      <x:c r="H99" s="73" t="str">
        <x:v>Funcionalidad</x:v>
      </x:c>
      <x:c r="I99" s="85" t="n">
        <x:v>1</x:v>
      </x:c>
      <x:c r="J99" s="73" t="str">
        <x:v>Sí</x:v>
      </x:c>
      <x:c r="K99" s="73" t="str">
        <x:v>Sí</x:v>
      </x:c>
      <x:c r="L99" s="85" t="n">
        <x:v>2.5</x:v>
      </x:c>
      <x:c r="M99" s="85" t="str">
        <x:v>No</x:v>
      </x:c>
      <x:c r="N99" s="85" t="n">
        <x:v>1</x:v>
      </x:c>
      <x:c r="O99" s="85" t="n">
        <x:f>L99*N99</x:f>
        <x:v>2.5</x:v>
      </x:c>
      <x:c r="P99" s="85" t="str">
        <x:v>Alta</x:v>
      </x:c>
      <x:c r="Q99" s="85" t="n">
        <x:v>1</x:v>
      </x:c>
      <x:c r="R99" s="85" t="n">
        <x:v>1.45</x:v>
      </x:c>
      <x:c r="S99" s="85" t="n">
        <x:v>1.8</x:v>
      </x:c>
      <x:c r="T99" s="85" t="n">
        <x:f>IF(J99="Sí",I99*O99*Q99,0)</x:f>
        <x:v>2.5</x:v>
      </x:c>
      <x:c r="U99" s="85" t="n">
        <x:f>IF(J99="Sí",I99*O99*R99,0)</x:f>
        <x:v>3.625</x:v>
      </x:c>
      <x:c r="V99" s="85" t="n">
        <x:f>IF(J99="Sí",I99*O99*S99,0)</x:f>
        <x:v>4.5</x:v>
      </x:c>
      <x:c r="W99" s="73" t="str">
        <x:v>MNT2-001</x:v>
      </x:c>
      <x:c r="X99" s="73" t="str">
        <x:v>Informe de impacto</x:v>
      </x:c>
      <x:c r="Y99" s="73" t="str">
        <x:v>Código, datos, roles, integraciones y riesgos</x:v>
      </x:c>
      <x:c r="Z99" s="73"/>
      <x:c r="AA99" s="73" t="str">
        <x:v>Preliminar</x:v>
      </x:c>
      <x:c r="AB99" s="78" t="str">
        <x:v>Estimación técnica ISM · Validar</x:v>
      </x:c>
    </x:row>
    <x:row r="100">
      <x:c r="A100" s="77" t="str">
        <x:v>Mantenimiento y Evolución</x:v>
      </x:c>
      <x:c r="B100" s="73" t="str">
        <x:v>MNT-02</x:v>
      </x:c>
      <x:c r="C100" s="73" t="str">
        <x:v>Incorporación de nueva funcionalidad</x:v>
      </x:c>
      <x:c r="D100" s="73" t="str">
        <x:v>02 · Optimización digital</x:v>
      </x:c>
      <x:c r="E100" s="73" t="str">
        <x:v>Alcance</x:v>
      </x:c>
      <x:c r="F100" s="73" t="str">
        <x:v>MNT2-003</x:v>
      </x:c>
      <x:c r="G100" s="73" t="str">
        <x:v>Historia de usuario y criterios de aceptación</x:v>
      </x:c>
      <x:c r="H100" s="73" t="str">
        <x:v>Funcionalidad</x:v>
      </x:c>
      <x:c r="I100" s="85" t="n">
        <x:v>1</x:v>
      </x:c>
      <x:c r="J100" s="73" t="str">
        <x:v>Sí</x:v>
      </x:c>
      <x:c r="K100" s="73" t="str">
        <x:v>Sí</x:v>
      </x:c>
      <x:c r="L100" s="85" t="n">
        <x:v>1.5</x:v>
      </x:c>
      <x:c r="M100" s="85" t="str">
        <x:v>No</x:v>
      </x:c>
      <x:c r="N100" s="85" t="n">
        <x:v>1</x:v>
      </x:c>
      <x:c r="O100" s="85" t="n">
        <x:f>L100*N100</x:f>
        <x:v>1.5</x:v>
      </x:c>
      <x:c r="P100" s="85" t="str">
        <x:v>Media</x:v>
      </x:c>
      <x:c r="Q100" s="85" t="n">
        <x:v>1</x:v>
      </x:c>
      <x:c r="R100" s="85" t="n">
        <x:v>1.3</x:v>
      </x:c>
      <x:c r="S100" s="85" t="n">
        <x:v>1.55</x:v>
      </x:c>
      <x:c r="T100" s="85" t="n">
        <x:f>IF(J100="Sí",I100*O100*Q100,0)</x:f>
        <x:v>1.5</x:v>
      </x:c>
      <x:c r="U100" s="85" t="n">
        <x:f>IF(J100="Sí",I100*O100*R100,0)</x:f>
        <x:v>1.9500000000000002</x:v>
      </x:c>
      <x:c r="V100" s="85" t="n">
        <x:f>IF(J100="Sí",I100*O100*S100,0)</x:f>
        <x:v>2.325</x:v>
      </x:c>
      <x:c r="W100" s="73" t="str">
        <x:v>MNT2-001</x:v>
      </x:c>
      <x:c r="X100" s="73" t="str">
        <x:v>Criterios aprobados</x:v>
      </x:c>
      <x:c r="Y100" s="73" t="str">
        <x:v>Casos, reglas y definición de terminado</x:v>
      </x:c>
      <x:c r="Z100" s="73"/>
      <x:c r="AA100" s="73" t="str">
        <x:v>Preliminar</x:v>
      </x:c>
      <x:c r="AB100" s="78" t="str">
        <x:v>Estimación técnica ISM · Validar</x:v>
      </x:c>
    </x:row>
    <x:row r="101">
      <x:c r="A101" s="77" t="str">
        <x:v>Mantenimiento y Evolución</x:v>
      </x:c>
      <x:c r="B101" s="73" t="str">
        <x:v>MNT-02</x:v>
      </x:c>
      <x:c r="C101" s="73" t="str">
        <x:v>Incorporación de nueva funcionalidad</x:v>
      </x:c>
      <x:c r="D101" s="73" t="str">
        <x:v>02 · Optimización digital</x:v>
      </x:c>
      <x:c r="E101" s="73" t="str">
        <x:v>Diseño</x:v>
      </x:c>
      <x:c r="F101" s="73" t="str">
        <x:v>MNT2-004</x:v>
      </x:c>
      <x:c r="G101" s="73" t="str">
        <x:v>Diseño de flujo y estados</x:v>
      </x:c>
      <x:c r="H101" s="73" t="str">
        <x:v>Flujo</x:v>
      </x:c>
      <x:c r="I101" s="85" t="n">
        <x:v>1</x:v>
      </x:c>
      <x:c r="J101" s="73" t="str">
        <x:v>Sí</x:v>
      </x:c>
      <x:c r="K101" s="73" t="str">
        <x:v>Sí</x:v>
      </x:c>
      <x:c r="L101" s="85" t="n">
        <x:v>2</x:v>
      </x:c>
      <x:c r="M101" s="85" t="str">
        <x:v>Parcial</x:v>
      </x:c>
      <x:c r="N101" s="85" t="n">
        <x:v>0.85</x:v>
      </x:c>
      <x:c r="O101" s="85" t="n">
        <x:f>L101*N101</x:f>
        <x:v>1.7</x:v>
      </x:c>
      <x:c r="P101" s="85" t="str">
        <x:v>Alta</x:v>
      </x:c>
      <x:c r="Q101" s="85" t="n">
        <x:v>1</x:v>
      </x:c>
      <x:c r="R101" s="85" t="n">
        <x:v>1.45</x:v>
      </x:c>
      <x:c r="S101" s="85" t="n">
        <x:v>1.8</x:v>
      </x:c>
      <x:c r="T101" s="85" t="n">
        <x:f>IF(J101="Sí",I101*O101*Q101,0)</x:f>
        <x:v>1.7</x:v>
      </x:c>
      <x:c r="U101" s="85" t="n">
        <x:f>IF(J101="Sí",I101*O101*R101,0)</x:f>
        <x:v>2.465</x:v>
      </x:c>
      <x:c r="V101" s="85" t="n">
        <x:f>IF(J101="Sí",I101*O101*S101,0)</x:f>
        <x:v>3.06</x:v>
      </x:c>
      <x:c r="W101" s="73" t="str">
        <x:v>MNT2-003</x:v>
      </x:c>
      <x:c r="X101" s="73" t="str">
        <x:v>Flujo diseñado</x:v>
      </x:c>
      <x:c r="Y101" s="73" t="str">
        <x:v>Interacciones, transiciones y excepciones</x:v>
      </x:c>
      <x:c r="Z101" s="73"/>
      <x:c r="AA101" s="73" t="str">
        <x:v>Preliminar</x:v>
      </x:c>
      <x:c r="AB101" s="78" t="str">
        <x:v>Estimación técnica ISM · Validar</x:v>
      </x:c>
    </x:row>
    <x:row r="102">
      <x:c r="A102" s="77" t="str">
        <x:v>Mantenimiento y Evolución</x:v>
      </x:c>
      <x:c r="B102" s="73" t="str">
        <x:v>MNT-02</x:v>
      </x:c>
      <x:c r="C102" s="73" t="str">
        <x:v>Incorporación de nueva funcionalidad</x:v>
      </x:c>
      <x:c r="D102" s="73" t="str">
        <x:v>02 · Optimización digital</x:v>
      </x:c>
      <x:c r="E102" s="73" t="str">
        <x:v>Diseño</x:v>
      </x:c>
      <x:c r="F102" s="73" t="str">
        <x:v>MNT2-005</x:v>
      </x:c>
      <x:c r="G102" s="73" t="str">
        <x:v>Diseño de interfaz o wireframe</x:v>
      </x:c>
      <x:c r="H102" s="73" t="str">
        <x:v>Pantalla</x:v>
      </x:c>
      <x:c r="I102" s="85" t="n">
        <x:v>2</x:v>
      </x:c>
      <x:c r="J102" s="73" t="str">
        <x:v>Sí</x:v>
      </x:c>
      <x:c r="K102" s="73" t="str">
        <x:v>No</x:v>
      </x:c>
      <x:c r="L102" s="85" t="n">
        <x:v>1</x:v>
      </x:c>
      <x:c r="M102" s="85" t="str">
        <x:v>Parcial</x:v>
      </x:c>
      <x:c r="N102" s="85" t="n">
        <x:v>0.8</x:v>
      </x:c>
      <x:c r="O102" s="85" t="n">
        <x:f>L102*N102</x:f>
        <x:v>0.8</x:v>
      </x:c>
      <x:c r="P102" s="85" t="str">
        <x:v>Media</x:v>
      </x:c>
      <x:c r="Q102" s="85" t="n">
        <x:v>1</x:v>
      </x:c>
      <x:c r="R102" s="85" t="n">
        <x:v>1.3</x:v>
      </x:c>
      <x:c r="S102" s="85" t="n">
        <x:v>1.55</x:v>
      </x:c>
      <x:c r="T102" s="85" t="n">
        <x:f>IF(J102="Sí",I102*O102*Q102,0)</x:f>
        <x:v>1.6</x:v>
      </x:c>
      <x:c r="U102" s="85" t="n">
        <x:f>IF(J102="Sí",I102*O102*R102,0)</x:f>
        <x:v>2.08</x:v>
      </x:c>
      <x:c r="V102" s="85" t="n">
        <x:f>IF(J102="Sí",I102*O102*S102,0)</x:f>
        <x:v>2.4800000000000004</x:v>
      </x:c>
      <x:c r="W102" s="73" t="str">
        <x:v>MNT2-004</x:v>
      </x:c>
      <x:c r="X102" s="73" t="str">
        <x:v>Wireframes</x:v>
      </x:c>
      <x:c r="Y102" s="73" t="str">
        <x:v>Componentes, campos y acciones</x:v>
      </x:c>
      <x:c r="Z102" s="73"/>
      <x:c r="AA102" s="73" t="str">
        <x:v>Preliminar</x:v>
      </x:c>
      <x:c r="AB102" s="78" t="str">
        <x:v>Estimación técnica ISM · Validar</x:v>
      </x:c>
    </x:row>
    <x:row r="103">
      <x:c r="A103" s="77" t="str">
        <x:v>Mantenimiento y Evolución</x:v>
      </x:c>
      <x:c r="B103" s="73" t="str">
        <x:v>MNT-02</x:v>
      </x:c>
      <x:c r="C103" s="73" t="str">
        <x:v>Incorporación de nueva funcionalidad</x:v>
      </x:c>
      <x:c r="D103" s="73" t="str">
        <x:v>02 · Optimización digital</x:v>
      </x:c>
      <x:c r="E103" s="73" t="str">
        <x:v>Datos</x:v>
      </x:c>
      <x:c r="F103" s="73" t="str">
        <x:v>MNT2-006</x:v>
      </x:c>
      <x:c r="G103" s="73" t="str">
        <x:v>Cambio de modelo de datos</x:v>
      </x:c>
      <x:c r="H103" s="73" t="str">
        <x:v>Entidad</x:v>
      </x:c>
      <x:c r="I103" s="85" t="n">
        <x:v>1</x:v>
      </x:c>
      <x:c r="J103" s="73" t="str">
        <x:v>No</x:v>
      </x:c>
      <x:c r="K103" s="73" t="str">
        <x:v>No</x:v>
      </x:c>
      <x:c r="L103" s="85" t="n">
        <x:v>2.5</x:v>
      </x:c>
      <x:c r="M103" s="85" t="str">
        <x:v>Parcial</x:v>
      </x:c>
      <x:c r="N103" s="85" t="n">
        <x:v>0.9</x:v>
      </x:c>
      <x:c r="O103" s="85" t="n">
        <x:f>L103*N103</x:f>
        <x:v>2.25</x:v>
      </x:c>
      <x:c r="P103" s="85" t="str">
        <x:v>Alta</x:v>
      </x:c>
      <x:c r="Q103" s="85" t="n">
        <x:v>1</x:v>
      </x:c>
      <x:c r="R103" s="85" t="n">
        <x:v>1.45</x:v>
      </x:c>
      <x:c r="S103" s="85" t="n">
        <x:v>1.8</x:v>
      </x:c>
      <x:c r="T103" s="85" t="n">
        <x:f>IF(J103="Sí",I103*O103*Q103,0)</x:f>
        <x:v>0</x:v>
      </x:c>
      <x:c r="U103" s="85" t="n">
        <x:f>IF(J103="Sí",I103*O103*R103,0)</x:f>
        <x:v>0</x:v>
      </x:c>
      <x:c r="V103" s="85" t="n">
        <x:f>IF(J103="Sí",I103*O103*S103,0)</x:f>
        <x:v>0</x:v>
      </x:c>
      <x:c r="W103" s="73" t="str">
        <x:v>MNT2-002</x:v>
      </x:c>
      <x:c r="X103" s="73" t="str">
        <x:v>Migración de datos</x:v>
      </x:c>
      <x:c r="Y103" s="73" t="str">
        <x:v>Tabla, columna, relación y restricciones</x:v>
      </x:c>
      <x:c r="Z103" s="73"/>
      <x:c r="AA103" s="73" t="str">
        <x:v>Preliminar</x:v>
      </x:c>
      <x:c r="AB103" s="78" t="str">
        <x:v>Estimación técnica ISM · Validar</x:v>
      </x:c>
    </x:row>
    <x:row r="104">
      <x:c r="A104" s="77" t="str">
        <x:v>Mantenimiento y Evolución</x:v>
      </x:c>
      <x:c r="B104" s="73" t="str">
        <x:v>MNT-02</x:v>
      </x:c>
      <x:c r="C104" s="73" t="str">
        <x:v>Incorporación de nueva funcionalidad</x:v>
      </x:c>
      <x:c r="D104" s="73" t="str">
        <x:v>02 · Optimización digital</x:v>
      </x:c>
      <x:c r="E104" s="73" t="str">
        <x:v>Backend</x:v>
      </x:c>
      <x:c r="F104" s="73" t="str">
        <x:v>MNT2-007</x:v>
      </x:c>
      <x:c r="G104" s="73" t="str">
        <x:v>Implementación de regla de negocio</x:v>
      </x:c>
      <x:c r="H104" s="73" t="str">
        <x:v>Regla</x:v>
      </x:c>
      <x:c r="I104" s="85" t="n">
        <x:v>2</x:v>
      </x:c>
      <x:c r="J104" s="73" t="str">
        <x:v>Sí</x:v>
      </x:c>
      <x:c r="K104" s="73" t="str">
        <x:v>No</x:v>
      </x:c>
      <x:c r="L104" s="85" t="n">
        <x:v>2</x:v>
      </x:c>
      <x:c r="M104" s="85" t="str">
        <x:v>Parcial</x:v>
      </x:c>
      <x:c r="N104" s="85" t="n">
        <x:v>0.9</x:v>
      </x:c>
      <x:c r="O104" s="85" t="n">
        <x:f>L104*N104</x:f>
        <x:v>1.8</x:v>
      </x:c>
      <x:c r="P104" s="85" t="str">
        <x:v>Alta</x:v>
      </x:c>
      <x:c r="Q104" s="85" t="n">
        <x:v>1</x:v>
      </x:c>
      <x:c r="R104" s="85" t="n">
        <x:v>1.45</x:v>
      </x:c>
      <x:c r="S104" s="85" t="n">
        <x:v>1.8</x:v>
      </x:c>
      <x:c r="T104" s="85" t="n">
        <x:f>IF(J104="Sí",I104*O104*Q104,0)</x:f>
        <x:v>3.6</x:v>
      </x:c>
      <x:c r="U104" s="85" t="n">
        <x:f>IF(J104="Sí",I104*O104*R104,0)</x:f>
        <x:v>5.22</x:v>
      </x:c>
      <x:c r="V104" s="85" t="n">
        <x:f>IF(J104="Sí",I104*O104*S104,0)</x:f>
        <x:v>6.48</x:v>
      </x:c>
      <x:c r="W104" s="73" t="str">
        <x:v>MNT2-003</x:v>
      </x:c>
      <x:c r="X104" s="73" t="str">
        <x:v>Reglas implementadas</x:v>
      </x:c>
      <x:c r="Y104" s="73" t="str">
        <x:v>Validaciones y comportamiento esperado</x:v>
      </x:c>
      <x:c r="Z104" s="73"/>
      <x:c r="AA104" s="73" t="str">
        <x:v>Preliminar</x:v>
      </x:c>
      <x:c r="AB104" s="78" t="str">
        <x:v>Estimación técnica ISM · Validar</x:v>
      </x:c>
    </x:row>
    <x:row r="105">
      <x:c r="A105" s="77" t="str">
        <x:v>Mantenimiento y Evolución</x:v>
      </x:c>
      <x:c r="B105" s="73" t="str">
        <x:v>MNT-02</x:v>
      </x:c>
      <x:c r="C105" s="73" t="str">
        <x:v>Incorporación de nueva funcionalidad</x:v>
      </x:c>
      <x:c r="D105" s="73" t="str">
        <x:v>02 · Optimización digital</x:v>
      </x:c>
      <x:c r="E105" s="73" t="str">
        <x:v>Backend</x:v>
      </x:c>
      <x:c r="F105" s="73" t="str">
        <x:v>MNT2-008</x:v>
      </x:c>
      <x:c r="G105" s="73" t="str">
        <x:v>Servicio o endpoint asociado</x:v>
      </x:c>
      <x:c r="H105" s="73" t="str">
        <x:v>Servicio</x:v>
      </x:c>
      <x:c r="I105" s="85" t="n">
        <x:v>1</x:v>
      </x:c>
      <x:c r="J105" s="73" t="str">
        <x:v>Sí</x:v>
      </x:c>
      <x:c r="K105" s="73" t="str">
        <x:v>No</x:v>
      </x:c>
      <x:c r="L105" s="85" t="n">
        <x:v>3</x:v>
      </x:c>
      <x:c r="M105" s="85" t="str">
        <x:v>Parcial</x:v>
      </x:c>
      <x:c r="N105" s="85" t="n">
        <x:v>0.9</x:v>
      </x:c>
      <x:c r="O105" s="85" t="n">
        <x:f>L105*N105</x:f>
        <x:v>2.7</x:v>
      </x:c>
      <x:c r="P105" s="85" t="str">
        <x:v>Alta</x:v>
      </x:c>
      <x:c r="Q105" s="85" t="n">
        <x:v>1</x:v>
      </x:c>
      <x:c r="R105" s="85" t="n">
        <x:v>1.45</x:v>
      </x:c>
      <x:c r="S105" s="85" t="n">
        <x:v>1.8</x:v>
      </x:c>
      <x:c r="T105" s="85" t="n">
        <x:f>IF(J105="Sí",I105*O105*Q105,0)</x:f>
        <x:v>2.7</x:v>
      </x:c>
      <x:c r="U105" s="85" t="n">
        <x:f>IF(J105="Sí",I105*O105*R105,0)</x:f>
        <x:v>3.915</x:v>
      </x:c>
      <x:c r="V105" s="85" t="n">
        <x:f>IF(J105="Sí",I105*O105*S105,0)</x:f>
        <x:v>4.86</x:v>
      </x:c>
      <x:c r="W105" s="73" t="str">
        <x:v>MNT2-006</x:v>
      </x:c>
      <x:c r="X105" s="73" t="str">
        <x:v>Servicio funcional</x:v>
      </x:c>
      <x:c r="Y105" s="73" t="str">
        <x:v>Consulta, persistencia y errores</x:v>
      </x:c>
      <x:c r="Z105" s="73"/>
      <x:c r="AA105" s="73" t="str">
        <x:v>Preliminar</x:v>
      </x:c>
      <x:c r="AB105" s="78" t="str">
        <x:v>Estimación técnica ISM · Validar</x:v>
      </x:c>
    </x:row>
    <x:row r="106">
      <x:c r="A106" s="77" t="str">
        <x:v>Mantenimiento y Evolución</x:v>
      </x:c>
      <x:c r="B106" s="73" t="str">
        <x:v>MNT-02</x:v>
      </x:c>
      <x:c r="C106" s="73" t="str">
        <x:v>Incorporación de nueva funcionalidad</x:v>
      </x:c>
      <x:c r="D106" s="73" t="str">
        <x:v>02 · Optimización digital</x:v>
      </x:c>
      <x:c r="E106" s="73" t="str">
        <x:v>Frontend</x:v>
      </x:c>
      <x:c r="F106" s="73" t="str">
        <x:v>MNT2-009</x:v>
      </x:c>
      <x:c r="G106" s="73" t="str">
        <x:v>Pantalla o componente de funcionalidad</x:v>
      </x:c>
      <x:c r="H106" s="73" t="str">
        <x:v>Pantalla</x:v>
      </x:c>
      <x:c r="I106" s="85" t="n">
        <x:v>2</x:v>
      </x:c>
      <x:c r="J106" s="73" t="str">
        <x:v>Sí</x:v>
      </x:c>
      <x:c r="K106" s="73" t="str">
        <x:v>No</x:v>
      </x:c>
      <x:c r="L106" s="85" t="n">
        <x:v>3</x:v>
      </x:c>
      <x:c r="M106" s="85" t="str">
        <x:v>Parcial</x:v>
      </x:c>
      <x:c r="N106" s="85" t="n">
        <x:v>0.8</x:v>
      </x:c>
      <x:c r="O106" s="85" t="n">
        <x:f>L106*N106</x:f>
        <x:v>2.4000000000000004</x:v>
      </x:c>
      <x:c r="P106" s="85" t="str">
        <x:v>Alta</x:v>
      </x:c>
      <x:c r="Q106" s="85" t="n">
        <x:v>1</x:v>
      </x:c>
      <x:c r="R106" s="85" t="n">
        <x:v>1.45</x:v>
      </x:c>
      <x:c r="S106" s="85" t="n">
        <x:v>1.8</x:v>
      </x:c>
      <x:c r="T106" s="85" t="n">
        <x:f>IF(J106="Sí",I106*O106*Q106,0)</x:f>
        <x:v>4.800000000000001</x:v>
      </x:c>
      <x:c r="U106" s="85" t="n">
        <x:f>IF(J106="Sí",I106*O106*R106,0)</x:f>
        <x:v>6.960000000000001</x:v>
      </x:c>
      <x:c r="V106" s="85" t="n">
        <x:f>IF(J106="Sí",I106*O106*S106,0)</x:f>
        <x:v>8.640000000000002</x:v>
      </x:c>
      <x:c r="W106" s="73" t="str">
        <x:v>MNT2-005</x:v>
      </x:c>
      <x:c r="X106" s="73" t="str">
        <x:v>Interfaz funcional</x:v>
      </x:c>
      <x:c r="Y106" s="73" t="str">
        <x:v>Estados, validaciones y responsive</x:v>
      </x:c>
      <x:c r="Z106" s="73"/>
      <x:c r="AA106" s="73" t="str">
        <x:v>Preliminar</x:v>
      </x:c>
      <x:c r="AB106" s="78" t="str">
        <x:v>Estimación técnica ISM · Validar</x:v>
      </x:c>
    </x:row>
    <x:row r="107">
      <x:c r="A107" s="77" t="str">
        <x:v>Mantenimiento y Evolución</x:v>
      </x:c>
      <x:c r="B107" s="73" t="str">
        <x:v>MNT-02</x:v>
      </x:c>
      <x:c r="C107" s="73" t="str">
        <x:v>Incorporación de nueva funcionalidad</x:v>
      </x:c>
      <x:c r="D107" s="73" t="str">
        <x:v>02 · Optimización digital</x:v>
      </x:c>
      <x:c r="E107" s="73" t="str">
        <x:v>Seguridad</x:v>
      </x:c>
      <x:c r="F107" s="73" t="str">
        <x:v>MNT2-010</x:v>
      </x:c>
      <x:c r="G107" s="73" t="str">
        <x:v>Ajuste de permisos y acceso</x:v>
      </x:c>
      <x:c r="H107" s="73" t="str">
        <x:v>Rol</x:v>
      </x:c>
      <x:c r="I107" s="85" t="n">
        <x:v>2</x:v>
      </x:c>
      <x:c r="J107" s="73" t="str">
        <x:v>Sí</x:v>
      </x:c>
      <x:c r="K107" s="73" t="str">
        <x:v>No</x:v>
      </x:c>
      <x:c r="L107" s="85" t="n">
        <x:v>1</x:v>
      </x:c>
      <x:c r="M107" s="85" t="str">
        <x:v>Parcial</x:v>
      </x:c>
      <x:c r="N107" s="85" t="n">
        <x:v>0.85</x:v>
      </x:c>
      <x:c r="O107" s="85" t="n">
        <x:f>L107*N107</x:f>
        <x:v>0.85</x:v>
      </x:c>
      <x:c r="P107" s="85" t="str">
        <x:v>Alta</x:v>
      </x:c>
      <x:c r="Q107" s="85" t="n">
        <x:v>1</x:v>
      </x:c>
      <x:c r="R107" s="85" t="n">
        <x:v>1.45</x:v>
      </x:c>
      <x:c r="S107" s="85" t="n">
        <x:v>1.8</x:v>
      </x:c>
      <x:c r="T107" s="85" t="n">
        <x:f>IF(J107="Sí",I107*O107*Q107,0)</x:f>
        <x:v>1.7</x:v>
      </x:c>
      <x:c r="U107" s="85" t="n">
        <x:f>IF(J107="Sí",I107*O107*R107,0)</x:f>
        <x:v>2.465</x:v>
      </x:c>
      <x:c r="V107" s="85" t="n">
        <x:f>IF(J107="Sí",I107*O107*S107,0)</x:f>
        <x:v>3.06</x:v>
      </x:c>
      <x:c r="W107" s="73" t="str">
        <x:v>MNT2-002</x:v>
      </x:c>
      <x:c r="X107" s="73" t="str">
        <x:v>Permisos aplicados</x:v>
      </x:c>
      <x:c r="Y107" s="73" t="str">
        <x:v>Visibilidad y acciones por rol</x:v>
      </x:c>
      <x:c r="Z107" s="73"/>
      <x:c r="AA107" s="73" t="str">
        <x:v>Preliminar</x:v>
      </x:c>
      <x:c r="AB107" s="78" t="str">
        <x:v>Estimación técnica ISM · Validar</x:v>
      </x:c>
    </x:row>
    <x:row r="108">
      <x:c r="A108" s="77" t="str">
        <x:v>Mantenimiento y Evolución</x:v>
      </x:c>
      <x:c r="B108" s="73" t="str">
        <x:v>MNT-02</x:v>
      </x:c>
      <x:c r="C108" s="73" t="str">
        <x:v>Incorporación de nueva funcionalidad</x:v>
      </x:c>
      <x:c r="D108" s="73" t="str">
        <x:v>02 · Optimización digital</x:v>
      </x:c>
      <x:c r="E108" s="73" t="str">
        <x:v>Integración</x:v>
      </x:c>
      <x:c r="F108" s="73" t="str">
        <x:v>MNT2-011</x:v>
      </x:c>
      <x:c r="G108" s="73" t="str">
        <x:v>Notificación o exportación asociada</x:v>
      </x:c>
      <x:c r="H108" s="73" t="str">
        <x:v>Integración</x:v>
      </x:c>
      <x:c r="I108" s="85" t="n">
        <x:v>0</x:v>
      </x:c>
      <x:c r="J108" s="73" t="str">
        <x:v>No</x:v>
      </x:c>
      <x:c r="K108" s="73" t="str">
        <x:v>No</x:v>
      </x:c>
      <x:c r="L108" s="85" t="n">
        <x:v>3</x:v>
      </x:c>
      <x:c r="M108" s="85" t="str">
        <x:v>Parcial</x:v>
      </x:c>
      <x:c r="N108" s="85" t="n">
        <x:v>0.85</x:v>
      </x:c>
      <x:c r="O108" s="85" t="n">
        <x:f>L108*N108</x:f>
        <x:v>2.55</x:v>
      </x:c>
      <x:c r="P108" s="85" t="str">
        <x:v>Alta</x:v>
      </x:c>
      <x:c r="Q108" s="85" t="n">
        <x:v>1</x:v>
      </x:c>
      <x:c r="R108" s="85" t="n">
        <x:v>1.45</x:v>
      </x:c>
      <x:c r="S108" s="85" t="n">
        <x:v>1.8</x:v>
      </x:c>
      <x:c r="T108" s="85" t="n">
        <x:f>IF(J108="Sí",I108*O108*Q108,0)</x:f>
        <x:v>0</x:v>
      </x:c>
      <x:c r="U108" s="85" t="n">
        <x:f>IF(J108="Sí",I108*O108*R108,0)</x:f>
        <x:v>0</x:v>
      </x:c>
      <x:c r="V108" s="85" t="n">
        <x:f>IF(J108="Sí",I108*O108*S108,0)</x:f>
        <x:v>0</x:v>
      </x:c>
      <x:c r="W108" s="73"/>
      <x:c r="X108" s="73" t="str">
        <x:v>Integración funcional</x:v>
      </x:c>
      <x:c r="Y108" s="73" t="str">
        <x:v>Correo, Excel, PDF u otro canal</x:v>
      </x:c>
      <x:c r="Z108" s="73"/>
      <x:c r="AA108" s="73" t="str">
        <x:v>Preliminar</x:v>
      </x:c>
      <x:c r="AB108" s="78" t="str">
        <x:v>Estimación técnica ISM · Validar</x:v>
      </x:c>
    </x:row>
    <x:row r="109">
      <x:c r="A109" s="77" t="str">
        <x:v>Mantenimiento y Evolución</x:v>
      </x:c>
      <x:c r="B109" s="73" t="str">
        <x:v>MNT-02</x:v>
      </x:c>
      <x:c r="C109" s="73" t="str">
        <x:v>Incorporación de nueva funcionalidad</x:v>
      </x:c>
      <x:c r="D109" s="73" t="str">
        <x:v>02 · Optimización digital</x:v>
      </x:c>
      <x:c r="E109" s="73" t="str">
        <x:v>Calidad</x:v>
      </x:c>
      <x:c r="F109" s="73" t="str">
        <x:v>MNT2-012</x:v>
      </x:c>
      <x:c r="G109" s="73" t="str">
        <x:v>Pruebas unitarias y de reglas</x:v>
      </x:c>
      <x:c r="H109" s="73" t="str">
        <x:v>Caso</x:v>
      </x:c>
      <x:c r="I109" s="85" t="n">
        <x:v>3</x:v>
      </x:c>
      <x:c r="J109" s="73" t="str">
        <x:v>Sí</x:v>
      </x:c>
      <x:c r="K109" s="73" t="str">
        <x:v>No</x:v>
      </x:c>
      <x:c r="L109" s="85" t="n">
        <x:v>1</x:v>
      </x:c>
      <x:c r="M109" s="85" t="str">
        <x:v>Parcial</x:v>
      </x:c>
      <x:c r="N109" s="85" t="n">
        <x:v>0.9</x:v>
      </x:c>
      <x:c r="O109" s="85" t="n">
        <x:f>L109*N109</x:f>
        <x:v>0.9</x:v>
      </x:c>
      <x:c r="P109" s="85" t="str">
        <x:v>Alta</x:v>
      </x:c>
      <x:c r="Q109" s="85" t="n">
        <x:v>1</x:v>
      </x:c>
      <x:c r="R109" s="85" t="n">
        <x:v>1.45</x:v>
      </x:c>
      <x:c r="S109" s="85" t="n">
        <x:v>1.8</x:v>
      </x:c>
      <x:c r="T109" s="85" t="n">
        <x:f>IF(J109="Sí",I109*O109*Q109,0)</x:f>
        <x:v>2.7</x:v>
      </x:c>
      <x:c r="U109" s="85" t="n">
        <x:f>IF(J109="Sí",I109*O109*R109,0)</x:f>
        <x:v>3.915</x:v>
      </x:c>
      <x:c r="V109" s="85" t="n">
        <x:f>IF(J109="Sí",I109*O109*S109,0)</x:f>
        <x:v>4.86</x:v>
      </x:c>
      <x:c r="W109" s="73" t="str">
        <x:v>MNT2-007</x:v>
      </x:c>
      <x:c r="X109" s="73" t="str">
        <x:v>Pruebas ejecutadas</x:v>
      </x:c>
      <x:c r="Y109" s="73" t="str">
        <x:v>Casos normales, errores y límites</x:v>
      </x:c>
      <x:c r="Z109" s="73"/>
      <x:c r="AA109" s="73" t="str">
        <x:v>Preliminar</x:v>
      </x:c>
      <x:c r="AB109" s="78" t="str">
        <x:v>Estimación técnica ISM · Validar</x:v>
      </x:c>
    </x:row>
    <x:row r="110">
      <x:c r="A110" s="77" t="str">
        <x:v>Mantenimiento y Evolución</x:v>
      </x:c>
      <x:c r="B110" s="73" t="str">
        <x:v>MNT-02</x:v>
      </x:c>
      <x:c r="C110" s="73" t="str">
        <x:v>Incorporación de nueva funcionalidad</x:v>
      </x:c>
      <x:c r="D110" s="73" t="str">
        <x:v>02 · Optimización digital</x:v>
      </x:c>
      <x:c r="E110" s="73" t="str">
        <x:v>Calidad</x:v>
      </x:c>
      <x:c r="F110" s="73" t="str">
        <x:v>MNT2-013</x:v>
      </x:c>
      <x:c r="G110" s="73" t="str">
        <x:v>Pruebas de integración y regresión</x:v>
      </x:c>
      <x:c r="H110" s="73" t="str">
        <x:v>Proyecto</x:v>
      </x:c>
      <x:c r="I110" s="85" t="n">
        <x:v>1</x:v>
      </x:c>
      <x:c r="J110" s="73" t="str">
        <x:v>Sí</x:v>
      </x:c>
      <x:c r="K110" s="73" t="str">
        <x:v>Sí</x:v>
      </x:c>
      <x:c r="L110" s="85" t="n">
        <x:v>3</x:v>
      </x:c>
      <x:c r="M110" s="85" t="str">
        <x:v>No</x:v>
      </x:c>
      <x:c r="N110" s="85" t="n">
        <x:v>1</x:v>
      </x:c>
      <x:c r="O110" s="85" t="n">
        <x:f>L110*N110</x:f>
        <x:v>3</x:v>
      </x:c>
      <x:c r="P110" s="85" t="str">
        <x:v>Alta</x:v>
      </x:c>
      <x:c r="Q110" s="85" t="n">
        <x:v>1</x:v>
      </x:c>
      <x:c r="R110" s="85" t="n">
        <x:v>1.45</x:v>
      </x:c>
      <x:c r="S110" s="85" t="n">
        <x:v>1.8</x:v>
      </x:c>
      <x:c r="T110" s="85" t="n">
        <x:f>IF(J110="Sí",I110*O110*Q110,0)</x:f>
        <x:v>3</x:v>
      </x:c>
      <x:c r="U110" s="85" t="n">
        <x:f>IF(J110="Sí",I110*O110*R110,0)</x:f>
        <x:v>4.35</x:v>
      </x:c>
      <x:c r="V110" s="85" t="n">
        <x:f>IF(J110="Sí",I110*O110*S110,0)</x:f>
        <x:v>5.4</x:v>
      </x:c>
      <x:c r="W110" s="73"/>
      <x:c r="X110" s="73" t="str">
        <x:v>Informe QA</x:v>
      </x:c>
      <x:c r="Y110" s="73" t="str">
        <x:v>Flujo nuevo y funciones existentes relacionadas</x:v>
      </x:c>
      <x:c r="Z110" s="73"/>
      <x:c r="AA110" s="73" t="str">
        <x:v>Preliminar</x:v>
      </x:c>
      <x:c r="AB110" s="78" t="str">
        <x:v>Estimación técnica ISM · Validar</x:v>
      </x:c>
    </x:row>
    <x:row r="111">
      <x:c r="A111" s="77" t="str">
        <x:v>Mantenimiento y Evolución</x:v>
      </x:c>
      <x:c r="B111" s="73" t="str">
        <x:v>MNT-02</x:v>
      </x:c>
      <x:c r="C111" s="73" t="str">
        <x:v>Incorporación de nueva funcionalidad</x:v>
      </x:c>
      <x:c r="D111" s="73" t="str">
        <x:v>02 · Optimización digital</x:v>
      </x:c>
      <x:c r="E111" s="73" t="str">
        <x:v>Despliegue</x:v>
      </x:c>
      <x:c r="F111" s="73" t="str">
        <x:v>MNT2-014</x:v>
      </x:c>
      <x:c r="G111" s="73" t="str">
        <x:v>Migración y despliegue controlado</x:v>
      </x:c>
      <x:c r="H111" s="73" t="str">
        <x:v>Entorno</x:v>
      </x:c>
      <x:c r="I111" s="85" t="n">
        <x:v>1</x:v>
      </x:c>
      <x:c r="J111" s="73" t="str">
        <x:v>Sí</x:v>
      </x:c>
      <x:c r="K111" s="73" t="str">
        <x:v>Sí</x:v>
      </x:c>
      <x:c r="L111" s="85" t="n">
        <x:v>2</x:v>
      </x:c>
      <x:c r="M111" s="85" t="str">
        <x:v>Parcial</x:v>
      </x:c>
      <x:c r="N111" s="85" t="n">
        <x:v>0.85</x:v>
      </x:c>
      <x:c r="O111" s="85" t="n">
        <x:f>L111*N111</x:f>
        <x:v>1.7</x:v>
      </x:c>
      <x:c r="P111" s="85" t="str">
        <x:v>Alta</x:v>
      </x:c>
      <x:c r="Q111" s="85" t="n">
        <x:v>1</x:v>
      </x:c>
      <x:c r="R111" s="85" t="n">
        <x:v>1.45</x:v>
      </x:c>
      <x:c r="S111" s="85" t="n">
        <x:v>1.8</x:v>
      </x:c>
      <x:c r="T111" s="85" t="n">
        <x:f>IF(J111="Sí",I111*O111*Q111,0)</x:f>
        <x:v>1.7</x:v>
      </x:c>
      <x:c r="U111" s="85" t="n">
        <x:f>IF(J111="Sí",I111*O111*R111,0)</x:f>
        <x:v>2.465</x:v>
      </x:c>
      <x:c r="V111" s="85" t="n">
        <x:f>IF(J111="Sí",I111*O111*S111,0)</x:f>
        <x:v>3.06</x:v>
      </x:c>
      <x:c r="W111" s="73" t="str">
        <x:v>MNT2-013</x:v>
      </x:c>
      <x:c r="X111" s="73" t="str">
        <x:v>Versión desplegada</x:v>
      </x:c>
      <x:c r="Y111" s="73" t="str">
        <x:v>Respaldo, migración, build y validación</x:v>
      </x:c>
      <x:c r="Z111" s="73"/>
      <x:c r="AA111" s="73" t="str">
        <x:v>Preliminar</x:v>
      </x:c>
      <x:c r="AB111" s="78" t="str">
        <x:v>Estimación técnica ISM · Validar</x:v>
      </x:c>
    </x:row>
    <x:row r="112">
      <x:c r="A112" s="77" t="str">
        <x:v>Mantenimiento y Evolución</x:v>
      </x:c>
      <x:c r="B112" s="73" t="str">
        <x:v>MNT-02</x:v>
      </x:c>
      <x:c r="C112" s="73" t="str">
        <x:v>Incorporación de nueva funcionalidad</x:v>
      </x:c>
      <x:c r="D112" s="73" t="str">
        <x:v>02 · Optimización digital</x:v>
      </x:c>
      <x:c r="E112" s="73" t="str">
        <x:v>Cierre</x:v>
      </x:c>
      <x:c r="F112" s="73" t="str">
        <x:v>MNT2-015</x:v>
      </x:c>
      <x:c r="G112" s="73" t="str">
        <x:v>Documentación y capacitación breve</x:v>
      </x:c>
      <x:c r="H112" s="73" t="str">
        <x:v>Funcionalidad</x:v>
      </x:c>
      <x:c r="I112" s="85" t="n">
        <x:v>1</x:v>
      </x:c>
      <x:c r="J112" s="73" t="str">
        <x:v>Sí</x:v>
      </x:c>
      <x:c r="K112" s="73" t="str">
        <x:v>No</x:v>
      </x:c>
      <x:c r="L112" s="85" t="n">
        <x:v>1.5</x:v>
      </x:c>
      <x:c r="M112" s="85" t="str">
        <x:v>No</x:v>
      </x:c>
      <x:c r="N112" s="85" t="n">
        <x:v>1</x:v>
      </x:c>
      <x:c r="O112" s="85" t="n">
        <x:f>L112*N112</x:f>
        <x:v>1.5</x:v>
      </x:c>
      <x:c r="P112" s="85" t="str">
        <x:v>Media</x:v>
      </x:c>
      <x:c r="Q112" s="85" t="n">
        <x:v>1</x:v>
      </x:c>
      <x:c r="R112" s="85" t="n">
        <x:v>1.3</x:v>
      </x:c>
      <x:c r="S112" s="85" t="n">
        <x:v>1.55</x:v>
      </x:c>
      <x:c r="T112" s="85" t="n">
        <x:f>IF(J112="Sí",I112*O112*Q112,0)</x:f>
        <x:v>1.5</x:v>
      </x:c>
      <x:c r="U112" s="85" t="n">
        <x:f>IF(J112="Sí",I112*O112*R112,0)</x:f>
        <x:v>1.9500000000000002</x:v>
      </x:c>
      <x:c r="V112" s="85" t="n">
        <x:f>IF(J112="Sí",I112*O112*S112,0)</x:f>
        <x:v>2.325</x:v>
      </x:c>
      <x:c r="W112" s="73"/>
      <x:c r="X112" s="73" t="str">
        <x:v>Guía de uso</x:v>
      </x:c>
      <x:c r="Y112" s="73" t="str">
        <x:v>Cambios, uso y consideraciones</x:v>
      </x:c>
      <x:c r="Z112" s="73"/>
      <x:c r="AA112" s="73" t="str">
        <x:v>Preliminar</x:v>
      </x:c>
      <x:c r="AB112" s="78" t="str">
        <x:v>Estimación técnica ISM · Validar</x:v>
      </x:c>
    </x:row>
    <x:row r="113">
      <x:c r="A113" s="77" t="str">
        <x:v>Mantenimiento y Evolución</x:v>
      </x:c>
      <x:c r="B113" s="73" t="str">
        <x:v>MNT-03</x:v>
      </x:c>
      <x:c r="C113" s="73" t="str">
        <x:v>Modernización, refactorización y actualización tecnológica</x:v>
      </x:c>
      <x:c r="D113" s="73" t="str">
        <x:v>03 · Consolidación digital</x:v>
      </x:c>
      <x:c r="E113" s="73" t="str">
        <x:v>Auditoría</x:v>
      </x:c>
      <x:c r="F113" s="73" t="str">
        <x:v>MNT3-001</x:v>
      </x:c>
      <x:c r="G113" s="73" t="str">
        <x:v>Inventario técnico de componentes y versiones</x:v>
      </x:c>
      <x:c r="H113" s="73" t="str">
        <x:v>Proyecto</x:v>
      </x:c>
      <x:c r="I113" s="85" t="n">
        <x:v>1</x:v>
      </x:c>
      <x:c r="J113" s="73" t="str">
        <x:v>Sí</x:v>
      </x:c>
      <x:c r="K113" s="73" t="str">
        <x:v>Sí</x:v>
      </x:c>
      <x:c r="L113" s="85" t="n">
        <x:v>3</x:v>
      </x:c>
      <x:c r="M113" s="85" t="str">
        <x:v>No</x:v>
      </x:c>
      <x:c r="N113" s="85" t="n">
        <x:v>1</x:v>
      </x:c>
      <x:c r="O113" s="85" t="n">
        <x:f>L113*N113</x:f>
        <x:v>3</x:v>
      </x:c>
      <x:c r="P113" s="85" t="str">
        <x:v>Alta</x:v>
      </x:c>
      <x:c r="Q113" s="85" t="n">
        <x:v>1</x:v>
      </x:c>
      <x:c r="R113" s="85" t="n">
        <x:v>1.45</x:v>
      </x:c>
      <x:c r="S113" s="85" t="n">
        <x:v>1.8</x:v>
      </x:c>
      <x:c r="T113" s="85" t="n">
        <x:f>IF(J113="Sí",I113*O113*Q113,0)</x:f>
        <x:v>3</x:v>
      </x:c>
      <x:c r="U113" s="85" t="n">
        <x:f>IF(J113="Sí",I113*O113*R113,0)</x:f>
        <x:v>4.35</x:v>
      </x:c>
      <x:c r="V113" s="85" t="n">
        <x:f>IF(J113="Sí",I113*O113*S113,0)</x:f>
        <x:v>5.4</x:v>
      </x:c>
      <x:c r="W113" s="73"/>
      <x:c r="X113" s="73" t="str">
        <x:v>Inventario técnico</x:v>
      </x:c>
      <x:c r="Y113" s="73" t="str">
        <x:v>Frameworks, dependencias, servicios y despliegues</x:v>
      </x:c>
      <x:c r="Z113" s="73"/>
      <x:c r="AA113" s="73" t="str">
        <x:v>Preliminar</x:v>
      </x:c>
      <x:c r="AB113" s="78" t="str">
        <x:v>Estimación técnica ISM · Validar</x:v>
      </x:c>
    </x:row>
    <x:row r="114">
      <x:c r="A114" s="77" t="str">
        <x:v>Mantenimiento y Evolución</x:v>
      </x:c>
      <x:c r="B114" s="73" t="str">
        <x:v>MNT-03</x:v>
      </x:c>
      <x:c r="C114" s="73" t="str">
        <x:v>Modernización, refactorización y actualización tecnológica</x:v>
      </x:c>
      <x:c r="D114" s="73" t="str">
        <x:v>03 · Consolidación digital</x:v>
      </x:c>
      <x:c r="E114" s="73" t="str">
        <x:v>Auditoría</x:v>
      </x:c>
      <x:c r="F114" s="73" t="str">
        <x:v>MNT3-002</x:v>
      </x:c>
      <x:c r="G114" s="73" t="str">
        <x:v>Análisis de deuda técnica y riesgos</x:v>
      </x:c>
      <x:c r="H114" s="73" t="str">
        <x:v>Proyecto</x:v>
      </x:c>
      <x:c r="I114" s="85" t="n">
        <x:v>1</x:v>
      </x:c>
      <x:c r="J114" s="73" t="str">
        <x:v>Sí</x:v>
      </x:c>
      <x:c r="K114" s="73" t="str">
        <x:v>Sí</x:v>
      </x:c>
      <x:c r="L114" s="85" t="n">
        <x:v>4</x:v>
      </x:c>
      <x:c r="M114" s="85" t="str">
        <x:v>No</x:v>
      </x:c>
      <x:c r="N114" s="85" t="n">
        <x:v>1</x:v>
      </x:c>
      <x:c r="O114" s="85" t="n">
        <x:f>L114*N114</x:f>
        <x:v>4</x:v>
      </x:c>
      <x:c r="P114" s="85" t="str">
        <x:v>Alta</x:v>
      </x:c>
      <x:c r="Q114" s="85" t="n">
        <x:v>1</x:v>
      </x:c>
      <x:c r="R114" s="85" t="n">
        <x:v>1.45</x:v>
      </x:c>
      <x:c r="S114" s="85" t="n">
        <x:v>1.8</x:v>
      </x:c>
      <x:c r="T114" s="85" t="n">
        <x:f>IF(J114="Sí",I114*O114*Q114,0)</x:f>
        <x:v>4</x:v>
      </x:c>
      <x:c r="U114" s="85" t="n">
        <x:f>IF(J114="Sí",I114*O114*R114,0)</x:f>
        <x:v>5.8</x:v>
      </x:c>
      <x:c r="V114" s="85" t="n">
        <x:f>IF(J114="Sí",I114*O114*S114,0)</x:f>
        <x:v>7.2</x:v>
      </x:c>
      <x:c r="W114" s="73" t="str">
        <x:v>MNT3-001</x:v>
      </x:c>
      <x:c r="X114" s="73" t="str">
        <x:v>Matriz de deuda</x:v>
      </x:c>
      <x:c r="Y114" s="73" t="str">
        <x:v>Complejidad, obsolescencia, seguridad y mantenibilidad</x:v>
      </x:c>
      <x:c r="Z114" s="73"/>
      <x:c r="AA114" s="73" t="str">
        <x:v>Preliminar</x:v>
      </x:c>
      <x:c r="AB114" s="78" t="str">
        <x:v>Estimación técnica ISM · Validar</x:v>
      </x:c>
    </x:row>
    <x:row r="115">
      <x:c r="A115" s="77" t="str">
        <x:v>Mantenimiento y Evolución</x:v>
      </x:c>
      <x:c r="B115" s="73" t="str">
        <x:v>MNT-03</x:v>
      </x:c>
      <x:c r="C115" s="73" t="str">
        <x:v>Modernización, refactorización y actualización tecnológica</x:v>
      </x:c>
      <x:c r="D115" s="73" t="str">
        <x:v>03 · Consolidación digital</x:v>
      </x:c>
      <x:c r="E115" s="73" t="str">
        <x:v>Planificación</x:v>
      </x:c>
      <x:c r="F115" s="73" t="str">
        <x:v>MNT3-003</x:v>
      </x:c>
      <x:c r="G115" s="73" t="str">
        <x:v>Definición de estrategia de modernización</x:v>
      </x:c>
      <x:c r="H115" s="73" t="str">
        <x:v>Proyecto</x:v>
      </x:c>
      <x:c r="I115" s="85" t="n">
        <x:v>1</x:v>
      </x:c>
      <x:c r="J115" s="73" t="str">
        <x:v>Sí</x:v>
      </x:c>
      <x:c r="K115" s="73" t="str">
        <x:v>Sí</x:v>
      </x:c>
      <x:c r="L115" s="85" t="n">
        <x:v>3</x:v>
      </x:c>
      <x:c r="M115" s="85" t="str">
        <x:v>No</x:v>
      </x:c>
      <x:c r="N115" s="85" t="n">
        <x:v>1</x:v>
      </x:c>
      <x:c r="O115" s="85" t="n">
        <x:f>L115*N115</x:f>
        <x:v>3</x:v>
      </x:c>
      <x:c r="P115" s="85" t="str">
        <x:v>Alta</x:v>
      </x:c>
      <x:c r="Q115" s="85" t="n">
        <x:v>1</x:v>
      </x:c>
      <x:c r="R115" s="85" t="n">
        <x:v>1.45</x:v>
      </x:c>
      <x:c r="S115" s="85" t="n">
        <x:v>1.8</x:v>
      </x:c>
      <x:c r="T115" s="85" t="n">
        <x:f>IF(J115="Sí",I115*O115*Q115,0)</x:f>
        <x:v>3</x:v>
      </x:c>
      <x:c r="U115" s="85" t="n">
        <x:f>IF(J115="Sí",I115*O115*R115,0)</x:f>
        <x:v>4.35</x:v>
      </x:c>
      <x:c r="V115" s="85" t="n">
        <x:f>IF(J115="Sí",I115*O115*S115,0)</x:f>
        <x:v>5.4</x:v>
      </x:c>
      <x:c r="W115" s="73" t="str">
        <x:v>MNT3-002</x:v>
      </x:c>
      <x:c r="X115" s="73" t="str">
        <x:v>Roadmap técnico</x:v>
      </x:c>
      <x:c r="Y115" s="73" t="str">
        <x:v>Fases, prioridades, dependencias y reversa</x:v>
      </x:c>
      <x:c r="Z115" s="73"/>
      <x:c r="AA115" s="73" t="str">
        <x:v>Preliminar</x:v>
      </x:c>
      <x:c r="AB115" s="78" t="str">
        <x:v>Estimación técnica ISM · Validar</x:v>
      </x:c>
    </x:row>
    <x:row r="116">
      <x:c r="A116" s="77" t="str">
        <x:v>Mantenimiento y Evolución</x:v>
      </x:c>
      <x:c r="B116" s="73" t="str">
        <x:v>MNT-03</x:v>
      </x:c>
      <x:c r="C116" s="73" t="str">
        <x:v>Modernización, refactorización y actualización tecnológica</x:v>
      </x:c>
      <x:c r="D116" s="73" t="str">
        <x:v>03 · Consolidación digital</x:v>
      </x:c>
      <x:c r="E116" s="73" t="str">
        <x:v>Preparación</x:v>
      </x:c>
      <x:c r="F116" s="73" t="str">
        <x:v>MNT3-004</x:v>
      </x:c>
      <x:c r="G116" s="73" t="str">
        <x:v>Creación de línea base de pruebas</x:v>
      </x:c>
      <x:c r="H116" s="73" t="str">
        <x:v>Flujo</x:v>
      </x:c>
      <x:c r="I116" s="85" t="n">
        <x:v>3</x:v>
      </x:c>
      <x:c r="J116" s="73" t="str">
        <x:v>Sí</x:v>
      </x:c>
      <x:c r="K116" s="73" t="str">
        <x:v>Sí</x:v>
      </x:c>
      <x:c r="L116" s="85" t="n">
        <x:v>2</x:v>
      </x:c>
      <x:c r="M116" s="85" t="str">
        <x:v>No</x:v>
      </x:c>
      <x:c r="N116" s="85" t="n">
        <x:v>1</x:v>
      </x:c>
      <x:c r="O116" s="85" t="n">
        <x:f>L116*N116</x:f>
        <x:v>2</x:v>
      </x:c>
      <x:c r="P116" s="85" t="str">
        <x:v>Alta</x:v>
      </x:c>
      <x:c r="Q116" s="85" t="n">
        <x:v>1</x:v>
      </x:c>
      <x:c r="R116" s="85" t="n">
        <x:v>1.45</x:v>
      </x:c>
      <x:c r="S116" s="85" t="n">
        <x:v>1.8</x:v>
      </x:c>
      <x:c r="T116" s="85" t="n">
        <x:f>IF(J116="Sí",I116*O116*Q116,0)</x:f>
        <x:v>6</x:v>
      </x:c>
      <x:c r="U116" s="85" t="n">
        <x:f>IF(J116="Sí",I116*O116*R116,0)</x:f>
        <x:v>8.7</x:v>
      </x:c>
      <x:c r="V116" s="85" t="n">
        <x:f>IF(J116="Sí",I116*O116*S116,0)</x:f>
        <x:v>10.8</x:v>
      </x:c>
      <x:c r="W116" s="73" t="str">
        <x:v>MNT3-003</x:v>
      </x:c>
      <x:c r="X116" s="73" t="str">
        <x:v>Pruebas base</x:v>
      </x:c>
      <x:c r="Y116" s="73" t="str">
        <x:v>Comportamiento actual protegido antes de cambios</x:v>
      </x:c>
      <x:c r="Z116" s="73"/>
      <x:c r="AA116" s="73" t="str">
        <x:v>Preliminar</x:v>
      </x:c>
      <x:c r="AB116" s="78" t="str">
        <x:v>Estimación técnica ISM · Validar</x:v>
      </x:c>
    </x:row>
    <x:row r="117">
      <x:c r="A117" s="77" t="str">
        <x:v>Mantenimiento y Evolución</x:v>
      </x:c>
      <x:c r="B117" s="73" t="str">
        <x:v>MNT-03</x:v>
      </x:c>
      <x:c r="C117" s="73" t="str">
        <x:v>Modernización, refactorización y actualización tecnológica</x:v>
      </x:c>
      <x:c r="D117" s="73" t="str">
        <x:v>03 · Consolidación digital</x:v>
      </x:c>
      <x:c r="E117" s="73" t="str">
        <x:v>Dependencias</x:v>
      </x:c>
      <x:c r="F117" s="73" t="str">
        <x:v>MNT3-005</x:v>
      </x:c>
      <x:c r="G117" s="73" t="str">
        <x:v>Actualización de dependencia estándar</x:v>
      </x:c>
      <x:c r="H117" s="73" t="str">
        <x:v>Dependencia</x:v>
      </x:c>
      <x:c r="I117" s="85" t="n">
        <x:v>5</x:v>
      </x:c>
      <x:c r="J117" s="73" t="str">
        <x:v>Sí</x:v>
      </x:c>
      <x:c r="K117" s="73" t="str">
        <x:v>No</x:v>
      </x:c>
      <x:c r="L117" s="85" t="n">
        <x:v>0.75</x:v>
      </x:c>
      <x:c r="M117" s="85" t="str">
        <x:v>Parcial</x:v>
      </x:c>
      <x:c r="N117" s="85" t="n">
        <x:v>0.9</x:v>
      </x:c>
      <x:c r="O117" s="85" t="n">
        <x:f>L117*N117</x:f>
        <x:v>0.675</x:v>
      </x:c>
      <x:c r="P117" s="85" t="str">
        <x:v>Media</x:v>
      </x:c>
      <x:c r="Q117" s="85" t="n">
        <x:v>1</x:v>
      </x:c>
      <x:c r="R117" s="85" t="n">
        <x:v>1.3</x:v>
      </x:c>
      <x:c r="S117" s="85" t="n">
        <x:v>1.55</x:v>
      </x:c>
      <x:c r="T117" s="85" t="n">
        <x:f>IF(J117="Sí",I117*O117*Q117,0)</x:f>
        <x:v>3.375</x:v>
      </x:c>
      <x:c r="U117" s="85" t="n">
        <x:f>IF(J117="Sí",I117*O117*R117,0)</x:f>
        <x:v>4.3875</x:v>
      </x:c>
      <x:c r="V117" s="85" t="n">
        <x:f>IF(J117="Sí",I117*O117*S117,0)</x:f>
        <x:v>5.23125</x:v>
      </x:c>
      <x:c r="W117" s="73" t="str">
        <x:v>MNT3-004</x:v>
      </x:c>
      <x:c r="X117" s="73" t="str">
        <x:v>Dependencias actualizadas</x:v>
      </x:c>
      <x:c r="Y117" s="73" t="str">
        <x:v>Actualización rutinaria de versión compatible, ajustes menores y verificación básica por dependencia.</x:v>
      </x:c>
      <x:c r="Z117" s="73" t="str">
        <x:v>La remediación adicional de vulnerabilidades complejas se contabiliza en MNT3-009.</x:v>
      </x:c>
      <x:c r="AA117" s="73" t="str">
        <x:v>Preliminar</x:v>
      </x:c>
      <x:c r="AB117" s="78" t="str">
        <x:v>Estimación técnica ISM · Validar</x:v>
      </x:c>
    </x:row>
    <x:row r="118">
      <x:c r="A118" s="77" t="str">
        <x:v>Mantenimiento y Evolución</x:v>
      </x:c>
      <x:c r="B118" s="73" t="str">
        <x:v>MNT-03</x:v>
      </x:c>
      <x:c r="C118" s="73" t="str">
        <x:v>Modernización, refactorización y actualización tecnológica</x:v>
      </x:c>
      <x:c r="D118" s="73" t="str">
        <x:v>03 · Consolidación digital</x:v>
      </x:c>
      <x:c r="E118" s="73" t="str">
        <x:v>Código</x:v>
      </x:c>
      <x:c r="F118" s="73" t="str">
        <x:v>MNT3-006</x:v>
      </x:c>
      <x:c r="G118" s="73" t="str">
        <x:v>Refactorización de módulo</x:v>
      </x:c>
      <x:c r="H118" s="73" t="str">
        <x:v>Módulo</x:v>
      </x:c>
      <x:c r="I118" s="85" t="n">
        <x:v>2</x:v>
      </x:c>
      <x:c r="J118" s="73" t="str">
        <x:v>Sí</x:v>
      </x:c>
      <x:c r="K118" s="73" t="str">
        <x:v>No</x:v>
      </x:c>
      <x:c r="L118" s="85" t="n">
        <x:v>5</x:v>
      </x:c>
      <x:c r="M118" s="85" t="str">
        <x:v>No</x:v>
      </x:c>
      <x:c r="N118" s="85" t="n">
        <x:v>1</x:v>
      </x:c>
      <x:c r="O118" s="85" t="n">
        <x:f>L118*N118</x:f>
        <x:v>5</x:v>
      </x:c>
      <x:c r="P118" s="85" t="str">
        <x:v>Alta</x:v>
      </x:c>
      <x:c r="Q118" s="85" t="n">
        <x:v>1</x:v>
      </x:c>
      <x:c r="R118" s="85" t="n">
        <x:v>1.45</x:v>
      </x:c>
      <x:c r="S118" s="85" t="n">
        <x:v>1.8</x:v>
      </x:c>
      <x:c r="T118" s="85" t="n">
        <x:f>IF(J118="Sí",I118*O118*Q118,0)</x:f>
        <x:v>10</x:v>
      </x:c>
      <x:c r="U118" s="85" t="n">
        <x:f>IF(J118="Sí",I118*O118*R118,0)</x:f>
        <x:v>14.5</x:v>
      </x:c>
      <x:c r="V118" s="85" t="n">
        <x:f>IF(J118="Sí",I118*O118*S118,0)</x:f>
        <x:v>18</x:v>
      </x:c>
      <x:c r="W118" s="73" t="str">
        <x:v>MNT3-004</x:v>
      </x:c>
      <x:c r="X118" s="73" t="str">
        <x:v>Módulos refactorizados</x:v>
      </x:c>
      <x:c r="Y118" s="73" t="str">
        <x:v>Separación de responsabilidades y legibilidad</x:v>
      </x:c>
      <x:c r="Z118" s="73"/>
      <x:c r="AA118" s="73" t="str">
        <x:v>Preliminar</x:v>
      </x:c>
      <x:c r="AB118" s="78" t="str">
        <x:v>Estimación técnica ISM · Validar</x:v>
      </x:c>
    </x:row>
    <x:row r="119">
      <x:c r="A119" s="77" t="str">
        <x:v>Mantenimiento y Evolución</x:v>
      </x:c>
      <x:c r="B119" s="73" t="str">
        <x:v>MNT-03</x:v>
      </x:c>
      <x:c r="C119" s="73" t="str">
        <x:v>Modernización, refactorización y actualización tecnológica</x:v>
      </x:c>
      <x:c r="D119" s="73" t="str">
        <x:v>03 · Consolidación digital</x:v>
      </x:c>
      <x:c r="E119" s="73" t="str">
        <x:v>Arquitectura</x:v>
      </x:c>
      <x:c r="F119" s="73" t="str">
        <x:v>MNT3-007</x:v>
      </x:c>
      <x:c r="G119" s="73" t="str">
        <x:v>Extracción de componente reutilizable</x:v>
      </x:c>
      <x:c r="H119" s="73" t="str">
        <x:v>Componente</x:v>
      </x:c>
      <x:c r="I119" s="85" t="n">
        <x:v>2</x:v>
      </x:c>
      <x:c r="J119" s="73" t="str">
        <x:v>No</x:v>
      </x:c>
      <x:c r="K119" s="73" t="str">
        <x:v>No</x:v>
      </x:c>
      <x:c r="L119" s="85" t="n">
        <x:v>3</x:v>
      </x:c>
      <x:c r="M119" s="85" t="str">
        <x:v>Parcial</x:v>
      </x:c>
      <x:c r="N119" s="85" t="n">
        <x:v>0.9</x:v>
      </x:c>
      <x:c r="O119" s="85" t="n">
        <x:f>L119*N119</x:f>
        <x:v>2.7</x:v>
      </x:c>
      <x:c r="P119" s="85" t="str">
        <x:v>Alta</x:v>
      </x:c>
      <x:c r="Q119" s="85" t="n">
        <x:v>1</x:v>
      </x:c>
      <x:c r="R119" s="85" t="n">
        <x:v>1.45</x:v>
      </x:c>
      <x:c r="S119" s="85" t="n">
        <x:v>1.8</x:v>
      </x:c>
      <x:c r="T119" s="85" t="n">
        <x:f>IF(J119="Sí",I119*O119*Q119,0)</x:f>
        <x:v>0</x:v>
      </x:c>
      <x:c r="U119" s="85" t="n">
        <x:f>IF(J119="Sí",I119*O119*R119,0)</x:f>
        <x:v>0</x:v>
      </x:c>
      <x:c r="V119" s="85" t="n">
        <x:f>IF(J119="Sí",I119*O119*S119,0)</x:f>
        <x:v>0</x:v>
      </x:c>
      <x:c r="W119" s="73" t="str">
        <x:v>MNT3-006</x:v>
      </x:c>
      <x:c r="X119" s="73" t="str">
        <x:v>Componente reusable</x:v>
      </x:c>
      <x:c r="Y119" s="73" t="str">
        <x:v>Interfaces, pruebas y documentación</x:v>
      </x:c>
      <x:c r="Z119" s="73"/>
      <x:c r="AA119" s="73" t="str">
        <x:v>Preliminar</x:v>
      </x:c>
      <x:c r="AB119" s="78" t="str">
        <x:v>Estimación técnica ISM · Validar</x:v>
      </x:c>
    </x:row>
    <x:row r="120">
      <x:c r="A120" s="77" t="str">
        <x:v>Mantenimiento y Evolución</x:v>
      </x:c>
      <x:c r="B120" s="73" t="str">
        <x:v>MNT-03</x:v>
      </x:c>
      <x:c r="C120" s="73" t="str">
        <x:v>Modernización, refactorización y actualización tecnológica</x:v>
      </x:c>
      <x:c r="D120" s="73" t="str">
        <x:v>03 · Consolidación digital</x:v>
      </x:c>
      <x:c r="E120" s="73" t="str">
        <x:v>Datos</x:v>
      </x:c>
      <x:c r="F120" s="73" t="str">
        <x:v>MNT3-008</x:v>
      </x:c>
      <x:c r="G120" s="73" t="str">
        <x:v>Migración o ajuste de esquema de datos</x:v>
      </x:c>
      <x:c r="H120" s="73" t="str">
        <x:v>Migración</x:v>
      </x:c>
      <x:c r="I120" s="85" t="n">
        <x:v>1</x:v>
      </x:c>
      <x:c r="J120" s="73" t="str">
        <x:v>No</x:v>
      </x:c>
      <x:c r="K120" s="73" t="str">
        <x:v>No</x:v>
      </x:c>
      <x:c r="L120" s="85" t="n">
        <x:v>4</x:v>
      </x:c>
      <x:c r="M120" s="85" t="str">
        <x:v>No</x:v>
      </x:c>
      <x:c r="N120" s="85" t="n">
        <x:v>1</x:v>
      </x:c>
      <x:c r="O120" s="85" t="n">
        <x:f>L120*N120</x:f>
        <x:v>4</x:v>
      </x:c>
      <x:c r="P120" s="85" t="str">
        <x:v>Alta</x:v>
      </x:c>
      <x:c r="Q120" s="85" t="n">
        <x:v>1</x:v>
      </x:c>
      <x:c r="R120" s="85" t="n">
        <x:v>1.45</x:v>
      </x:c>
      <x:c r="S120" s="85" t="n">
        <x:v>1.8</x:v>
      </x:c>
      <x:c r="T120" s="85" t="n">
        <x:f>IF(J120="Sí",I120*O120*Q120,0)</x:f>
        <x:v>0</x:v>
      </x:c>
      <x:c r="U120" s="85" t="n">
        <x:f>IF(J120="Sí",I120*O120*R120,0)</x:f>
        <x:v>0</x:v>
      </x:c>
      <x:c r="V120" s="85" t="n">
        <x:f>IF(J120="Sí",I120*O120*S120,0)</x:f>
        <x:v>0</x:v>
      </x:c>
      <x:c r="W120" s="73" t="str">
        <x:v>MNT3-003</x:v>
      </x:c>
      <x:c r="X120" s="73" t="str">
        <x:v>Migración validada</x:v>
      </x:c>
      <x:c r="Y120" s="73" t="str">
        <x:v>Transformación, respaldo y conciliación</x:v>
      </x:c>
      <x:c r="Z120" s="73"/>
      <x:c r="AA120" s="73" t="str">
        <x:v>Preliminar</x:v>
      </x:c>
      <x:c r="AB120" s="78" t="str">
        <x:v>Estimación técnica ISM · Validar</x:v>
      </x:c>
    </x:row>
    <x:row r="121">
      <x:c r="A121" s="77" t="str">
        <x:v>Mantenimiento y Evolución</x:v>
      </x:c>
      <x:c r="B121" s="73" t="str">
        <x:v>MNT-03</x:v>
      </x:c>
      <x:c r="C121" s="73" t="str">
        <x:v>Modernización, refactorización y actualización tecnológica</x:v>
      </x:c>
      <x:c r="D121" s="73" t="str">
        <x:v>03 · Consolidación digital</x:v>
      </x:c>
      <x:c r="E121" s="73" t="str">
        <x:v>Seguridad</x:v>
      </x:c>
      <x:c r="F121" s="73" t="str">
        <x:v>MNT3-009</x:v>
      </x:c>
      <x:c r="G121" s="73" t="str">
        <x:v>Corrección de dependencias vulnerables</x:v>
      </x:c>
      <x:c r="H121" s="73" t="str">
        <x:v>Hallazgo</x:v>
      </x:c>
      <x:c r="I121" s="85" t="n">
        <x:v>0</x:v>
      </x:c>
      <x:c r="J121" s="73" t="str">
        <x:v>No</x:v>
      </x:c>
      <x:c r="K121" s="73" t="str">
        <x:v>No</x:v>
      </x:c>
      <x:c r="L121" s="85" t="n">
        <x:v>1.5</x:v>
      </x:c>
      <x:c r="M121" s="85" t="str">
        <x:v>Parcial</x:v>
      </x:c>
      <x:c r="N121" s="85" t="n">
        <x:v>0.9</x:v>
      </x:c>
      <x:c r="O121" s="85" t="n">
        <x:f>L121*N121</x:f>
        <x:v>1.35</x:v>
      </x:c>
      <x:c r="P121" s="85" t="str">
        <x:v>Alta</x:v>
      </x:c>
      <x:c r="Q121" s="85" t="n">
        <x:v>1</x:v>
      </x:c>
      <x:c r="R121" s="85" t="n">
        <x:v>1.45</x:v>
      </x:c>
      <x:c r="S121" s="85" t="n">
        <x:v>1.8</x:v>
      </x:c>
      <x:c r="T121" s="85" t="n">
        <x:f>IF(J121="Sí",I121*O121*Q121,0)</x:f>
        <x:v>0</x:v>
      </x:c>
      <x:c r="U121" s="85" t="n">
        <x:f>IF(J121="Sí",I121*O121*R121,0)</x:f>
        <x:v>0</x:v>
      </x:c>
      <x:c r="V121" s="85" t="n">
        <x:f>IF(J121="Sí",I121*O121*S121,0)</x:f>
        <x:v>0</x:v>
      </x:c>
      <x:c r="W121" s="73" t="str">
        <x:v>MNT3-005</x:v>
      </x:c>
      <x:c r="X121" s="73" t="str">
        <x:v>Hallazgos cerrados</x:v>
      </x:c>
      <x:c r="Y121" s="73" t="str">
        <x:v>Análisis y remediación adicional cuando la actualización estándar no resuelve el hallazgo.</x:v>
      </x:c>
      <x:c r="Z121" s="73" t="str">
        <x:v>No sumar si el hallazgo queda resuelto únicamente con MNT3-005.</x:v>
      </x:c>
      <x:c r="AA121" s="73" t="str">
        <x:v>Preliminar</x:v>
      </x:c>
      <x:c r="AB121" s="78" t="str">
        <x:v>Estimación técnica ISM · Validar</x:v>
      </x:c>
    </x:row>
    <x:row r="122">
      <x:c r="A122" s="77" t="str">
        <x:v>Mantenimiento y Evolución</x:v>
      </x:c>
      <x:c r="B122" s="73" t="str">
        <x:v>MNT-03</x:v>
      </x:c>
      <x:c r="C122" s="73" t="str">
        <x:v>Modernización, refactorización y actualización tecnológica</x:v>
      </x:c>
      <x:c r="D122" s="73" t="str">
        <x:v>03 · Consolidación digital</x:v>
      </x:c>
      <x:c r="E122" s="73" t="str">
        <x:v>Calidad</x:v>
      </x:c>
      <x:c r="F122" s="73" t="str">
        <x:v>MNT3-010</x:v>
      </x:c>
      <x:c r="G122" s="73" t="str">
        <x:v>Pruebas de regresión ampliadas</x:v>
      </x:c>
      <x:c r="H122" s="73" t="str">
        <x:v>Flujo</x:v>
      </x:c>
      <x:c r="I122" s="85" t="n">
        <x:v>5</x:v>
      </x:c>
      <x:c r="J122" s="73" t="str">
        <x:v>Sí</x:v>
      </x:c>
      <x:c r="K122" s="73" t="str">
        <x:v>Sí</x:v>
      </x:c>
      <x:c r="L122" s="85" t="n">
        <x:v>1</x:v>
      </x:c>
      <x:c r="M122" s="85" t="str">
        <x:v>No</x:v>
      </x:c>
      <x:c r="N122" s="85" t="n">
        <x:v>1</x:v>
      </x:c>
      <x:c r="O122" s="85" t="n">
        <x:f>L122*N122</x:f>
        <x:v>1</x:v>
      </x:c>
      <x:c r="P122" s="85" t="str">
        <x:v>Alta</x:v>
      </x:c>
      <x:c r="Q122" s="85" t="n">
        <x:v>1</x:v>
      </x:c>
      <x:c r="R122" s="85" t="n">
        <x:v>1.45</x:v>
      </x:c>
      <x:c r="S122" s="85" t="n">
        <x:v>1.8</x:v>
      </x:c>
      <x:c r="T122" s="85" t="n">
        <x:f>IF(J122="Sí",I122*O122*Q122,0)</x:f>
        <x:v>5</x:v>
      </x:c>
      <x:c r="U122" s="85" t="n">
        <x:f>IF(J122="Sí",I122*O122*R122,0)</x:f>
        <x:v>7.25</x:v>
      </x:c>
      <x:c r="V122" s="85" t="n">
        <x:f>IF(J122="Sí",I122*O122*S122,0)</x:f>
        <x:v>9</x:v>
      </x:c>
      <x:c r="W122" s="73"/>
      <x:c r="X122" s="73" t="str">
        <x:v>Suite de regresión</x:v>
      </x:c>
      <x:c r="Y122" s="73" t="str">
        <x:v>Flujos críticos y casos de error</x:v>
      </x:c>
      <x:c r="Z122" s="73"/>
      <x:c r="AA122" s="73" t="str">
        <x:v>Preliminar</x:v>
      </x:c>
      <x:c r="AB122" s="78" t="str">
        <x:v>Estimación técnica ISM · Validar</x:v>
      </x:c>
    </x:row>
    <x:row r="123">
      <x:c r="A123" s="77" t="str">
        <x:v>Mantenimiento y Evolución</x:v>
      </x:c>
      <x:c r="B123" s="73" t="str">
        <x:v>MNT-03</x:v>
      </x:c>
      <x:c r="C123" s="73" t="str">
        <x:v>Modernización, refactorización y actualización tecnológica</x:v>
      </x:c>
      <x:c r="D123" s="73" t="str">
        <x:v>03 · Consolidación digital</x:v>
      </x:c>
      <x:c r="E123" s="73" t="str">
        <x:v>Rendimiento</x:v>
      </x:c>
      <x:c r="F123" s="73" t="str">
        <x:v>MNT3-011</x:v>
      </x:c>
      <x:c r="G123" s="73" t="str">
        <x:v>Comparación de rendimiento antes y después</x:v>
      </x:c>
      <x:c r="H123" s="73" t="str">
        <x:v>Proyecto</x:v>
      </x:c>
      <x:c r="I123" s="85" t="n">
        <x:v>1</x:v>
      </x:c>
      <x:c r="J123" s="73" t="str">
        <x:v>No</x:v>
      </x:c>
      <x:c r="K123" s="73" t="str">
        <x:v>No</x:v>
      </x:c>
      <x:c r="L123" s="85" t="n">
        <x:v>3</x:v>
      </x:c>
      <x:c r="M123" s="85" t="str">
        <x:v>No</x:v>
      </x:c>
      <x:c r="N123" s="85" t="n">
        <x:v>1</x:v>
      </x:c>
      <x:c r="O123" s="85" t="n">
        <x:f>L123*N123</x:f>
        <x:v>3</x:v>
      </x:c>
      <x:c r="P123" s="85" t="str">
        <x:v>Alta</x:v>
      </x:c>
      <x:c r="Q123" s="85" t="n">
        <x:v>1</x:v>
      </x:c>
      <x:c r="R123" s="85" t="n">
        <x:v>1.45</x:v>
      </x:c>
      <x:c r="S123" s="85" t="n">
        <x:v>1.8</x:v>
      </x:c>
      <x:c r="T123" s="85" t="n">
        <x:f>IF(J123="Sí",I123*O123*Q123,0)</x:f>
        <x:v>0</x:v>
      </x:c>
      <x:c r="U123" s="85" t="n">
        <x:f>IF(J123="Sí",I123*O123*R123,0)</x:f>
        <x:v>0</x:v>
      </x:c>
      <x:c r="V123" s="85" t="n">
        <x:f>IF(J123="Sí",I123*O123*S123,0)</x:f>
        <x:v>0</x:v>
      </x:c>
      <x:c r="W123" s="73"/>
      <x:c r="X123" s="73" t="str">
        <x:v>Informe comparativo</x:v>
      </x:c>
      <x:c r="Y123" s="73" t="str">
        <x:v>Métricas acordadas y resultados</x:v>
      </x:c>
      <x:c r="Z123" s="73"/>
      <x:c r="AA123" s="73" t="str">
        <x:v>Preliminar</x:v>
      </x:c>
      <x:c r="AB123" s="78" t="str">
        <x:v>Estimación técnica ISM · Validar</x:v>
      </x:c>
    </x:row>
    <x:row r="124">
      <x:c r="A124" s="77" t="str">
        <x:v>Mantenimiento y Evolución</x:v>
      </x:c>
      <x:c r="B124" s="73" t="str">
        <x:v>MNT-03</x:v>
      </x:c>
      <x:c r="C124" s="73" t="str">
        <x:v>Modernización, refactorización y actualización tecnológica</x:v>
      </x:c>
      <x:c r="D124" s="73" t="str">
        <x:v>03 · Consolidación digital</x:v>
      </x:c>
      <x:c r="E124" s="73" t="str">
        <x:v>Despliegue</x:v>
      </x:c>
      <x:c r="F124" s="73" t="str">
        <x:v>MNT3-012</x:v>
      </x:c>
      <x:c r="G124" s="73" t="str">
        <x:v>Plan de migración y reversa</x:v>
      </x:c>
      <x:c r="H124" s="73" t="str">
        <x:v>Entorno</x:v>
      </x:c>
      <x:c r="I124" s="85" t="n">
        <x:v>1</x:v>
      </x:c>
      <x:c r="J124" s="73" t="str">
        <x:v>Sí</x:v>
      </x:c>
      <x:c r="K124" s="73" t="str">
        <x:v>Sí</x:v>
      </x:c>
      <x:c r="L124" s="85" t="n">
        <x:v>2</x:v>
      </x:c>
      <x:c r="M124" s="85" t="str">
        <x:v>No</x:v>
      </x:c>
      <x:c r="N124" s="85" t="n">
        <x:v>1</x:v>
      </x:c>
      <x:c r="O124" s="85" t="n">
        <x:f>L124*N124</x:f>
        <x:v>2</x:v>
      </x:c>
      <x:c r="P124" s="85" t="str">
        <x:v>Alta</x:v>
      </x:c>
      <x:c r="Q124" s="85" t="n">
        <x:v>1</x:v>
      </x:c>
      <x:c r="R124" s="85" t="n">
        <x:v>1.45</x:v>
      </x:c>
      <x:c r="S124" s="85" t="n">
        <x:v>1.8</x:v>
      </x:c>
      <x:c r="T124" s="85" t="n">
        <x:f>IF(J124="Sí",I124*O124*Q124,0)</x:f>
        <x:v>2</x:v>
      </x:c>
      <x:c r="U124" s="85" t="n">
        <x:f>IF(J124="Sí",I124*O124*R124,0)</x:f>
        <x:v>2.9</x:v>
      </x:c>
      <x:c r="V124" s="85" t="n">
        <x:f>IF(J124="Sí",I124*O124*S124,0)</x:f>
        <x:v>3.6</x:v>
      </x:c>
      <x:c r="W124" s="73" t="str">
        <x:v>MNT3-003</x:v>
      </x:c>
      <x:c r="X124" s="73" t="str">
        <x:v>Plan operativo</x:v>
      </x:c>
      <x:c r="Y124" s="73" t="str">
        <x:v>Pasos, responsables, respaldo y retorno</x:v>
      </x:c>
      <x:c r="Z124" s="73"/>
      <x:c r="AA124" s="73" t="str">
        <x:v>Preliminar</x:v>
      </x:c>
      <x:c r="AB124" s="78" t="str">
        <x:v>Estimación técnica ISM · Validar</x:v>
      </x:c>
    </x:row>
    <x:row r="125">
      <x:c r="A125" s="77" t="str">
        <x:v>Mantenimiento y Evolución</x:v>
      </x:c>
      <x:c r="B125" s="73" t="str">
        <x:v>MNT-03</x:v>
      </x:c>
      <x:c r="C125" s="73" t="str">
        <x:v>Modernización, refactorización y actualización tecnológica</x:v>
      </x:c>
      <x:c r="D125" s="73" t="str">
        <x:v>03 · Consolidación digital</x:v>
      </x:c>
      <x:c r="E125" s="73" t="str">
        <x:v>Despliegue</x:v>
      </x:c>
      <x:c r="F125" s="73" t="str">
        <x:v>MNT3-013</x:v>
      </x:c>
      <x:c r="G125" s="73" t="str">
        <x:v>Despliegue de modernización</x:v>
      </x:c>
      <x:c r="H125" s="73" t="str">
        <x:v>Entorno</x:v>
      </x:c>
      <x:c r="I125" s="85" t="n">
        <x:v>1</x:v>
      </x:c>
      <x:c r="J125" s="73" t="str">
        <x:v>Sí</x:v>
      </x:c>
      <x:c r="K125" s="73" t="str">
        <x:v>Sí</x:v>
      </x:c>
      <x:c r="L125" s="85" t="n">
        <x:v>3</x:v>
      </x:c>
      <x:c r="M125" s="85" t="str">
        <x:v>No</x:v>
      </x:c>
      <x:c r="N125" s="85" t="n">
        <x:v>1</x:v>
      </x:c>
      <x:c r="O125" s="85" t="n">
        <x:f>L125*N125</x:f>
        <x:v>3</x:v>
      </x:c>
      <x:c r="P125" s="85" t="str">
        <x:v>Alta</x:v>
      </x:c>
      <x:c r="Q125" s="85" t="n">
        <x:v>1</x:v>
      </x:c>
      <x:c r="R125" s="85" t="n">
        <x:v>1.45</x:v>
      </x:c>
      <x:c r="S125" s="85" t="n">
        <x:v>1.8</x:v>
      </x:c>
      <x:c r="T125" s="85" t="n">
        <x:f>IF(J125="Sí",I125*O125*Q125,0)</x:f>
        <x:v>3</x:v>
      </x:c>
      <x:c r="U125" s="85" t="n">
        <x:f>IF(J125="Sí",I125*O125*R125,0)</x:f>
        <x:v>4.35</x:v>
      </x:c>
      <x:c r="V125" s="85" t="n">
        <x:f>IF(J125="Sí",I125*O125*S125,0)</x:f>
        <x:v>5.4</x:v>
      </x:c>
      <x:c r="W125" s="73" t="str">
        <x:v>MNT3-012</x:v>
      </x:c>
      <x:c r="X125" s="73" t="str">
        <x:v>Versión modernizada</x:v>
      </x:c>
      <x:c r="Y125" s="73" t="str">
        <x:v>Ejecución, validación y seguimiento</x:v>
      </x:c>
      <x:c r="Z125" s="73"/>
      <x:c r="AA125" s="73" t="str">
        <x:v>Preliminar</x:v>
      </x:c>
      <x:c r="AB125" s="78" t="str">
        <x:v>Estimación técnica ISM · Validar</x:v>
      </x:c>
    </x:row>
    <x:row r="126">
      <x:c r="A126" s="77" t="str">
        <x:v>Mantenimiento y Evolución</x:v>
      </x:c>
      <x:c r="B126" s="73" t="str">
        <x:v>MNT-03</x:v>
      </x:c>
      <x:c r="C126" s="73" t="str">
        <x:v>Modernización, refactorización y actualización tecnológica</x:v>
      </x:c>
      <x:c r="D126" s="73" t="str">
        <x:v>03 · Consolidación digital</x:v>
      </x:c>
      <x:c r="E126" s="73" t="str">
        <x:v>Cierre</x:v>
      </x:c>
      <x:c r="F126" s="73" t="str">
        <x:v>MNT3-014</x:v>
      </x:c>
      <x:c r="G126" s="73" t="str">
        <x:v>Actualización de documentación técnica</x:v>
      </x:c>
      <x:c r="H126" s="73" t="str">
        <x:v>Proyecto</x:v>
      </x:c>
      <x:c r="I126" s="85" t="n">
        <x:v>1</x:v>
      </x:c>
      <x:c r="J126" s="73" t="str">
        <x:v>Sí</x:v>
      </x:c>
      <x:c r="K126" s="73" t="str">
        <x:v>Sí</x:v>
      </x:c>
      <x:c r="L126" s="85" t="n">
        <x:v>2.5</x:v>
      </x:c>
      <x:c r="M126" s="85" t="str">
        <x:v>No</x:v>
      </x:c>
      <x:c r="N126" s="85" t="n">
        <x:v>1</x:v>
      </x:c>
      <x:c r="O126" s="85" t="n">
        <x:f>L126*N126</x:f>
        <x:v>2.5</x:v>
      </x:c>
      <x:c r="P126" s="85" t="str">
        <x:v>Media</x:v>
      </x:c>
      <x:c r="Q126" s="85" t="n">
        <x:v>1</x:v>
      </x:c>
      <x:c r="R126" s="85" t="n">
        <x:v>1.3</x:v>
      </x:c>
      <x:c r="S126" s="85" t="n">
        <x:v>1.55</x:v>
      </x:c>
      <x:c r="T126" s="85" t="n">
        <x:f>IF(J126="Sí",I126*O126*Q126,0)</x:f>
        <x:v>2.5</x:v>
      </x:c>
      <x:c r="U126" s="85" t="n">
        <x:f>IF(J126="Sí",I126*O126*R126,0)</x:f>
        <x:v>3.25</x:v>
      </x:c>
      <x:c r="V126" s="85" t="n">
        <x:f>IF(J126="Sí",I126*O126*S126,0)</x:f>
        <x:v>3.875</x:v>
      </x:c>
      <x:c r="W126" s="73"/>
      <x:c r="X126" s="73" t="str">
        <x:v>Documentación actualizada</x:v>
      </x:c>
      <x:c r="Y126" s="73" t="str">
        <x:v>Arquitectura, dependencias y operación</x:v>
      </x:c>
      <x:c r="Z126" s="73"/>
      <x:c r="AA126" s="73" t="str">
        <x:v>Preliminar</x:v>
      </x:c>
      <x:c r="AB126" s="78" t="str">
        <x:v>Estimación técnica ISM · Validar</x:v>
      </x:c>
    </x:row>
    <x:row r="127">
      <x:c r="A127" s="77" t="str">
        <x:v>Mantenimiento y Evolución</x:v>
      </x:c>
      <x:c r="B127" s="73" t="str">
        <x:v>MNT-04</x:v>
      </x:c>
      <x:c r="C127" s="73" t="str">
        <x:v>Optimización de rendimiento</x:v>
      </x:c>
      <x:c r="D127" s="73" t="str">
        <x:v>03 · Consolidación digital</x:v>
      </x:c>
      <x:c r="E127" s="73" t="str">
        <x:v>Medición</x:v>
      </x:c>
      <x:c r="F127" s="73" t="str">
        <x:v>MNT4-001</x:v>
      </x:c>
      <x:c r="G127" s="73" t="str">
        <x:v>Definición de indicadores y objetivos</x:v>
      </x:c>
      <x:c r="H127" s="73" t="str">
        <x:v>Proyecto</x:v>
      </x:c>
      <x:c r="I127" s="85" t="n">
        <x:v>1</x:v>
      </x:c>
      <x:c r="J127" s="73" t="str">
        <x:v>Sí</x:v>
      </x:c>
      <x:c r="K127" s="73" t="str">
        <x:v>Sí</x:v>
      </x:c>
      <x:c r="L127" s="85" t="n">
        <x:v>1.5</x:v>
      </x:c>
      <x:c r="M127" s="85" t="str">
        <x:v>No</x:v>
      </x:c>
      <x:c r="N127" s="85" t="n">
        <x:v>1</x:v>
      </x:c>
      <x:c r="O127" s="85" t="n">
        <x:f>L127*N127</x:f>
        <x:v>1.5</x:v>
      </x:c>
      <x:c r="P127" s="85" t="str">
        <x:v>Media</x:v>
      </x:c>
      <x:c r="Q127" s="85" t="n">
        <x:v>1</x:v>
      </x:c>
      <x:c r="R127" s="85" t="n">
        <x:v>1.3</x:v>
      </x:c>
      <x:c r="S127" s="85" t="n">
        <x:v>1.55</x:v>
      </x:c>
      <x:c r="T127" s="85" t="n">
        <x:f>IF(J127="Sí",I127*O127*Q127,0)</x:f>
        <x:v>1.5</x:v>
      </x:c>
      <x:c r="U127" s="85" t="n">
        <x:f>IF(J127="Sí",I127*O127*R127,0)</x:f>
        <x:v>1.9500000000000002</x:v>
      </x:c>
      <x:c r="V127" s="85" t="n">
        <x:f>IF(J127="Sí",I127*O127*S127,0)</x:f>
        <x:v>2.325</x:v>
      </x:c>
      <x:c r="W127" s="73"/>
      <x:c r="X127" s="73" t="str">
        <x:v>Métricas objetivo</x:v>
      </x:c>
      <x:c r="Y127" s="73" t="str">
        <x:v>Tiempos, volumen y experiencia esperada</x:v>
      </x:c>
      <x:c r="Z127" s="73"/>
      <x:c r="AA127" s="73" t="str">
        <x:v>Preliminar</x:v>
      </x:c>
      <x:c r="AB127" s="78" t="str">
        <x:v>Estimación técnica ISM · Validar</x:v>
      </x:c>
    </x:row>
    <x:row r="128">
      <x:c r="A128" s="77" t="str">
        <x:v>Mantenimiento y Evolución</x:v>
      </x:c>
      <x:c r="B128" s="73" t="str">
        <x:v>MNT-04</x:v>
      </x:c>
      <x:c r="C128" s="73" t="str">
        <x:v>Optimización de rendimiento</x:v>
      </x:c>
      <x:c r="D128" s="73" t="str">
        <x:v>03 · Consolidación digital</x:v>
      </x:c>
      <x:c r="E128" s="73" t="str">
        <x:v>Medición</x:v>
      </x:c>
      <x:c r="F128" s="73" t="str">
        <x:v>MNT4-002</x:v>
      </x:c>
      <x:c r="G128" s="73" t="str">
        <x:v>Captura de línea base previa a la optimización</x:v>
      </x:c>
      <x:c r="H128" s="73" t="str">
        <x:v>Entorno</x:v>
      </x:c>
      <x:c r="I128" s="85" t="n">
        <x:v>1</x:v>
      </x:c>
      <x:c r="J128" s="73" t="str">
        <x:v>Sí</x:v>
      </x:c>
      <x:c r="K128" s="73" t="str">
        <x:v>Sí</x:v>
      </x:c>
      <x:c r="L128" s="85" t="n">
        <x:v>2.5</x:v>
      </x:c>
      <x:c r="M128" s="85" t="str">
        <x:v>No</x:v>
      </x:c>
      <x:c r="N128" s="85" t="n">
        <x:v>1</x:v>
      </x:c>
      <x:c r="O128" s="85" t="n">
        <x:f>L128*N128</x:f>
        <x:v>2.5</x:v>
      </x:c>
      <x:c r="P128" s="85" t="str">
        <x:v>Alta</x:v>
      </x:c>
      <x:c r="Q128" s="85" t="n">
        <x:v>1</x:v>
      </x:c>
      <x:c r="R128" s="85" t="n">
        <x:v>1.45</x:v>
      </x:c>
      <x:c r="S128" s="85" t="n">
        <x:v>1.8</x:v>
      </x:c>
      <x:c r="T128" s="85" t="n">
        <x:f>IF(J128="Sí",I128*O128*Q128,0)</x:f>
        <x:v>2.5</x:v>
      </x:c>
      <x:c r="U128" s="85" t="n">
        <x:f>IF(J128="Sí",I128*O128*R128,0)</x:f>
        <x:v>3.625</x:v>
      </x:c>
      <x:c r="V128" s="85" t="n">
        <x:f>IF(J128="Sí",I128*O128*S128,0)</x:f>
        <x:v>4.5</x:v>
      </x:c>
      <x:c r="W128" s="73" t="str">
        <x:v>MNT4-001</x:v>
      </x:c>
      <x:c r="X128" s="73" t="str">
        <x:v>Línea base</x:v>
      </x:c>
      <x:c r="Y128" s="73" t="str">
        <x:v>Medición inicial reproducible antes de realizar cambios.</x:v>
      </x:c>
      <x:c r="Z128" s="73" t="str">
        <x:v>La comparación final se contabiliza en MNT4-010.</x:v>
      </x:c>
      <x:c r="AA128" s="73" t="str">
        <x:v>Preliminar</x:v>
      </x:c>
      <x:c r="AB128" s="78" t="str">
        <x:v>Estimación técnica ISM · Validar</x:v>
      </x:c>
    </x:row>
    <x:row r="129">
      <x:c r="A129" s="77" t="str">
        <x:v>Mantenimiento y Evolución</x:v>
      </x:c>
      <x:c r="B129" s="73" t="str">
        <x:v>MNT-04</x:v>
      </x:c>
      <x:c r="C129" s="73" t="str">
        <x:v>Optimización de rendimiento</x:v>
      </x:c>
      <x:c r="D129" s="73" t="str">
        <x:v>03 · Consolidación digital</x:v>
      </x:c>
      <x:c r="E129" s="73" t="str">
        <x:v>Diagnóstico</x:v>
      </x:c>
      <x:c r="F129" s="73" t="str">
        <x:v>MNT4-003</x:v>
      </x:c>
      <x:c r="G129" s="73" t="str">
        <x:v>Perfilamiento de frontend</x:v>
      </x:c>
      <x:c r="H129" s="73" t="str">
        <x:v>Proyecto</x:v>
      </x:c>
      <x:c r="I129" s="85" t="n">
        <x:v>1</x:v>
      </x:c>
      <x:c r="J129" s="73" t="str">
        <x:v>Sí</x:v>
      </x:c>
      <x:c r="K129" s="73" t="str">
        <x:v>No</x:v>
      </x:c>
      <x:c r="L129" s="85" t="n">
        <x:v>2.5</x:v>
      </x:c>
      <x:c r="M129" s="85" t="str">
        <x:v>No</x:v>
      </x:c>
      <x:c r="N129" s="85" t="n">
        <x:v>1</x:v>
      </x:c>
      <x:c r="O129" s="85" t="n">
        <x:f>L129*N129</x:f>
        <x:v>2.5</x:v>
      </x:c>
      <x:c r="P129" s="85" t="str">
        <x:v>Alta</x:v>
      </x:c>
      <x:c r="Q129" s="85" t="n">
        <x:v>1</x:v>
      </x:c>
      <x:c r="R129" s="85" t="n">
        <x:v>1.45</x:v>
      </x:c>
      <x:c r="S129" s="85" t="n">
        <x:v>1.8</x:v>
      </x:c>
      <x:c r="T129" s="85" t="n">
        <x:f>IF(J129="Sí",I129*O129*Q129,0)</x:f>
        <x:v>2.5</x:v>
      </x:c>
      <x:c r="U129" s="85" t="n">
        <x:f>IF(J129="Sí",I129*O129*R129,0)</x:f>
        <x:v>3.625</x:v>
      </x:c>
      <x:c r="V129" s="85" t="n">
        <x:f>IF(J129="Sí",I129*O129*S129,0)</x:f>
        <x:v>4.5</x:v>
      </x:c>
      <x:c r="W129" s="73" t="str">
        <x:v>MNT4-002</x:v>
      </x:c>
      <x:c r="X129" s="73" t="str">
        <x:v>Hallazgos frontend</x:v>
      </x:c>
      <x:c r="Y129" s="73" t="str">
        <x:v>Carga, renderizado, recursos y red</x:v>
      </x:c>
      <x:c r="Z129" s="73"/>
      <x:c r="AA129" s="73" t="str">
        <x:v>Preliminar</x:v>
      </x:c>
      <x:c r="AB129" s="78" t="str">
        <x:v>Estimación técnica ISM · Validar</x:v>
      </x:c>
    </x:row>
    <x:row r="130">
      <x:c r="A130" s="77" t="str">
        <x:v>Mantenimiento y Evolución</x:v>
      </x:c>
      <x:c r="B130" s="73" t="str">
        <x:v>MNT-04</x:v>
      </x:c>
      <x:c r="C130" s="73" t="str">
        <x:v>Optimización de rendimiento</x:v>
      </x:c>
      <x:c r="D130" s="73" t="str">
        <x:v>03 · Consolidación digital</x:v>
      </x:c>
      <x:c r="E130" s="73" t="str">
        <x:v>Diagnóstico</x:v>
      </x:c>
      <x:c r="F130" s="73" t="str">
        <x:v>MNT4-004</x:v>
      </x:c>
      <x:c r="G130" s="73" t="str">
        <x:v>Perfilamiento de backend y consultas</x:v>
      </x:c>
      <x:c r="H130" s="73" t="str">
        <x:v>Proyecto</x:v>
      </x:c>
      <x:c r="I130" s="85" t="n">
        <x:v>1</x:v>
      </x:c>
      <x:c r="J130" s="73" t="str">
        <x:v>Sí</x:v>
      </x:c>
      <x:c r="K130" s="73" t="str">
        <x:v>No</x:v>
      </x:c>
      <x:c r="L130" s="85" t="n">
        <x:v>3</x:v>
      </x:c>
      <x:c r="M130" s="85" t="str">
        <x:v>No</x:v>
      </x:c>
      <x:c r="N130" s="85" t="n">
        <x:v>1</x:v>
      </x:c>
      <x:c r="O130" s="85" t="n">
        <x:f>L130*N130</x:f>
        <x:v>3</x:v>
      </x:c>
      <x:c r="P130" s="85" t="str">
        <x:v>Alta</x:v>
      </x:c>
      <x:c r="Q130" s="85" t="n">
        <x:v>1</x:v>
      </x:c>
      <x:c r="R130" s="85" t="n">
        <x:v>1.45</x:v>
      </x:c>
      <x:c r="S130" s="85" t="n">
        <x:v>1.8</x:v>
      </x:c>
      <x:c r="T130" s="85" t="n">
        <x:f>IF(J130="Sí",I130*O130*Q130,0)</x:f>
        <x:v>3</x:v>
      </x:c>
      <x:c r="U130" s="85" t="n">
        <x:f>IF(J130="Sí",I130*O130*R130,0)</x:f>
        <x:v>4.35</x:v>
      </x:c>
      <x:c r="V130" s="85" t="n">
        <x:f>IF(J130="Sí",I130*O130*S130,0)</x:f>
        <x:v>5.4</x:v>
      </x:c>
      <x:c r="W130" s="73" t="str">
        <x:v>MNT4-002</x:v>
      </x:c>
      <x:c r="X130" s="73" t="str">
        <x:v>Hallazgos backend</x:v>
      </x:c>
      <x:c r="Y130" s="73" t="str">
        <x:v>Tiempos, consultas, bloqueos y recursos</x:v>
      </x:c>
      <x:c r="Z130" s="73"/>
      <x:c r="AA130" s="73" t="str">
        <x:v>Preliminar</x:v>
      </x:c>
      <x:c r="AB130" s="78" t="str">
        <x:v>Estimación técnica ISM · Validar</x:v>
      </x:c>
    </x:row>
    <x:row r="131">
      <x:c r="A131" s="77" t="str">
        <x:v>Mantenimiento y Evolución</x:v>
      </x:c>
      <x:c r="B131" s="73" t="str">
        <x:v>MNT-04</x:v>
      </x:c>
      <x:c r="C131" s="73" t="str">
        <x:v>Optimización de rendimiento</x:v>
      </x:c>
      <x:c r="D131" s="73" t="str">
        <x:v>03 · Consolidación digital</x:v>
      </x:c>
      <x:c r="E131" s="73" t="str">
        <x:v>Optimización</x:v>
      </x:c>
      <x:c r="F131" s="73" t="str">
        <x:v>MNT4-005</x:v>
      </x:c>
      <x:c r="G131" s="73" t="str">
        <x:v>Optimización de recursos frontend</x:v>
      </x:c>
      <x:c r="H131" s="73" t="str">
        <x:v>Proyecto</x:v>
      </x:c>
      <x:c r="I131" s="85" t="n">
        <x:v>1</x:v>
      </x:c>
      <x:c r="J131" s="73" t="str">
        <x:v>Sí</x:v>
      </x:c>
      <x:c r="K131" s="73" t="str">
        <x:v>No</x:v>
      </x:c>
      <x:c r="L131" s="85" t="n">
        <x:v>3</x:v>
      </x:c>
      <x:c r="M131" s="85" t="str">
        <x:v>Parcial</x:v>
      </x:c>
      <x:c r="N131" s="85" t="n">
        <x:v>0.85</x:v>
      </x:c>
      <x:c r="O131" s="85" t="n">
        <x:f>L131*N131</x:f>
        <x:v>2.55</x:v>
      </x:c>
      <x:c r="P131" s="85" t="str">
        <x:v>Alta</x:v>
      </x:c>
      <x:c r="Q131" s="85" t="n">
        <x:v>1</x:v>
      </x:c>
      <x:c r="R131" s="85" t="n">
        <x:v>1.45</x:v>
      </x:c>
      <x:c r="S131" s="85" t="n">
        <x:v>1.8</x:v>
      </x:c>
      <x:c r="T131" s="85" t="n">
        <x:f>IF(J131="Sí",I131*O131*Q131,0)</x:f>
        <x:v>2.55</x:v>
      </x:c>
      <x:c r="U131" s="85" t="n">
        <x:f>IF(J131="Sí",I131*O131*R131,0)</x:f>
        <x:v>3.6975</x:v>
      </x:c>
      <x:c r="V131" s="85" t="n">
        <x:f>IF(J131="Sí",I131*O131*S131,0)</x:f>
        <x:v>4.59</x:v>
      </x:c>
      <x:c r="W131" s="73" t="str">
        <x:v>MNT4-003</x:v>
      </x:c>
      <x:c r="X131" s="73" t="str">
        <x:v>Frontend optimizado</x:v>
      </x:c>
      <x:c r="Y131" s="73" t="str">
        <x:v>Imágenes, carga diferida y empaquetado</x:v>
      </x:c>
      <x:c r="Z131" s="73"/>
      <x:c r="AA131" s="73" t="str">
        <x:v>Preliminar</x:v>
      </x:c>
      <x:c r="AB131" s="78" t="str">
        <x:v>Estimación técnica ISM · Validar</x:v>
      </x:c>
    </x:row>
    <x:row r="132">
      <x:c r="A132" s="77" t="str">
        <x:v>Mantenimiento y Evolución</x:v>
      </x:c>
      <x:c r="B132" s="73" t="str">
        <x:v>MNT-04</x:v>
      </x:c>
      <x:c r="C132" s="73" t="str">
        <x:v>Optimización de rendimiento</x:v>
      </x:c>
      <x:c r="D132" s="73" t="str">
        <x:v>03 · Consolidación digital</x:v>
      </x:c>
      <x:c r="E132" s="73" t="str">
        <x:v>Optimización</x:v>
      </x:c>
      <x:c r="F132" s="73" t="str">
        <x:v>MNT4-006</x:v>
      </x:c>
      <x:c r="G132" s="73" t="str">
        <x:v>Optimización de consulta o endpoint</x:v>
      </x:c>
      <x:c r="H132" s="73" t="str">
        <x:v>Consulta</x:v>
      </x:c>
      <x:c r="I132" s="85" t="n">
        <x:v>3</x:v>
      </x:c>
      <x:c r="J132" s="73" t="str">
        <x:v>Sí</x:v>
      </x:c>
      <x:c r="K132" s="73" t="str">
        <x:v>No</x:v>
      </x:c>
      <x:c r="L132" s="85" t="n">
        <x:v>1.5</x:v>
      </x:c>
      <x:c r="M132" s="85" t="str">
        <x:v>No</x:v>
      </x:c>
      <x:c r="N132" s="85" t="n">
        <x:v>1</x:v>
      </x:c>
      <x:c r="O132" s="85" t="n">
        <x:f>L132*N132</x:f>
        <x:v>1.5</x:v>
      </x:c>
      <x:c r="P132" s="85" t="str">
        <x:v>Alta</x:v>
      </x:c>
      <x:c r="Q132" s="85" t="n">
        <x:v>1</x:v>
      </x:c>
      <x:c r="R132" s="85" t="n">
        <x:v>1.45</x:v>
      </x:c>
      <x:c r="S132" s="85" t="n">
        <x:v>1.8</x:v>
      </x:c>
      <x:c r="T132" s="85" t="n">
        <x:f>IF(J132="Sí",I132*O132*Q132,0)</x:f>
        <x:v>4.5</x:v>
      </x:c>
      <x:c r="U132" s="85" t="n">
        <x:f>IF(J132="Sí",I132*O132*R132,0)</x:f>
        <x:v>6.5249999999999995</x:v>
      </x:c>
      <x:c r="V132" s="85" t="n">
        <x:f>IF(J132="Sí",I132*O132*S132,0)</x:f>
        <x:v>8.1</x:v>
      </x:c>
      <x:c r="W132" s="73" t="str">
        <x:v>MNT4-004</x:v>
      </x:c>
      <x:c r="X132" s="73" t="str">
        <x:v>Consultas optimizadas</x:v>
      </x:c>
      <x:c r="Y132" s="73" t="str">
        <x:v>Índices, filtros, caché o reescritura</x:v>
      </x:c>
      <x:c r="Z132" s="73"/>
      <x:c r="AA132" s="73" t="str">
        <x:v>Preliminar</x:v>
      </x:c>
      <x:c r="AB132" s="78" t="str">
        <x:v>Estimación técnica ISM · Validar</x:v>
      </x:c>
    </x:row>
    <x:row r="133">
      <x:c r="A133" s="77" t="str">
        <x:v>Mantenimiento y Evolución</x:v>
      </x:c>
      <x:c r="B133" s="73" t="str">
        <x:v>MNT-04</x:v>
      </x:c>
      <x:c r="C133" s="73" t="str">
        <x:v>Optimización de rendimiento</x:v>
      </x:c>
      <x:c r="D133" s="73" t="str">
        <x:v>03 · Consolidación digital</x:v>
      </x:c>
      <x:c r="E133" s="73" t="str">
        <x:v>Optimización</x:v>
      </x:c>
      <x:c r="F133" s="73" t="str">
        <x:v>MNT4-007</x:v>
      </x:c>
      <x:c r="G133" s="73" t="str">
        <x:v>Configuración de caché</x:v>
      </x:c>
      <x:c r="H133" s="73" t="str">
        <x:v>Capa</x:v>
      </x:c>
      <x:c r="I133" s="85" t="n">
        <x:v>1</x:v>
      </x:c>
      <x:c r="J133" s="73" t="str">
        <x:v>No</x:v>
      </x:c>
      <x:c r="K133" s="73" t="str">
        <x:v>No</x:v>
      </x:c>
      <x:c r="L133" s="85" t="n">
        <x:v>2.5</x:v>
      </x:c>
      <x:c r="M133" s="85" t="str">
        <x:v>Parcial</x:v>
      </x:c>
      <x:c r="N133" s="85" t="n">
        <x:v>0.9</x:v>
      </x:c>
      <x:c r="O133" s="85" t="n">
        <x:f>L133*N133</x:f>
        <x:v>2.25</x:v>
      </x:c>
      <x:c r="P133" s="85" t="str">
        <x:v>Alta</x:v>
      </x:c>
      <x:c r="Q133" s="85" t="n">
        <x:v>1</x:v>
      </x:c>
      <x:c r="R133" s="85" t="n">
        <x:v>1.45</x:v>
      </x:c>
      <x:c r="S133" s="85" t="n">
        <x:v>1.8</x:v>
      </x:c>
      <x:c r="T133" s="85" t="n">
        <x:f>IF(J133="Sí",I133*O133*Q133,0)</x:f>
        <x:v>0</x:v>
      </x:c>
      <x:c r="U133" s="85" t="n">
        <x:f>IF(J133="Sí",I133*O133*R133,0)</x:f>
        <x:v>0</x:v>
      </x:c>
      <x:c r="V133" s="85" t="n">
        <x:f>IF(J133="Sí",I133*O133*S133,0)</x:f>
        <x:v>0</x:v>
      </x:c>
      <x:c r="W133" s="73"/>
      <x:c r="X133" s="73" t="str">
        <x:v>Caché operativa</x:v>
      </x:c>
      <x:c r="Y133" s="73" t="str">
        <x:v>Política, expiración e invalidación</x:v>
      </x:c>
      <x:c r="Z133" s="73"/>
      <x:c r="AA133" s="73" t="str">
        <x:v>Preliminar</x:v>
      </x:c>
      <x:c r="AB133" s="78" t="str">
        <x:v>Estimación técnica ISM · Validar</x:v>
      </x:c>
    </x:row>
    <x:row r="134">
      <x:c r="A134" s="77" t="str">
        <x:v>Mantenimiento y Evolución</x:v>
      </x:c>
      <x:c r="B134" s="73" t="str">
        <x:v>MNT-04</x:v>
      </x:c>
      <x:c r="C134" s="73" t="str">
        <x:v>Optimización de rendimiento</x:v>
      </x:c>
      <x:c r="D134" s="73" t="str">
        <x:v>03 · Consolidación digital</x:v>
      </x:c>
      <x:c r="E134" s="73" t="str">
        <x:v>Optimización</x:v>
      </x:c>
      <x:c r="F134" s="73" t="str">
        <x:v>MNT4-008</x:v>
      </x:c>
      <x:c r="G134" s="73" t="str">
        <x:v>Paginación y reducción de volumen</x:v>
      </x:c>
      <x:c r="H134" s="73" t="str">
        <x:v>Flujo</x:v>
      </x:c>
      <x:c r="I134" s="85" t="n">
        <x:v>1</x:v>
      </x:c>
      <x:c r="J134" s="73" t="str">
        <x:v>No</x:v>
      </x:c>
      <x:c r="K134" s="73" t="str">
        <x:v>No</x:v>
      </x:c>
      <x:c r="L134" s="85" t="n">
        <x:v>2</x:v>
      </x:c>
      <x:c r="M134" s="85" t="str">
        <x:v>Parcial</x:v>
      </x:c>
      <x:c r="N134" s="85" t="n">
        <x:v>0.9</x:v>
      </x:c>
      <x:c r="O134" s="85" t="n">
        <x:f>L134*N134</x:f>
        <x:v>1.8</x:v>
      </x:c>
      <x:c r="P134" s="85" t="str">
        <x:v>Alta</x:v>
      </x:c>
      <x:c r="Q134" s="85" t="n">
        <x:v>1</x:v>
      </x:c>
      <x:c r="R134" s="85" t="n">
        <x:v>1.45</x:v>
      </x:c>
      <x:c r="S134" s="85" t="n">
        <x:v>1.8</x:v>
      </x:c>
      <x:c r="T134" s="85" t="n">
        <x:f>IF(J134="Sí",I134*O134*Q134,0)</x:f>
        <x:v>0</x:v>
      </x:c>
      <x:c r="U134" s="85" t="n">
        <x:f>IF(J134="Sí",I134*O134*R134,0)</x:f>
        <x:v>0</x:v>
      </x:c>
      <x:c r="V134" s="85" t="n">
        <x:f>IF(J134="Sí",I134*O134*S134,0)</x:f>
        <x:v>0</x:v>
      </x:c>
      <x:c r="W134" s="73"/>
      <x:c r="X134" s="73" t="str">
        <x:v>Flujo optimizado</x:v>
      </x:c>
      <x:c r="Y134" s="73" t="str">
        <x:v>Carga incremental y límites</x:v>
      </x:c>
      <x:c r="Z134" s="73"/>
      <x:c r="AA134" s="73" t="str">
        <x:v>Preliminar</x:v>
      </x:c>
      <x:c r="AB134" s="78" t="str">
        <x:v>Estimación técnica ISM · Validar</x:v>
      </x:c>
    </x:row>
    <x:row r="135">
      <x:c r="A135" s="77" t="str">
        <x:v>Mantenimiento y Evolución</x:v>
      </x:c>
      <x:c r="B135" s="73" t="str">
        <x:v>MNT-04</x:v>
      </x:c>
      <x:c r="C135" s="73" t="str">
        <x:v>Optimización de rendimiento</x:v>
      </x:c>
      <x:c r="D135" s="73" t="str">
        <x:v>03 · Consolidación digital</x:v>
      </x:c>
      <x:c r="E135" s="73" t="str">
        <x:v>Validación</x:v>
      </x:c>
      <x:c r="F135" s="73" t="str">
        <x:v>MNT4-009</x:v>
      </x:c>
      <x:c r="G135" s="73" t="str">
        <x:v>Prueba de carga controlada</x:v>
      </x:c>
      <x:c r="H135" s="73" t="str">
        <x:v>Prueba</x:v>
      </x:c>
      <x:c r="I135" s="85" t="n">
        <x:v>1</x:v>
      </x:c>
      <x:c r="J135" s="73" t="str">
        <x:v>No</x:v>
      </x:c>
      <x:c r="K135" s="73" t="str">
        <x:v>No</x:v>
      </x:c>
      <x:c r="L135" s="85" t="n">
        <x:v>3</x:v>
      </x:c>
      <x:c r="M135" s="85" t="str">
        <x:v>No</x:v>
      </x:c>
      <x:c r="N135" s="85" t="n">
        <x:v>1</x:v>
      </x:c>
      <x:c r="O135" s="85" t="n">
        <x:f>L135*N135</x:f>
        <x:v>3</x:v>
      </x:c>
      <x:c r="P135" s="85" t="str">
        <x:v>Alta</x:v>
      </x:c>
      <x:c r="Q135" s="85" t="n">
        <x:v>1</x:v>
      </x:c>
      <x:c r="R135" s="85" t="n">
        <x:v>1.45</x:v>
      </x:c>
      <x:c r="S135" s="85" t="n">
        <x:v>1.8</x:v>
      </x:c>
      <x:c r="T135" s="85" t="n">
        <x:f>IF(J135="Sí",I135*O135*Q135,0)</x:f>
        <x:v>0</x:v>
      </x:c>
      <x:c r="U135" s="85" t="n">
        <x:f>IF(J135="Sí",I135*O135*R135,0)</x:f>
        <x:v>0</x:v>
      </x:c>
      <x:c r="V135" s="85" t="n">
        <x:f>IF(J135="Sí",I135*O135*S135,0)</x:f>
        <x:v>0</x:v>
      </x:c>
      <x:c r="W135" s="73"/>
      <x:c r="X135" s="73" t="str">
        <x:v>Resultado de carga</x:v>
      </x:c>
      <x:c r="Y135" s="73" t="str">
        <x:v>Volumen y concurrencia acordados</x:v>
      </x:c>
      <x:c r="Z135" s="73" t="str">
        <x:v>Pruebas de estrés masivas</x:v>
      </x:c>
      <x:c r="AA135" s="73" t="str">
        <x:v>Preliminar</x:v>
      </x:c>
      <x:c r="AB135" s="78" t="str">
        <x:v>Estimación técnica ISM · Validar</x:v>
      </x:c>
    </x:row>
    <x:row r="136">
      <x:c r="A136" s="77" t="str">
        <x:v>Mantenimiento y Evolución</x:v>
      </x:c>
      <x:c r="B136" s="73" t="str">
        <x:v>MNT-04</x:v>
      </x:c>
      <x:c r="C136" s="73" t="str">
        <x:v>Optimización de rendimiento</x:v>
      </x:c>
      <x:c r="D136" s="73" t="str">
        <x:v>03 · Consolidación digital</x:v>
      </x:c>
      <x:c r="E136" s="73" t="str">
        <x:v>Validación</x:v>
      </x:c>
      <x:c r="F136" s="73" t="str">
        <x:v>MNT4-010</x:v>
      </x:c>
      <x:c r="G136" s="73" t="str">
        <x:v>Medición final y comparación antes/después</x:v>
      </x:c>
      <x:c r="H136" s="73" t="str">
        <x:v>Proyecto</x:v>
      </x:c>
      <x:c r="I136" s="85" t="n">
        <x:v>1</x:v>
      </x:c>
      <x:c r="J136" s="73" t="str">
        <x:v>Sí</x:v>
      </x:c>
      <x:c r="K136" s="73" t="str">
        <x:v>Sí</x:v>
      </x:c>
      <x:c r="L136" s="85" t="n">
        <x:v>2</x:v>
      </x:c>
      <x:c r="M136" s="85" t="str">
        <x:v>No</x:v>
      </x:c>
      <x:c r="N136" s="85" t="n">
        <x:v>1</x:v>
      </x:c>
      <x:c r="O136" s="85" t="n">
        <x:f>L136*N136</x:f>
        <x:v>2</x:v>
      </x:c>
      <x:c r="P136" s="85" t="str">
        <x:v>Media</x:v>
      </x:c>
      <x:c r="Q136" s="85" t="n">
        <x:v>1</x:v>
      </x:c>
      <x:c r="R136" s="85" t="n">
        <x:v>1.3</x:v>
      </x:c>
      <x:c r="S136" s="85" t="n">
        <x:v>1.55</x:v>
      </x:c>
      <x:c r="T136" s="85" t="n">
        <x:f>IF(J136="Sí",I136*O136*Q136,0)</x:f>
        <x:v>2</x:v>
      </x:c>
      <x:c r="U136" s="85" t="n">
        <x:f>IF(J136="Sí",I136*O136*R136,0)</x:f>
        <x:v>2.6</x:v>
      </x:c>
      <x:c r="V136" s="85" t="n">
        <x:f>IF(J136="Sí",I136*O136*S136,0)</x:f>
        <x:v>3.1</x:v>
      </x:c>
      <x:c r="W136" s="73" t="str">
        <x:v>MNT4-002</x:v>
      </x:c>
      <x:c r="X136" s="73" t="str">
        <x:v>Informe comparativo</x:v>
      </x:c>
      <x:c r="Y136" s="73" t="str">
        <x:v>Repetición de la medición inicial y comparación documentada de resultados.</x:v>
      </x:c>
      <x:c r="Z136" s="73" t="str">
        <x:v>No vuelve a incluir la captura inicial de MNT4-002.</x:v>
      </x:c>
      <x:c r="AA136" s="73" t="str">
        <x:v>Preliminar</x:v>
      </x:c>
      <x:c r="AB136" s="78" t="str">
        <x:v>Estimación técnica ISM · Validar</x:v>
      </x:c>
    </x:row>
    <x:row r="137">
      <x:c r="A137" s="77" t="str">
        <x:v>Mantenimiento y Evolución</x:v>
      </x:c>
      <x:c r="B137" s="73" t="str">
        <x:v>MNT-04</x:v>
      </x:c>
      <x:c r="C137" s="73" t="str">
        <x:v>Optimización de rendimiento</x:v>
      </x:c>
      <x:c r="D137" s="73" t="str">
        <x:v>03 · Consolidación digital</x:v>
      </x:c>
      <x:c r="E137" s="73" t="str">
        <x:v>Despliegue</x:v>
      </x:c>
      <x:c r="F137" s="73" t="str">
        <x:v>MNT4-011</x:v>
      </x:c>
      <x:c r="G137" s="73" t="str">
        <x:v>Despliegue y monitoreo posterior</x:v>
      </x:c>
      <x:c r="H137" s="73" t="str">
        <x:v>Entorno</x:v>
      </x:c>
      <x:c r="I137" s="85" t="n">
        <x:v>1</x:v>
      </x:c>
      <x:c r="J137" s="73" t="str">
        <x:v>Sí</x:v>
      </x:c>
      <x:c r="K137" s="73" t="str">
        <x:v>Sí</x:v>
      </x:c>
      <x:c r="L137" s="85" t="n">
        <x:v>2</x:v>
      </x:c>
      <x:c r="M137" s="85" t="str">
        <x:v>No</x:v>
      </x:c>
      <x:c r="N137" s="85" t="n">
        <x:v>1</x:v>
      </x:c>
      <x:c r="O137" s="85" t="n">
        <x:f>L137*N137</x:f>
        <x:v>2</x:v>
      </x:c>
      <x:c r="P137" s="85" t="str">
        <x:v>Alta</x:v>
      </x:c>
      <x:c r="Q137" s="85" t="n">
        <x:v>1</x:v>
      </x:c>
      <x:c r="R137" s="85" t="n">
        <x:v>1.45</x:v>
      </x:c>
      <x:c r="S137" s="85" t="n">
        <x:v>1.8</x:v>
      </x:c>
      <x:c r="T137" s="85" t="n">
        <x:f>IF(J137="Sí",I137*O137*Q137,0)</x:f>
        <x:v>2</x:v>
      </x:c>
      <x:c r="U137" s="85" t="n">
        <x:f>IF(J137="Sí",I137*O137*R137,0)</x:f>
        <x:v>2.9</x:v>
      </x:c>
      <x:c r="V137" s="85" t="n">
        <x:f>IF(J137="Sí",I137*O137*S137,0)</x:f>
        <x:v>3.6</x:v>
      </x:c>
      <x:c r="W137" s="73"/>
      <x:c r="X137" s="73" t="str">
        <x:v>Cambio estabilizado</x:v>
      </x:c>
      <x:c r="Y137" s="73" t="str">
        <x:v>Despliegue, métricas y seguimiento</x:v>
      </x:c>
      <x:c r="Z137" s="73"/>
      <x:c r="AA137" s="73" t="str">
        <x:v>Preliminar</x:v>
      </x:c>
      <x:c r="AB137" s="78" t="str">
        <x:v>Estimación técnica ISM · Validar</x:v>
      </x:c>
    </x:row>
    <x:row r="138">
      <x:c r="A138" s="77" t="str">
        <x:v>Mantenimiento y Evolución</x:v>
      </x:c>
      <x:c r="B138" s="73" t="str">
        <x:v>MNT-04</x:v>
      </x:c>
      <x:c r="C138" s="73" t="str">
        <x:v>Optimización de rendimiento</x:v>
      </x:c>
      <x:c r="D138" s="73" t="str">
        <x:v>03 · Consolidación digital</x:v>
      </x:c>
      <x:c r="E138" s="73" t="str">
        <x:v>Cierre</x:v>
      </x:c>
      <x:c r="F138" s="73" t="str">
        <x:v>MNT4-012</x:v>
      </x:c>
      <x:c r="G138" s="73" t="str">
        <x:v>Documentación de optimizaciones</x:v>
      </x:c>
      <x:c r="H138" s="73" t="str">
        <x:v>Proyecto</x:v>
      </x:c>
      <x:c r="I138" s="85" t="n">
        <x:v>1</x:v>
      </x:c>
      <x:c r="J138" s="73" t="str">
        <x:v>Sí</x:v>
      </x:c>
      <x:c r="K138" s="73" t="str">
        <x:v>Sí</x:v>
      </x:c>
      <x:c r="L138" s="85" t="n">
        <x:v>1</x:v>
      </x:c>
      <x:c r="M138" s="85" t="str">
        <x:v>No</x:v>
      </x:c>
      <x:c r="N138" s="85" t="n">
        <x:v>1</x:v>
      </x:c>
      <x:c r="O138" s="85" t="n">
        <x:f>L138*N138</x:f>
        <x:v>1</x:v>
      </x:c>
      <x:c r="P138" s="85" t="str">
        <x:v>Baja</x:v>
      </x:c>
      <x:c r="Q138" s="85" t="n">
        <x:v>1</x:v>
      </x:c>
      <x:c r="R138" s="85" t="n">
        <x:v>1.15</x:v>
      </x:c>
      <x:c r="S138" s="85" t="n">
        <x:v>1.3</x:v>
      </x:c>
      <x:c r="T138" s="85" t="n">
        <x:f>IF(J138="Sí",I138*O138*Q138,0)</x:f>
        <x:v>1</x:v>
      </x:c>
      <x:c r="U138" s="85" t="n">
        <x:f>IF(J138="Sí",I138*O138*R138,0)</x:f>
        <x:v>1.15</x:v>
      </x:c>
      <x:c r="V138" s="85" t="n">
        <x:f>IF(J138="Sí",I138*O138*S138,0)</x:f>
        <x:v>1.3</x:v>
      </x:c>
      <x:c r="W138" s="73"/>
      <x:c r="X138" s="73" t="str">
        <x:v>Registro técnico</x:v>
      </x:c>
      <x:c r="Y138" s="73" t="str">
        <x:v>Cambios, resultados y próximos pasos</x:v>
      </x:c>
      <x:c r="Z138" s="73"/>
      <x:c r="AA138" s="73" t="str">
        <x:v>Preliminar</x:v>
      </x:c>
      <x:c r="AB138" s="78" t="str">
        <x:v>Estimación técnica ISM · Validar</x:v>
      </x:c>
    </x:row>
    <x:row r="139">
      <x:c r="A139" s="77" t="str">
        <x:v>Monitoreo y Observabilidad</x:v>
      </x:c>
      <x:c r="B139" s="73" t="str">
        <x:v>MON-01</x:v>
      </x:c>
      <x:c r="C139" s="73" t="str">
        <x:v>Monitoreo de disponibilidad</x:v>
      </x:c>
      <x:c r="D139" s="73" t="str">
        <x:v>03 · Consolidación digital</x:v>
      </x:c>
      <x:c r="E139" s="73" t="str">
        <x:v>Diagnóstico</x:v>
      </x:c>
      <x:c r="F139" s="73" t="str">
        <x:v>MON1-001</x:v>
      </x:c>
      <x:c r="G139" s="73" t="str">
        <x:v>Inventario de servicios y endpoints</x:v>
      </x:c>
      <x:c r="H139" s="73" t="str">
        <x:v>Servicio</x:v>
      </x:c>
      <x:c r="I139" s="85" t="n">
        <x:v>3</x:v>
      </x:c>
      <x:c r="J139" s="73" t="str">
        <x:v>Sí</x:v>
      </x:c>
      <x:c r="K139" s="73" t="str">
        <x:v>Sí</x:v>
      </x:c>
      <x:c r="L139" s="85" t="n">
        <x:v>0.75</x:v>
      </x:c>
      <x:c r="M139" s="85" t="str">
        <x:v>Parcial</x:v>
      </x:c>
      <x:c r="N139" s="85" t="n">
        <x:v>0.85</x:v>
      </x:c>
      <x:c r="O139" s="85" t="n">
        <x:f>L139*N139</x:f>
        <x:v>0.6375</x:v>
      </x:c>
      <x:c r="P139" s="85" t="str">
        <x:v>Media</x:v>
      </x:c>
      <x:c r="Q139" s="85" t="n">
        <x:v>1</x:v>
      </x:c>
      <x:c r="R139" s="85" t="n">
        <x:v>1.3</x:v>
      </x:c>
      <x:c r="S139" s="85" t="n">
        <x:v>1.55</x:v>
      </x:c>
      <x:c r="T139" s="85" t="n">
        <x:f>IF(J139="Sí",I139*O139*Q139,0)</x:f>
        <x:v>1.9124999999999999</x:v>
      </x:c>
      <x:c r="U139" s="85" t="n">
        <x:f>IF(J139="Sí",I139*O139*R139,0)</x:f>
        <x:v>2.48625</x:v>
      </x:c>
      <x:c r="V139" s="85" t="n">
        <x:f>IF(J139="Sí",I139*O139*S139,0)</x:f>
        <x:v>2.964375</x:v>
      </x:c>
      <x:c r="W139" s="73"/>
      <x:c r="X139" s="73" t="str">
        <x:v>Inventario monitoreable</x:v>
      </x:c>
      <x:c r="Y139" s="73" t="str">
        <x:v>URLs, APIs, jobs y dependencias</x:v>
      </x:c>
      <x:c r="Z139" s="73"/>
      <x:c r="AA139" s="73" t="str">
        <x:v>Preliminar</x:v>
      </x:c>
      <x:c r="AB139" s="78" t="str">
        <x:v>Estimación técnica ISM · Validar</x:v>
      </x:c>
    </x:row>
    <x:row r="140">
      <x:c r="A140" s="77" t="str">
        <x:v>Monitoreo y Observabilidad</x:v>
      </x:c>
      <x:c r="B140" s="73" t="str">
        <x:v>MON-01</x:v>
      </x:c>
      <x:c r="C140" s="73" t="str">
        <x:v>Monitoreo de disponibilidad</x:v>
      </x:c>
      <x:c r="D140" s="73" t="str">
        <x:v>03 · Consolidación digital</x:v>
      </x:c>
      <x:c r="E140" s="73" t="str">
        <x:v>Diseño</x:v>
      </x:c>
      <x:c r="F140" s="73" t="str">
        <x:v>MON1-002</x:v>
      </x:c>
      <x:c r="G140" s="73" t="str">
        <x:v>Definición de indicadores de disponibilidad</x:v>
      </x:c>
      <x:c r="H140" s="73" t="str">
        <x:v>Servicio</x:v>
      </x:c>
      <x:c r="I140" s="85" t="n">
        <x:v>3</x:v>
      </x:c>
      <x:c r="J140" s="73" t="str">
        <x:v>Sí</x:v>
      </x:c>
      <x:c r="K140" s="73" t="str">
        <x:v>Sí</x:v>
      </x:c>
      <x:c r="L140" s="85" t="n">
        <x:v>0.75</x:v>
      </x:c>
      <x:c r="M140" s="85" t="str">
        <x:v>Parcial</x:v>
      </x:c>
      <x:c r="N140" s="85" t="n">
        <x:v>0.85</x:v>
      </x:c>
      <x:c r="O140" s="85" t="n">
        <x:f>L140*N140</x:f>
        <x:v>0.6375</x:v>
      </x:c>
      <x:c r="P140" s="85" t="str">
        <x:v>Media</x:v>
      </x:c>
      <x:c r="Q140" s="85" t="n">
        <x:v>1</x:v>
      </x:c>
      <x:c r="R140" s="85" t="n">
        <x:v>1.3</x:v>
      </x:c>
      <x:c r="S140" s="85" t="n">
        <x:v>1.55</x:v>
      </x:c>
      <x:c r="T140" s="85" t="n">
        <x:f>IF(J140="Sí",I140*O140*Q140,0)</x:f>
        <x:v>1.9124999999999999</x:v>
      </x:c>
      <x:c r="U140" s="85" t="n">
        <x:f>IF(J140="Sí",I140*O140*R140,0)</x:f>
        <x:v>2.48625</x:v>
      </x:c>
      <x:c r="V140" s="85" t="n">
        <x:f>IF(J140="Sí",I140*O140*S140,0)</x:f>
        <x:v>2.964375</x:v>
      </x:c>
      <x:c r="W140" s="73"/>
      <x:c r="X140" s="73" t="str">
        <x:v>Matriz de indicadores</x:v>
      </x:c>
      <x:c r="Y140" s="73" t="str">
        <x:v>Estado, latencia, código y contenido esperado</x:v>
      </x:c>
      <x:c r="Z140" s="73"/>
      <x:c r="AA140" s="73" t="str">
        <x:v>Preliminar</x:v>
      </x:c>
      <x:c r="AB140" s="78" t="str">
        <x:v>Estimación técnica ISM · Validar</x:v>
      </x:c>
    </x:row>
    <x:row r="141">
      <x:c r="A141" s="77" t="str">
        <x:v>Monitoreo y Observabilidad</x:v>
      </x:c>
      <x:c r="B141" s="73" t="str">
        <x:v>MON-01</x:v>
      </x:c>
      <x:c r="C141" s="73" t="str">
        <x:v>Monitoreo de disponibilidad</x:v>
      </x:c>
      <x:c r="D141" s="73" t="str">
        <x:v>03 · Consolidación digital</x:v>
      </x:c>
      <x:c r="E141" s="73" t="str">
        <x:v>Configuración</x:v>
      </x:c>
      <x:c r="F141" s="73" t="str">
        <x:v>MON1-003</x:v>
      </x:c>
      <x:c r="G141" s="73" t="str">
        <x:v>Configuración de chequeo HTTP o endpoint</x:v>
      </x:c>
      <x:c r="H141" s="73" t="str">
        <x:v>Servicio</x:v>
      </x:c>
      <x:c r="I141" s="85" t="n">
        <x:v>3</x:v>
      </x:c>
      <x:c r="J141" s="73" t="str">
        <x:v>Sí</x:v>
      </x:c>
      <x:c r="K141" s="73" t="str">
        <x:v>No</x:v>
      </x:c>
      <x:c r="L141" s="85" t="n">
        <x:v>1</x:v>
      </x:c>
      <x:c r="M141" s="85" t="str">
        <x:v>Parcial</x:v>
      </x:c>
      <x:c r="N141" s="85" t="n">
        <x:v>0.85</x:v>
      </x:c>
      <x:c r="O141" s="85" t="n">
        <x:f>L141*N141</x:f>
        <x:v>0.85</x:v>
      </x:c>
      <x:c r="P141" s="85" t="str">
        <x:v>Media</x:v>
      </x:c>
      <x:c r="Q141" s="85" t="n">
        <x:v>1</x:v>
      </x:c>
      <x:c r="R141" s="85" t="n">
        <x:v>1.3</x:v>
      </x:c>
      <x:c r="S141" s="85" t="n">
        <x:v>1.55</x:v>
      </x:c>
      <x:c r="T141" s="85" t="n">
        <x:f>IF(J141="Sí",I141*O141*Q141,0)</x:f>
        <x:v>2.55</x:v>
      </x:c>
      <x:c r="U141" s="85" t="n">
        <x:f>IF(J141="Sí",I141*O141*R141,0)</x:f>
        <x:v>3.315</x:v>
      </x:c>
      <x:c r="V141" s="85" t="n">
        <x:f>IF(J141="Sí",I141*O141*S141,0)</x:f>
        <x:v>3.9524999999999997</x:v>
      </x:c>
      <x:c r="W141" s="73"/>
      <x:c r="X141" s="73" t="str">
        <x:v>Chequeos activos</x:v>
      </x:c>
      <x:c r="Y141" s="73" t="str">
        <x:v>Frecuencia, timeout y criterio de éxito</x:v>
      </x:c>
      <x:c r="Z141" s="73"/>
      <x:c r="AA141" s="73" t="str">
        <x:v>Preliminar</x:v>
      </x:c>
      <x:c r="AB141" s="78" t="str">
        <x:v>Estimación técnica ISM · Validar</x:v>
      </x:c>
    </x:row>
    <x:row r="142">
      <x:c r="A142" s="77" t="str">
        <x:v>Monitoreo y Observabilidad</x:v>
      </x:c>
      <x:c r="B142" s="73" t="str">
        <x:v>MON-01</x:v>
      </x:c>
      <x:c r="C142" s="73" t="str">
        <x:v>Monitoreo de disponibilidad</x:v>
      </x:c>
      <x:c r="D142" s="73" t="str">
        <x:v>03 · Consolidación digital</x:v>
      </x:c>
      <x:c r="E142" s="73" t="str">
        <x:v>Configuración</x:v>
      </x:c>
      <x:c r="F142" s="73" t="str">
        <x:v>MON1-004</x:v>
      </x:c>
      <x:c r="G142" s="73" t="str">
        <x:v>Configuración de alertas</x:v>
      </x:c>
      <x:c r="H142" s="73" t="str">
        <x:v>Canal</x:v>
      </x:c>
      <x:c r="I142" s="85" t="n">
        <x:v>2</x:v>
      </x:c>
      <x:c r="J142" s="73" t="str">
        <x:v>Sí</x:v>
      </x:c>
      <x:c r="K142" s="73" t="str">
        <x:v>No</x:v>
      </x:c>
      <x:c r="L142" s="85" t="n">
        <x:v>1</x:v>
      </x:c>
      <x:c r="M142" s="85" t="str">
        <x:v>Parcial</x:v>
      </x:c>
      <x:c r="N142" s="85" t="n">
        <x:v>0.85</x:v>
      </x:c>
      <x:c r="O142" s="85" t="n">
        <x:f>L142*N142</x:f>
        <x:v>0.85</x:v>
      </x:c>
      <x:c r="P142" s="85" t="str">
        <x:v>Media</x:v>
      </x:c>
      <x:c r="Q142" s="85" t="n">
        <x:v>1</x:v>
      </x:c>
      <x:c r="R142" s="85" t="n">
        <x:v>1.3</x:v>
      </x:c>
      <x:c r="S142" s="85" t="n">
        <x:v>1.55</x:v>
      </x:c>
      <x:c r="T142" s="85" t="n">
        <x:f>IF(J142="Sí",I142*O142*Q142,0)</x:f>
        <x:v>1.7</x:v>
      </x:c>
      <x:c r="U142" s="85" t="n">
        <x:f>IF(J142="Sí",I142*O142*R142,0)</x:f>
        <x:v>2.21</x:v>
      </x:c>
      <x:c r="V142" s="85" t="n">
        <x:f>IF(J142="Sí",I142*O142*S142,0)</x:f>
        <x:v>2.635</x:v>
      </x:c>
      <x:c r="W142" s="73"/>
      <x:c r="X142" s="73" t="str">
        <x:v>Alertas operativas</x:v>
      </x:c>
      <x:c r="Y142" s="73" t="str">
        <x:v>Umbrales, destinatarios y escalamiento</x:v>
      </x:c>
      <x:c r="Z142" s="73"/>
      <x:c r="AA142" s="73" t="str">
        <x:v>Preliminar</x:v>
      </x:c>
      <x:c r="AB142" s="78" t="str">
        <x:v>Estimación técnica ISM · Validar</x:v>
      </x:c>
    </x:row>
    <x:row r="143">
      <x:c r="A143" s="77" t="str">
        <x:v>Monitoreo y Observabilidad</x:v>
      </x:c>
      <x:c r="B143" s="73" t="str">
        <x:v>MON-01</x:v>
      </x:c>
      <x:c r="C143" s="73" t="str">
        <x:v>Monitoreo de disponibilidad</x:v>
      </x:c>
      <x:c r="D143" s="73" t="str">
        <x:v>03 · Consolidación digital</x:v>
      </x:c>
      <x:c r="E143" s="73" t="str">
        <x:v>Configuración</x:v>
      </x:c>
      <x:c r="F143" s="73" t="str">
        <x:v>MON1-005</x:v>
      </x:c>
      <x:c r="G143" s="73" t="str">
        <x:v>Ventanas de mantenimiento</x:v>
      </x:c>
      <x:c r="H143" s="73" t="str">
        <x:v>Servicio</x:v>
      </x:c>
      <x:c r="I143" s="85" t="n">
        <x:v>3</x:v>
      </x:c>
      <x:c r="J143" s="73" t="str">
        <x:v>No</x:v>
      </x:c>
      <x:c r="K143" s="73" t="str">
        <x:v>No</x:v>
      </x:c>
      <x:c r="L143" s="85" t="n">
        <x:v>0.5</x:v>
      </x:c>
      <x:c r="M143" s="85" t="str">
        <x:v>Parcial</x:v>
      </x:c>
      <x:c r="N143" s="85" t="n">
        <x:v>0.85</x:v>
      </x:c>
      <x:c r="O143" s="85" t="n">
        <x:f>L143*N143</x:f>
        <x:v>0.425</x:v>
      </x:c>
      <x:c r="P143" s="85" t="str">
        <x:v>Baja</x:v>
      </x:c>
      <x:c r="Q143" s="85" t="n">
        <x:v>1</x:v>
      </x:c>
      <x:c r="R143" s="85" t="n">
        <x:v>1.15</x:v>
      </x:c>
      <x:c r="S143" s="85" t="n">
        <x:v>1.3</x:v>
      </x:c>
      <x:c r="T143" s="85" t="n">
        <x:f>IF(J143="Sí",I143*O143*Q143,0)</x:f>
        <x:v>0</x:v>
      </x:c>
      <x:c r="U143" s="85" t="n">
        <x:f>IF(J143="Sí",I143*O143*R143,0)</x:f>
        <x:v>0</x:v>
      </x:c>
      <x:c r="V143" s="85" t="n">
        <x:f>IF(J143="Sí",I143*O143*S143,0)</x:f>
        <x:v>0</x:v>
      </x:c>
      <x:c r="W143" s="73"/>
      <x:c r="X143" s="73" t="str">
        <x:v>Ventanas definidas</x:v>
      </x:c>
      <x:c r="Y143" s="73" t="str">
        <x:v>Supresión de alertas planificadas</x:v>
      </x:c>
      <x:c r="Z143" s="73"/>
      <x:c r="AA143" s="73" t="str">
        <x:v>Preliminar</x:v>
      </x:c>
      <x:c r="AB143" s="78" t="str">
        <x:v>Estimación técnica ISM · Validar</x:v>
      </x:c>
    </x:row>
    <x:row r="144">
      <x:c r="A144" s="77" t="str">
        <x:v>Monitoreo y Observabilidad</x:v>
      </x:c>
      <x:c r="B144" s="73" t="str">
        <x:v>MON-01</x:v>
      </x:c>
      <x:c r="C144" s="73" t="str">
        <x:v>Monitoreo de disponibilidad</x:v>
      </x:c>
      <x:c r="D144" s="73" t="str">
        <x:v>03 · Consolidación digital</x:v>
      </x:c>
      <x:c r="E144" s="73" t="str">
        <x:v>Visualización</x:v>
      </x:c>
      <x:c r="F144" s="73" t="str">
        <x:v>MON1-006</x:v>
      </x:c>
      <x:c r="G144" s="73" t="str">
        <x:v>Dashboard de disponibilidad</x:v>
      </x:c>
      <x:c r="H144" s="73" t="str">
        <x:v>Dashboard</x:v>
      </x:c>
      <x:c r="I144" s="85" t="n">
        <x:v>1</x:v>
      </x:c>
      <x:c r="J144" s="73" t="str">
        <x:v>Sí</x:v>
      </x:c>
      <x:c r="K144" s="73" t="str">
        <x:v>No</x:v>
      </x:c>
      <x:c r="L144" s="85" t="n">
        <x:v>2.5</x:v>
      </x:c>
      <x:c r="M144" s="85" t="str">
        <x:v>Parcial</x:v>
      </x:c>
      <x:c r="N144" s="85" t="n">
        <x:v>0.85</x:v>
      </x:c>
      <x:c r="O144" s="85" t="n">
        <x:f>L144*N144</x:f>
        <x:v>2.125</x:v>
      </x:c>
      <x:c r="P144" s="85" t="str">
        <x:v>Alta</x:v>
      </x:c>
      <x:c r="Q144" s="85" t="n">
        <x:v>1</x:v>
      </x:c>
      <x:c r="R144" s="85" t="n">
        <x:v>1.45</x:v>
      </x:c>
      <x:c r="S144" s="85" t="n">
        <x:v>1.8</x:v>
      </x:c>
      <x:c r="T144" s="85" t="n">
        <x:f>IF(J144="Sí",I144*O144*Q144,0)</x:f>
        <x:v>2.125</x:v>
      </x:c>
      <x:c r="U144" s="85" t="n">
        <x:f>IF(J144="Sí",I144*O144*R144,0)</x:f>
        <x:v>3.08125</x:v>
      </x:c>
      <x:c r="V144" s="85" t="n">
        <x:f>IF(J144="Sí",I144*O144*S144,0)</x:f>
        <x:v>3.825</x:v>
      </x:c>
      <x:c r="W144" s="73"/>
      <x:c r="X144" s="73" t="str">
        <x:v>Dashboard</x:v>
      </x:c>
      <x:c r="Y144" s="73" t="str">
        <x:v>Estado, histórico y tendencia</x:v>
      </x:c>
      <x:c r="Z144" s="73"/>
      <x:c r="AA144" s="73" t="str">
        <x:v>Preliminar</x:v>
      </x:c>
      <x:c r="AB144" s="78" t="str">
        <x:v>Estimación técnica ISM · Validar</x:v>
      </x:c>
    </x:row>
    <x:row r="145">
      <x:c r="A145" s="77" t="str">
        <x:v>Monitoreo y Observabilidad</x:v>
      </x:c>
      <x:c r="B145" s="73" t="str">
        <x:v>MON-01</x:v>
      </x:c>
      <x:c r="C145" s="73" t="str">
        <x:v>Monitoreo de disponibilidad</x:v>
      </x:c>
      <x:c r="D145" s="73" t="str">
        <x:v>03 · Consolidación digital</x:v>
      </x:c>
      <x:c r="E145" s="73" t="str">
        <x:v>Reportes</x:v>
      </x:c>
      <x:c r="F145" s="73" t="str">
        <x:v>MON1-007</x:v>
      </x:c>
      <x:c r="G145" s="73" t="str">
        <x:v>Reporte periódico de disponibilidad</x:v>
      </x:c>
      <x:c r="H145" s="73" t="str">
        <x:v>Reporte</x:v>
      </x:c>
      <x:c r="I145" s="85" t="n">
        <x:v>1</x:v>
      </x:c>
      <x:c r="J145" s="73" t="str">
        <x:v>Sí</x:v>
      </x:c>
      <x:c r="K145" s="73" t="str">
        <x:v>No</x:v>
      </x:c>
      <x:c r="L145" s="85" t="n">
        <x:v>2</x:v>
      </x:c>
      <x:c r="M145" s="85" t="str">
        <x:v>Parcial</x:v>
      </x:c>
      <x:c r="N145" s="85" t="n">
        <x:v>0.85</x:v>
      </x:c>
      <x:c r="O145" s="85" t="n">
        <x:f>L145*N145</x:f>
        <x:v>1.7</x:v>
      </x:c>
      <x:c r="P145" s="85" t="str">
        <x:v>Media</x:v>
      </x:c>
      <x:c r="Q145" s="85" t="n">
        <x:v>1</x:v>
      </x:c>
      <x:c r="R145" s="85" t="n">
        <x:v>1.3</x:v>
      </x:c>
      <x:c r="S145" s="85" t="n">
        <x:v>1.55</x:v>
      </x:c>
      <x:c r="T145" s="85" t="n">
        <x:f>IF(J145="Sí",I145*O145*Q145,0)</x:f>
        <x:v>1.7</x:v>
      </x:c>
      <x:c r="U145" s="85" t="n">
        <x:f>IF(J145="Sí",I145*O145*R145,0)</x:f>
        <x:v>2.21</x:v>
      </x:c>
      <x:c r="V145" s="85" t="n">
        <x:f>IF(J145="Sí",I145*O145*S145,0)</x:f>
        <x:v>2.635</x:v>
      </x:c>
      <x:c r="W145" s="73"/>
      <x:c r="X145" s="73" t="str">
        <x:v>Reporte base</x:v>
      </x:c>
      <x:c r="Y145" s="73" t="str">
        <x:v>Disponibilidad, eventos y observaciones</x:v>
      </x:c>
      <x:c r="Z145" s="73"/>
      <x:c r="AA145" s="73" t="str">
        <x:v>Preliminar</x:v>
      </x:c>
      <x:c r="AB145" s="78" t="str">
        <x:v>Estimación técnica ISM · Validar</x:v>
      </x:c>
    </x:row>
    <x:row r="146">
      <x:c r="A146" s="77" t="str">
        <x:v>Monitoreo y Observabilidad</x:v>
      </x:c>
      <x:c r="B146" s="73" t="str">
        <x:v>MON-01</x:v>
      </x:c>
      <x:c r="C146" s="73" t="str">
        <x:v>Monitoreo de disponibilidad</x:v>
      </x:c>
      <x:c r="D146" s="73" t="str">
        <x:v>03 · Consolidación digital</x:v>
      </x:c>
      <x:c r="E146" s="73" t="str">
        <x:v>Calidad</x:v>
      </x:c>
      <x:c r="F146" s="73" t="str">
        <x:v>MON1-008</x:v>
      </x:c>
      <x:c r="G146" s="73" t="str">
        <x:v>Prueba de caída y recuperación</x:v>
      </x:c>
      <x:c r="H146" s="73" t="str">
        <x:v>Caso</x:v>
      </x:c>
      <x:c r="I146" s="85" t="n">
        <x:v>2</x:v>
      </x:c>
      <x:c r="J146" s="73" t="str">
        <x:v>Sí</x:v>
      </x:c>
      <x:c r="K146" s="73" t="str">
        <x:v>Sí</x:v>
      </x:c>
      <x:c r="L146" s="85" t="n">
        <x:v>1</x:v>
      </x:c>
      <x:c r="M146" s="85" t="str">
        <x:v>Parcial</x:v>
      </x:c>
      <x:c r="N146" s="85" t="n">
        <x:v>0.85</x:v>
      </x:c>
      <x:c r="O146" s="85" t="n">
        <x:f>L146*N146</x:f>
        <x:v>0.85</x:v>
      </x:c>
      <x:c r="P146" s="85" t="str">
        <x:v>Alta</x:v>
      </x:c>
      <x:c r="Q146" s="85" t="n">
        <x:v>1</x:v>
      </x:c>
      <x:c r="R146" s="85" t="n">
        <x:v>1.45</x:v>
      </x:c>
      <x:c r="S146" s="85" t="n">
        <x:v>1.8</x:v>
      </x:c>
      <x:c r="T146" s="85" t="n">
        <x:f>IF(J146="Sí",I146*O146*Q146,0)</x:f>
        <x:v>1.7</x:v>
      </x:c>
      <x:c r="U146" s="85" t="n">
        <x:f>IF(J146="Sí",I146*O146*R146,0)</x:f>
        <x:v>2.465</x:v>
      </x:c>
      <x:c r="V146" s="85" t="n">
        <x:f>IF(J146="Sí",I146*O146*S146,0)</x:f>
        <x:v>3.06</x:v>
      </x:c>
      <x:c r="W146" s="73"/>
      <x:c r="X146" s="73" t="str">
        <x:v>Prueba de alertamiento</x:v>
      </x:c>
      <x:c r="Y146" s="73" t="str">
        <x:v>Detección, notificación y recuperación</x:v>
      </x:c>
      <x:c r="Z146" s="73"/>
      <x:c r="AA146" s="73" t="str">
        <x:v>Preliminar</x:v>
      </x:c>
      <x:c r="AB146" s="78" t="str">
        <x:v>Estimación técnica ISM · Validar</x:v>
      </x:c>
    </x:row>
    <x:row r="147">
      <x:c r="A147" s="77" t="str">
        <x:v>Monitoreo y Observabilidad</x:v>
      </x:c>
      <x:c r="B147" s="73" t="str">
        <x:v>MON-01</x:v>
      </x:c>
      <x:c r="C147" s="73" t="str">
        <x:v>Monitoreo de disponibilidad</x:v>
      </x:c>
      <x:c r="D147" s="73" t="str">
        <x:v>03 · Consolidación digital</x:v>
      </x:c>
      <x:c r="E147" s="73" t="str">
        <x:v>Operación</x:v>
      </x:c>
      <x:c r="F147" s="73" t="str">
        <x:v>MON1-009</x:v>
      </x:c>
      <x:c r="G147" s="73" t="str">
        <x:v>Runbook de respuesta a indisponibilidad</x:v>
      </x:c>
      <x:c r="H147" s="73" t="str">
        <x:v>Documento</x:v>
      </x:c>
      <x:c r="I147" s="85" t="n">
        <x:v>1</x:v>
      </x:c>
      <x:c r="J147" s="73" t="str">
        <x:v>Sí</x:v>
      </x:c>
      <x:c r="K147" s="73" t="str">
        <x:v>Sí</x:v>
      </x:c>
      <x:c r="L147" s="85" t="n">
        <x:v>1.5</x:v>
      </x:c>
      <x:c r="M147" s="85" t="str">
        <x:v>Parcial</x:v>
      </x:c>
      <x:c r="N147" s="85" t="n">
        <x:v>0.85</x:v>
      </x:c>
      <x:c r="O147" s="85" t="n">
        <x:f>L147*N147</x:f>
        <x:v>1.275</x:v>
      </x:c>
      <x:c r="P147" s="85" t="str">
        <x:v>Media</x:v>
      </x:c>
      <x:c r="Q147" s="85" t="n">
        <x:v>1</x:v>
      </x:c>
      <x:c r="R147" s="85" t="n">
        <x:v>1.3</x:v>
      </x:c>
      <x:c r="S147" s="85" t="n">
        <x:v>1.55</x:v>
      </x:c>
      <x:c r="T147" s="85" t="n">
        <x:f>IF(J147="Sí",I147*O147*Q147,0)</x:f>
        <x:v>1.275</x:v>
      </x:c>
      <x:c r="U147" s="85" t="n">
        <x:f>IF(J147="Sí",I147*O147*R147,0)</x:f>
        <x:v>1.6575</x:v>
      </x:c>
      <x:c r="V147" s="85" t="n">
        <x:f>IF(J147="Sí",I147*O147*S147,0)</x:f>
        <x:v>1.9762499999999998</x:v>
      </x:c>
      <x:c r="W147" s="73"/>
      <x:c r="X147" s="73" t="str">
        <x:v>Runbook</x:v>
      </x:c>
      <x:c r="Y147" s="73" t="str">
        <x:v>Validación, escalamiento y comunicación</x:v>
      </x:c>
      <x:c r="Z147" s="73"/>
      <x:c r="AA147" s="73" t="str">
        <x:v>Preliminar</x:v>
      </x:c>
      <x:c r="AB147" s="78" t="str">
        <x:v>Estimación técnica ISM · Validar</x:v>
      </x:c>
    </x:row>
    <x:row r="148">
      <x:c r="A148" s="77" t="str">
        <x:v>Monitoreo y Observabilidad</x:v>
      </x:c>
      <x:c r="B148" s="73" t="str">
        <x:v>MON-01</x:v>
      </x:c>
      <x:c r="C148" s="73" t="str">
        <x:v>Monitoreo de disponibilidad</x:v>
      </x:c>
      <x:c r="D148" s="73" t="str">
        <x:v>03 · Consolidación digital</x:v>
      </x:c>
      <x:c r="E148" s="73" t="str">
        <x:v>Despliegue</x:v>
      </x:c>
      <x:c r="F148" s="73" t="str">
        <x:v>MON1-010</x:v>
      </x:c>
      <x:c r="G148" s="73" t="str">
        <x:v>Puesta en marcha y estabilización</x:v>
      </x:c>
      <x:c r="H148" s="73" t="str">
        <x:v>Entorno</x:v>
      </x:c>
      <x:c r="I148" s="85" t="n">
        <x:v>1</x:v>
      </x:c>
      <x:c r="J148" s="73" t="str">
        <x:v>Sí</x:v>
      </x:c>
      <x:c r="K148" s="73" t="str">
        <x:v>Sí</x:v>
      </x:c>
      <x:c r="L148" s="85" t="n">
        <x:v>1.5</x:v>
      </x:c>
      <x:c r="M148" s="85" t="str">
        <x:v>Parcial</x:v>
      </x:c>
      <x:c r="N148" s="85" t="n">
        <x:v>0.85</x:v>
      </x:c>
      <x:c r="O148" s="85" t="n">
        <x:f>L148*N148</x:f>
        <x:v>1.275</x:v>
      </x:c>
      <x:c r="P148" s="85" t="str">
        <x:v>Alta</x:v>
      </x:c>
      <x:c r="Q148" s="85" t="n">
        <x:v>1</x:v>
      </x:c>
      <x:c r="R148" s="85" t="n">
        <x:v>1.45</x:v>
      </x:c>
      <x:c r="S148" s="85" t="n">
        <x:v>1.8</x:v>
      </x:c>
      <x:c r="T148" s="85" t="n">
        <x:f>IF(J148="Sí",I148*O148*Q148,0)</x:f>
        <x:v>1.275</x:v>
      </x:c>
      <x:c r="U148" s="85" t="n">
        <x:f>IF(J148="Sí",I148*O148*R148,0)</x:f>
        <x:v>1.84875</x:v>
      </x:c>
      <x:c r="V148" s="85" t="n">
        <x:f>IF(J148="Sí",I148*O148*S148,0)</x:f>
        <x:v>2.295</x:v>
      </x:c>
      <x:c r="W148" s="73"/>
      <x:c r="X148" s="73" t="str">
        <x:v>Monitoreo estabilizado</x:v>
      </x:c>
      <x:c r="Y148" s="73" t="str">
        <x:v>Activación, observación y ajustes</x:v>
      </x:c>
      <x:c r="Z148" s="73"/>
      <x:c r="AA148" s="73" t="str">
        <x:v>Preliminar</x:v>
      </x:c>
      <x:c r="AB148" s="78" t="str">
        <x:v>Estimación técnica ISM · Validar</x:v>
      </x:c>
    </x:row>
    <x:row r="149">
      <x:c r="A149" s="77" t="str">
        <x:v>Monitoreo y Observabilidad</x:v>
      </x:c>
      <x:c r="B149" s="73" t="str">
        <x:v>MON-02</x:v>
      </x:c>
      <x:c r="C149" s="73" t="str">
        <x:v>Centralización de logs y trazabilidad</x:v>
      </x:c>
      <x:c r="D149" s="73" t="str">
        <x:v>03 · Consolidación digital</x:v>
      </x:c>
      <x:c r="E149" s="73" t="str">
        <x:v>Diagnóstico</x:v>
      </x:c>
      <x:c r="F149" s="73" t="str">
        <x:v>MON2-001</x:v>
      </x:c>
      <x:c r="G149" s="73" t="str">
        <x:v>Inventario de fuentes de logs</x:v>
      </x:c>
      <x:c r="H149" s="73" t="str">
        <x:v>Fuente</x:v>
      </x:c>
      <x:c r="I149" s="85" t="n">
        <x:v>4</x:v>
      </x:c>
      <x:c r="J149" s="73" t="str">
        <x:v>Sí</x:v>
      </x:c>
      <x:c r="K149" s="73" t="str">
        <x:v>Sí</x:v>
      </x:c>
      <x:c r="L149" s="85" t="n">
        <x:v>0.75</x:v>
      </x:c>
      <x:c r="M149" s="85" t="str">
        <x:v>Parcial</x:v>
      </x:c>
      <x:c r="N149" s="85" t="n">
        <x:v>0.85</x:v>
      </x:c>
      <x:c r="O149" s="85" t="n">
        <x:f>L149*N149</x:f>
        <x:v>0.6375</x:v>
      </x:c>
      <x:c r="P149" s="85" t="str">
        <x:v>Media</x:v>
      </x:c>
      <x:c r="Q149" s="85" t="n">
        <x:v>1</x:v>
      </x:c>
      <x:c r="R149" s="85" t="n">
        <x:v>1.3</x:v>
      </x:c>
      <x:c r="S149" s="85" t="n">
        <x:v>1.55</x:v>
      </x:c>
      <x:c r="T149" s="85" t="n">
        <x:f>IF(J149="Sí",I149*O149*Q149,0)</x:f>
        <x:v>2.55</x:v>
      </x:c>
      <x:c r="U149" s="85" t="n">
        <x:f>IF(J149="Sí",I149*O149*R149,0)</x:f>
        <x:v>3.315</x:v>
      </x:c>
      <x:c r="V149" s="85" t="n">
        <x:f>IF(J149="Sí",I149*O149*S149,0)</x:f>
        <x:v>3.9524999999999997</x:v>
      </x:c>
      <x:c r="W149" s="73"/>
      <x:c r="X149" s="73" t="str">
        <x:v>Inventario de logs</x:v>
      </x:c>
      <x:c r="Y149" s="73" t="str">
        <x:v>Aplicación, servidor, base de datos y servicios</x:v>
      </x:c>
      <x:c r="Z149" s="73"/>
      <x:c r="AA149" s="73" t="str">
        <x:v>Preliminar</x:v>
      </x:c>
      <x:c r="AB149" s="78" t="str">
        <x:v>Estimación técnica ISM · Validar</x:v>
      </x:c>
    </x:row>
    <x:row r="150">
      <x:c r="A150" s="77" t="str">
        <x:v>Monitoreo y Observabilidad</x:v>
      </x:c>
      <x:c r="B150" s="73" t="str">
        <x:v>MON-02</x:v>
      </x:c>
      <x:c r="C150" s="73" t="str">
        <x:v>Centralización de logs y trazabilidad</x:v>
      </x:c>
      <x:c r="D150" s="73" t="str">
        <x:v>03 · Consolidación digital</x:v>
      </x:c>
      <x:c r="E150" s="73" t="str">
        <x:v>Diseño</x:v>
      </x:c>
      <x:c r="F150" s="73" t="str">
        <x:v>MON2-002</x:v>
      </x:c>
      <x:c r="G150" s="73" t="str">
        <x:v>Definición de estructura y campos comunes</x:v>
      </x:c>
      <x:c r="H150" s="73" t="str">
        <x:v>Proyecto</x:v>
      </x:c>
      <x:c r="I150" s="85" t="n">
        <x:v>1</x:v>
      </x:c>
      <x:c r="J150" s="73" t="str">
        <x:v>Sí</x:v>
      </x:c>
      <x:c r="K150" s="73" t="str">
        <x:v>Sí</x:v>
      </x:c>
      <x:c r="L150" s="85" t="n">
        <x:v>2</x:v>
      </x:c>
      <x:c r="M150" s="85" t="str">
        <x:v>Parcial</x:v>
      </x:c>
      <x:c r="N150" s="85" t="n">
        <x:v>0.85</x:v>
      </x:c>
      <x:c r="O150" s="85" t="n">
        <x:f>L150*N150</x:f>
        <x:v>1.7</x:v>
      </x:c>
      <x:c r="P150" s="85" t="str">
        <x:v>Alta</x:v>
      </x:c>
      <x:c r="Q150" s="85" t="n">
        <x:v>1</x:v>
      </x:c>
      <x:c r="R150" s="85" t="n">
        <x:v>1.45</x:v>
      </x:c>
      <x:c r="S150" s="85" t="n">
        <x:v>1.8</x:v>
      </x:c>
      <x:c r="T150" s="85" t="n">
        <x:f>IF(J150="Sí",I150*O150*Q150,0)</x:f>
        <x:v>1.7</x:v>
      </x:c>
      <x:c r="U150" s="85" t="n">
        <x:f>IF(J150="Sí",I150*O150*R150,0)</x:f>
        <x:v>2.465</x:v>
      </x:c>
      <x:c r="V150" s="85" t="n">
        <x:f>IF(J150="Sí",I150*O150*S150,0)</x:f>
        <x:v>3.06</x:v>
      </x:c>
      <x:c r="W150" s="73"/>
      <x:c r="X150" s="73" t="str">
        <x:v>Esquema de logs</x:v>
      </x:c>
      <x:c r="Y150" s="73" t="str">
        <x:v>Nivel, fecha, usuario, correlación y contexto</x:v>
      </x:c>
      <x:c r="Z150" s="73"/>
      <x:c r="AA150" s="73" t="str">
        <x:v>Preliminar</x:v>
      </x:c>
      <x:c r="AB150" s="78" t="str">
        <x:v>Estimación técnica ISM · Validar</x:v>
      </x:c>
    </x:row>
    <x:row r="151">
      <x:c r="A151" s="77" t="str">
        <x:v>Monitoreo y Observabilidad</x:v>
      </x:c>
      <x:c r="B151" s="73" t="str">
        <x:v>MON-02</x:v>
      </x:c>
      <x:c r="C151" s="73" t="str">
        <x:v>Centralización de logs y trazabilidad</x:v>
      </x:c>
      <x:c r="D151" s="73" t="str">
        <x:v>03 · Consolidación digital</x:v>
      </x:c>
      <x:c r="E151" s="73" t="str">
        <x:v>Implementación</x:v>
      </x:c>
      <x:c r="F151" s="73" t="str">
        <x:v>MON2-003</x:v>
      </x:c>
      <x:c r="G151" s="73" t="str">
        <x:v>Configuración de envío de logs</x:v>
      </x:c>
      <x:c r="H151" s="73" t="str">
        <x:v>Fuente</x:v>
      </x:c>
      <x:c r="I151" s="85" t="n">
        <x:v>4</x:v>
      </x:c>
      <x:c r="J151" s="73" t="str">
        <x:v>Sí</x:v>
      </x:c>
      <x:c r="K151" s="73" t="str">
        <x:v>No</x:v>
      </x:c>
      <x:c r="L151" s="85" t="n">
        <x:v>1.5</x:v>
      </x:c>
      <x:c r="M151" s="85" t="str">
        <x:v>Parcial</x:v>
      </x:c>
      <x:c r="N151" s="85" t="n">
        <x:v>0.85</x:v>
      </x:c>
      <x:c r="O151" s="85" t="n">
        <x:f>L151*N151</x:f>
        <x:v>1.275</x:v>
      </x:c>
      <x:c r="P151" s="85" t="str">
        <x:v>Alta</x:v>
      </x:c>
      <x:c r="Q151" s="85" t="n">
        <x:v>1</x:v>
      </x:c>
      <x:c r="R151" s="85" t="n">
        <x:v>1.45</x:v>
      </x:c>
      <x:c r="S151" s="85" t="n">
        <x:v>1.8</x:v>
      </x:c>
      <x:c r="T151" s="85" t="n">
        <x:f>IF(J151="Sí",I151*O151*Q151,0)</x:f>
        <x:v>5.1</x:v>
      </x:c>
      <x:c r="U151" s="85" t="n">
        <x:f>IF(J151="Sí",I151*O151*R151,0)</x:f>
        <x:v>7.395</x:v>
      </x:c>
      <x:c r="V151" s="85" t="n">
        <x:f>IF(J151="Sí",I151*O151*S151,0)</x:f>
        <x:v>9.18</x:v>
      </x:c>
      <x:c r="W151" s="73"/>
      <x:c r="X151" s="73" t="str">
        <x:v>Fuentes conectadas</x:v>
      </x:c>
      <x:c r="Y151" s="73" t="str">
        <x:v>Agente, librería o integración</x:v>
      </x:c>
      <x:c r="Z151" s="73"/>
      <x:c r="AA151" s="73" t="str">
        <x:v>Preliminar</x:v>
      </x:c>
      <x:c r="AB151" s="78" t="str">
        <x:v>Estimación técnica ISM · Validar</x:v>
      </x:c>
    </x:row>
    <x:row r="152">
      <x:c r="A152" s="77" t="str">
        <x:v>Monitoreo y Observabilidad</x:v>
      </x:c>
      <x:c r="B152" s="73" t="str">
        <x:v>MON-02</x:v>
      </x:c>
      <x:c r="C152" s="73" t="str">
        <x:v>Centralización de logs y trazabilidad</x:v>
      </x:c>
      <x:c r="D152" s="73" t="str">
        <x:v>03 · Consolidación digital</x:v>
      </x:c>
      <x:c r="E152" s="73" t="str">
        <x:v>Implementación</x:v>
      </x:c>
      <x:c r="F152" s="73" t="str">
        <x:v>MON2-004</x:v>
      </x:c>
      <x:c r="G152" s="73" t="str">
        <x:v>Normalización y parseo</x:v>
      </x:c>
      <x:c r="H152" s="73" t="str">
        <x:v>Fuente</x:v>
      </x:c>
      <x:c r="I152" s="85" t="n">
        <x:v>4</x:v>
      </x:c>
      <x:c r="J152" s="73" t="str">
        <x:v>Sí</x:v>
      </x:c>
      <x:c r="K152" s="73" t="str">
        <x:v>No</x:v>
      </x:c>
      <x:c r="L152" s="85" t="n">
        <x:v>1</x:v>
      </x:c>
      <x:c r="M152" s="85" t="str">
        <x:v>Parcial</x:v>
      </x:c>
      <x:c r="N152" s="85" t="n">
        <x:v>0.85</x:v>
      </x:c>
      <x:c r="O152" s="85" t="n">
        <x:f>L152*N152</x:f>
        <x:v>0.85</x:v>
      </x:c>
      <x:c r="P152" s="85" t="str">
        <x:v>Alta</x:v>
      </x:c>
      <x:c r="Q152" s="85" t="n">
        <x:v>1</x:v>
      </x:c>
      <x:c r="R152" s="85" t="n">
        <x:v>1.45</x:v>
      </x:c>
      <x:c r="S152" s="85" t="n">
        <x:v>1.8</x:v>
      </x:c>
      <x:c r="T152" s="85" t="n">
        <x:f>IF(J152="Sí",I152*O152*Q152,0)</x:f>
        <x:v>3.4</x:v>
      </x:c>
      <x:c r="U152" s="85" t="n">
        <x:f>IF(J152="Sí",I152*O152*R152,0)</x:f>
        <x:v>4.93</x:v>
      </x:c>
      <x:c r="V152" s="85" t="n">
        <x:f>IF(J152="Sí",I152*O152*S152,0)</x:f>
        <x:v>6.12</x:v>
      </x:c>
      <x:c r="W152" s="73"/>
      <x:c r="X152" s="73" t="str">
        <x:v>Logs normalizados</x:v>
      </x:c>
      <x:c r="Y152" s="73" t="str">
        <x:v>Campos, formatos y errores</x:v>
      </x:c>
      <x:c r="Z152" s="73"/>
      <x:c r="AA152" s="73" t="str">
        <x:v>Preliminar</x:v>
      </x:c>
      <x:c r="AB152" s="78" t="str">
        <x:v>Estimación técnica ISM · Validar</x:v>
      </x:c>
    </x:row>
    <x:row r="153">
      <x:c r="A153" s="77" t="str">
        <x:v>Monitoreo y Observabilidad</x:v>
      </x:c>
      <x:c r="B153" s="73" t="str">
        <x:v>MON-02</x:v>
      </x:c>
      <x:c r="C153" s="73" t="str">
        <x:v>Centralización de logs y trazabilidad</x:v>
      </x:c>
      <x:c r="D153" s="73" t="str">
        <x:v>03 · Consolidación digital</x:v>
      </x:c>
      <x:c r="E153" s="73" t="str">
        <x:v>Trazabilidad</x:v>
      </x:c>
      <x:c r="F153" s="73" t="str">
        <x:v>MON2-005</x:v>
      </x:c>
      <x:c r="G153" s="73" t="str">
        <x:v>Identificador de correlación</x:v>
      </x:c>
      <x:c r="H153" s="73" t="str">
        <x:v>Flujo</x:v>
      </x:c>
      <x:c r="I153" s="85" t="n">
        <x:v>2</x:v>
      </x:c>
      <x:c r="J153" s="73" t="str">
        <x:v>No</x:v>
      </x:c>
      <x:c r="K153" s="73" t="str">
        <x:v>No</x:v>
      </x:c>
      <x:c r="L153" s="85" t="n">
        <x:v>1.5</x:v>
      </x:c>
      <x:c r="M153" s="85" t="str">
        <x:v>Parcial</x:v>
      </x:c>
      <x:c r="N153" s="85" t="n">
        <x:v>0.85</x:v>
      </x:c>
      <x:c r="O153" s="85" t="n">
        <x:f>L153*N153</x:f>
        <x:v>1.275</x:v>
      </x:c>
      <x:c r="P153" s="85" t="str">
        <x:v>Alta</x:v>
      </x:c>
      <x:c r="Q153" s="85" t="n">
        <x:v>1</x:v>
      </x:c>
      <x:c r="R153" s="85" t="n">
        <x:v>1.45</x:v>
      </x:c>
      <x:c r="S153" s="85" t="n">
        <x:v>1.8</x:v>
      </x:c>
      <x:c r="T153" s="85" t="n">
        <x:f>IF(J153="Sí",I153*O153*Q153,0)</x:f>
        <x:v>0</x:v>
      </x:c>
      <x:c r="U153" s="85" t="n">
        <x:f>IF(J153="Sí",I153*O153*R153,0)</x:f>
        <x:v>0</x:v>
      </x:c>
      <x:c r="V153" s="85" t="n">
        <x:f>IF(J153="Sí",I153*O153*S153,0)</x:f>
        <x:v>0</x:v>
      </x:c>
      <x:c r="W153" s="73"/>
      <x:c r="X153" s="73" t="str">
        <x:v>Trazas correlacionadas</x:v>
      </x:c>
      <x:c r="Y153" s="73" t="str">
        <x:v>Seguimiento entre componentes</x:v>
      </x:c>
      <x:c r="Z153" s="73"/>
      <x:c r="AA153" s="73" t="str">
        <x:v>Preliminar</x:v>
      </x:c>
      <x:c r="AB153" s="78" t="str">
        <x:v>Estimación técnica ISM · Validar</x:v>
      </x:c>
    </x:row>
    <x:row r="154">
      <x:c r="A154" s="77" t="str">
        <x:v>Monitoreo y Observabilidad</x:v>
      </x:c>
      <x:c r="B154" s="73" t="str">
        <x:v>MON-02</x:v>
      </x:c>
      <x:c r="C154" s="73" t="str">
        <x:v>Centralización de logs y trazabilidad</x:v>
      </x:c>
      <x:c r="D154" s="73" t="str">
        <x:v>03 · Consolidación digital</x:v>
      </x:c>
      <x:c r="E154" s="73" t="str">
        <x:v>Retención</x:v>
      </x:c>
      <x:c r="F154" s="73" t="str">
        <x:v>MON2-006</x:v>
      </x:c>
      <x:c r="G154" s="73" t="str">
        <x:v>Política de retención y rotación</x:v>
      </x:c>
      <x:c r="H154" s="73" t="str">
        <x:v>Entorno</x:v>
      </x:c>
      <x:c r="I154" s="85" t="n">
        <x:v>1</x:v>
      </x:c>
      <x:c r="J154" s="73" t="str">
        <x:v>Sí</x:v>
      </x:c>
      <x:c r="K154" s="73" t="str">
        <x:v>Sí</x:v>
      </x:c>
      <x:c r="L154" s="85" t="n">
        <x:v>1.5</x:v>
      </x:c>
      <x:c r="M154" s="85" t="str">
        <x:v>Parcial</x:v>
      </x:c>
      <x:c r="N154" s="85" t="n">
        <x:v>0.85</x:v>
      </x:c>
      <x:c r="O154" s="85" t="n">
        <x:f>L154*N154</x:f>
        <x:v>1.275</x:v>
      </x:c>
      <x:c r="P154" s="85" t="str">
        <x:v>Media</x:v>
      </x:c>
      <x:c r="Q154" s="85" t="n">
        <x:v>1</x:v>
      </x:c>
      <x:c r="R154" s="85" t="n">
        <x:v>1.3</x:v>
      </x:c>
      <x:c r="S154" s="85" t="n">
        <x:v>1.55</x:v>
      </x:c>
      <x:c r="T154" s="85" t="n">
        <x:f>IF(J154="Sí",I154*O154*Q154,0)</x:f>
        <x:v>1.275</x:v>
      </x:c>
      <x:c r="U154" s="85" t="n">
        <x:f>IF(J154="Sí",I154*O154*R154,0)</x:f>
        <x:v>1.6575</x:v>
      </x:c>
      <x:c r="V154" s="85" t="n">
        <x:f>IF(J154="Sí",I154*O154*S154,0)</x:f>
        <x:v>1.9762499999999998</x:v>
      </x:c>
      <x:c r="W154" s="73"/>
      <x:c r="X154" s="73" t="str">
        <x:v>Política aplicada</x:v>
      </x:c>
      <x:c r="Y154" s="73" t="str">
        <x:v>Periodo, volumen y eliminación</x:v>
      </x:c>
      <x:c r="Z154" s="73"/>
      <x:c r="AA154" s="73" t="str">
        <x:v>Preliminar</x:v>
      </x:c>
      <x:c r="AB154" s="78" t="str">
        <x:v>Estimación técnica ISM · Validar</x:v>
      </x:c>
    </x:row>
    <x:row r="155">
      <x:c r="A155" s="77" t="str">
        <x:v>Monitoreo y Observabilidad</x:v>
      </x:c>
      <x:c r="B155" s="73" t="str">
        <x:v>MON-02</x:v>
      </x:c>
      <x:c r="C155" s="73" t="str">
        <x:v>Centralización de logs y trazabilidad</x:v>
      </x:c>
      <x:c r="D155" s="73" t="str">
        <x:v>03 · Consolidación digital</x:v>
      </x:c>
      <x:c r="E155" s="73" t="str">
        <x:v>Visualización</x:v>
      </x:c>
      <x:c r="F155" s="73" t="str">
        <x:v>MON2-007</x:v>
      </x:c>
      <x:c r="G155" s="73" t="str">
        <x:v>Dashboard de errores y eventos</x:v>
      </x:c>
      <x:c r="H155" s="73" t="str">
        <x:v>Dashboard</x:v>
      </x:c>
      <x:c r="I155" s="85" t="n">
        <x:v>1</x:v>
      </x:c>
      <x:c r="J155" s="73" t="str">
        <x:v>Sí</x:v>
      </x:c>
      <x:c r="K155" s="73" t="str">
        <x:v>No</x:v>
      </x:c>
      <x:c r="L155" s="85" t="n">
        <x:v>3</x:v>
      </x:c>
      <x:c r="M155" s="85" t="str">
        <x:v>Parcial</x:v>
      </x:c>
      <x:c r="N155" s="85" t="n">
        <x:v>0.85</x:v>
      </x:c>
      <x:c r="O155" s="85" t="n">
        <x:f>L155*N155</x:f>
        <x:v>2.55</x:v>
      </x:c>
      <x:c r="P155" s="85" t="str">
        <x:v>Alta</x:v>
      </x:c>
      <x:c r="Q155" s="85" t="n">
        <x:v>1</x:v>
      </x:c>
      <x:c r="R155" s="85" t="n">
        <x:v>1.45</x:v>
      </x:c>
      <x:c r="S155" s="85" t="n">
        <x:v>1.8</x:v>
      </x:c>
      <x:c r="T155" s="85" t="n">
        <x:f>IF(J155="Sí",I155*O155*Q155,0)</x:f>
        <x:v>2.55</x:v>
      </x:c>
      <x:c r="U155" s="85" t="n">
        <x:f>IF(J155="Sí",I155*O155*R155,0)</x:f>
        <x:v>3.6975</x:v>
      </x:c>
      <x:c r="V155" s="85" t="n">
        <x:f>IF(J155="Sí",I155*O155*S155,0)</x:f>
        <x:v>4.59</x:v>
      </x:c>
      <x:c r="W155" s="73"/>
      <x:c r="X155" s="73" t="str">
        <x:v>Dashboard de logs</x:v>
      </x:c>
      <x:c r="Y155" s="73" t="str">
        <x:v>Errores, niveles y tendencias</x:v>
      </x:c>
      <x:c r="Z155" s="73"/>
      <x:c r="AA155" s="73" t="str">
        <x:v>Preliminar</x:v>
      </x:c>
      <x:c r="AB155" s="78" t="str">
        <x:v>Estimación técnica ISM · Validar</x:v>
      </x:c>
    </x:row>
    <x:row r="156">
      <x:c r="A156" s="77" t="str">
        <x:v>Monitoreo y Observabilidad</x:v>
      </x:c>
      <x:c r="B156" s="73" t="str">
        <x:v>MON-02</x:v>
      </x:c>
      <x:c r="C156" s="73" t="str">
        <x:v>Centralización de logs y trazabilidad</x:v>
      </x:c>
      <x:c r="D156" s="73" t="str">
        <x:v>03 · Consolidación digital</x:v>
      </x:c>
      <x:c r="E156" s="73" t="str">
        <x:v>Alertas</x:v>
      </x:c>
      <x:c r="F156" s="73" t="str">
        <x:v>MON2-008</x:v>
      </x:c>
      <x:c r="G156" s="73" t="str">
        <x:v>Alerta por patrón crítico</x:v>
      </x:c>
      <x:c r="H156" s="73" t="str">
        <x:v>Regla</x:v>
      </x:c>
      <x:c r="I156" s="85" t="n">
        <x:v>3</x:v>
      </x:c>
      <x:c r="J156" s="73" t="str">
        <x:v>Sí</x:v>
      </x:c>
      <x:c r="K156" s="73" t="str">
        <x:v>No</x:v>
      </x:c>
      <x:c r="L156" s="85" t="n">
        <x:v>1</x:v>
      </x:c>
      <x:c r="M156" s="85" t="str">
        <x:v>Parcial</x:v>
      </x:c>
      <x:c r="N156" s="85" t="n">
        <x:v>0.85</x:v>
      </x:c>
      <x:c r="O156" s="85" t="n">
        <x:f>L156*N156</x:f>
        <x:v>0.85</x:v>
      </x:c>
      <x:c r="P156" s="85" t="str">
        <x:v>Alta</x:v>
      </x:c>
      <x:c r="Q156" s="85" t="n">
        <x:v>1</x:v>
      </x:c>
      <x:c r="R156" s="85" t="n">
        <x:v>1.45</x:v>
      </x:c>
      <x:c r="S156" s="85" t="n">
        <x:v>1.8</x:v>
      </x:c>
      <x:c r="T156" s="85" t="n">
        <x:f>IF(J156="Sí",I156*O156*Q156,0)</x:f>
        <x:v>2.55</x:v>
      </x:c>
      <x:c r="U156" s="85" t="n">
        <x:f>IF(J156="Sí",I156*O156*R156,0)</x:f>
        <x:v>3.6975</x:v>
      </x:c>
      <x:c r="V156" s="85" t="n">
        <x:f>IF(J156="Sí",I156*O156*S156,0)</x:f>
        <x:v>4.59</x:v>
      </x:c>
      <x:c r="W156" s="73"/>
      <x:c r="X156" s="73" t="str">
        <x:v>Reglas de alerta</x:v>
      </x:c>
      <x:c r="Y156" s="73" t="str">
        <x:v>Patrones, frecuencia y severidad</x:v>
      </x:c>
      <x:c r="Z156" s="73"/>
      <x:c r="AA156" s="73" t="str">
        <x:v>Preliminar</x:v>
      </x:c>
      <x:c r="AB156" s="78" t="str">
        <x:v>Estimación técnica ISM · Validar</x:v>
      </x:c>
    </x:row>
    <x:row r="157">
      <x:c r="A157" s="77" t="str">
        <x:v>Monitoreo y Observabilidad</x:v>
      </x:c>
      <x:c r="B157" s="73" t="str">
        <x:v>MON-02</x:v>
      </x:c>
      <x:c r="C157" s="73" t="str">
        <x:v>Centralización de logs y trazabilidad</x:v>
      </x:c>
      <x:c r="D157" s="73" t="str">
        <x:v>03 · Consolidación digital</x:v>
      </x:c>
      <x:c r="E157" s="73" t="str">
        <x:v>Calidad</x:v>
      </x:c>
      <x:c r="F157" s="73" t="str">
        <x:v>MON2-009</x:v>
      </x:c>
      <x:c r="G157" s="73" t="str">
        <x:v>Pruebas de generación y búsqueda</x:v>
      </x:c>
      <x:c r="H157" s="73" t="str">
        <x:v>Caso</x:v>
      </x:c>
      <x:c r="I157" s="85" t="n">
        <x:v>4</x:v>
      </x:c>
      <x:c r="J157" s="73" t="str">
        <x:v>Sí</x:v>
      </x:c>
      <x:c r="K157" s="73" t="str">
        <x:v>Sí</x:v>
      </x:c>
      <x:c r="L157" s="85" t="n">
        <x:v>0.75</x:v>
      </x:c>
      <x:c r="M157" s="85" t="str">
        <x:v>Parcial</x:v>
      </x:c>
      <x:c r="N157" s="85" t="n">
        <x:v>0.85</x:v>
      </x:c>
      <x:c r="O157" s="85" t="n">
        <x:f>L157*N157</x:f>
        <x:v>0.6375</x:v>
      </x:c>
      <x:c r="P157" s="85" t="str">
        <x:v>Media</x:v>
      </x:c>
      <x:c r="Q157" s="85" t="n">
        <x:v>1</x:v>
      </x:c>
      <x:c r="R157" s="85" t="n">
        <x:v>1.3</x:v>
      </x:c>
      <x:c r="S157" s="85" t="n">
        <x:v>1.55</x:v>
      </x:c>
      <x:c r="T157" s="85" t="n">
        <x:f>IF(J157="Sí",I157*O157*Q157,0)</x:f>
        <x:v>2.55</x:v>
      </x:c>
      <x:c r="U157" s="85" t="n">
        <x:f>IF(J157="Sí",I157*O157*R157,0)</x:f>
        <x:v>3.315</x:v>
      </x:c>
      <x:c r="V157" s="85" t="n">
        <x:f>IF(J157="Sí",I157*O157*S157,0)</x:f>
        <x:v>3.9524999999999997</x:v>
      </x:c>
      <x:c r="W157" s="73"/>
      <x:c r="X157" s="73" t="str">
        <x:v>Pruebas de logs</x:v>
      </x:c>
      <x:c r="Y157" s="73" t="str">
        <x:v>Generación, recepción y consulta</x:v>
      </x:c>
      <x:c r="Z157" s="73"/>
      <x:c r="AA157" s="73" t="str">
        <x:v>Preliminar</x:v>
      </x:c>
      <x:c r="AB157" s="78" t="str">
        <x:v>Estimación técnica ISM · Validar</x:v>
      </x:c>
    </x:row>
    <x:row r="158">
      <x:c r="A158" s="77" t="str">
        <x:v>Monitoreo y Observabilidad</x:v>
      </x:c>
      <x:c r="B158" s="73" t="str">
        <x:v>MON-02</x:v>
      </x:c>
      <x:c r="C158" s="73" t="str">
        <x:v>Centralización de logs y trazabilidad</x:v>
      </x:c>
      <x:c r="D158" s="73" t="str">
        <x:v>03 · Consolidación digital</x:v>
      </x:c>
      <x:c r="E158" s="73" t="str">
        <x:v>Operación</x:v>
      </x:c>
      <x:c r="F158" s="73" t="str">
        <x:v>MON2-010</x:v>
      </x:c>
      <x:c r="G158" s="73" t="str">
        <x:v>Runbook de consulta y escalamiento</x:v>
      </x:c>
      <x:c r="H158" s="73" t="str">
        <x:v>Documento</x:v>
      </x:c>
      <x:c r="I158" s="85" t="n">
        <x:v>1</x:v>
      </x:c>
      <x:c r="J158" s="73" t="str">
        <x:v>Sí</x:v>
      </x:c>
      <x:c r="K158" s="73" t="str">
        <x:v>Sí</x:v>
      </x:c>
      <x:c r="L158" s="85" t="n">
        <x:v>1.5</x:v>
      </x:c>
      <x:c r="M158" s="85" t="str">
        <x:v>Parcial</x:v>
      </x:c>
      <x:c r="N158" s="85" t="n">
        <x:v>0.85</x:v>
      </x:c>
      <x:c r="O158" s="85" t="n">
        <x:f>L158*N158</x:f>
        <x:v>1.275</x:v>
      </x:c>
      <x:c r="P158" s="85" t="str">
        <x:v>Media</x:v>
      </x:c>
      <x:c r="Q158" s="85" t="n">
        <x:v>1</x:v>
      </x:c>
      <x:c r="R158" s="85" t="n">
        <x:v>1.3</x:v>
      </x:c>
      <x:c r="S158" s="85" t="n">
        <x:v>1.55</x:v>
      </x:c>
      <x:c r="T158" s="85" t="n">
        <x:f>IF(J158="Sí",I158*O158*Q158,0)</x:f>
        <x:v>1.275</x:v>
      </x:c>
      <x:c r="U158" s="85" t="n">
        <x:f>IF(J158="Sí",I158*O158*R158,0)</x:f>
        <x:v>1.6575</x:v>
      </x:c>
      <x:c r="V158" s="85" t="n">
        <x:f>IF(J158="Sí",I158*O158*S158,0)</x:f>
        <x:v>1.9762499999999998</x:v>
      </x:c>
      <x:c r="W158" s="73"/>
      <x:c r="X158" s="73" t="str">
        <x:v>Runbook</x:v>
      </x:c>
      <x:c r="Y158" s="73" t="str">
        <x:v>Búsquedas, filtros y escalamiento</x:v>
      </x:c>
      <x:c r="Z158" s="73"/>
      <x:c r="AA158" s="73" t="str">
        <x:v>Preliminar</x:v>
      </x:c>
      <x:c r="AB158" s="78" t="str">
        <x:v>Estimación técnica ISM · Validar</x:v>
      </x:c>
    </x:row>
    <x:row r="159">
      <x:c r="A159" s="77" t="str">
        <x:v>Monitoreo y Observabilidad</x:v>
      </x:c>
      <x:c r="B159" s="73" t="str">
        <x:v>MON-03</x:v>
      </x:c>
      <x:c r="C159" s="73" t="str">
        <x:v>Métricas y rendimiento</x:v>
      </x:c>
      <x:c r="D159" s="73" t="str">
        <x:v>03 · Consolidación digital</x:v>
      </x:c>
      <x:c r="E159" s="73" t="str">
        <x:v>Diagnóstico</x:v>
      </x:c>
      <x:c r="F159" s="73" t="str">
        <x:v>MON3-001</x:v>
      </x:c>
      <x:c r="G159" s="73" t="str">
        <x:v>Definición de métricas técnicas</x:v>
      </x:c>
      <x:c r="H159" s="73" t="str">
        <x:v>Métrica</x:v>
      </x:c>
      <x:c r="I159" s="85" t="n">
        <x:v>6</x:v>
      </x:c>
      <x:c r="J159" s="73" t="str">
        <x:v>Sí</x:v>
      </x:c>
      <x:c r="K159" s="73" t="str">
        <x:v>Sí</x:v>
      </x:c>
      <x:c r="L159" s="85" t="n">
        <x:v>0.5</x:v>
      </x:c>
      <x:c r="M159" s="85" t="str">
        <x:v>Parcial</x:v>
      </x:c>
      <x:c r="N159" s="85" t="n">
        <x:v>0.85</x:v>
      </x:c>
      <x:c r="O159" s="85" t="n">
        <x:f>L159*N159</x:f>
        <x:v>0.425</x:v>
      </x:c>
      <x:c r="P159" s="85" t="str">
        <x:v>Media</x:v>
      </x:c>
      <x:c r="Q159" s="85" t="n">
        <x:v>1</x:v>
      </x:c>
      <x:c r="R159" s="85" t="n">
        <x:v>1.3</x:v>
      </x:c>
      <x:c r="S159" s="85" t="n">
        <x:v>1.55</x:v>
      </x:c>
      <x:c r="T159" s="85" t="n">
        <x:f>IF(J159="Sí",I159*O159*Q159,0)</x:f>
        <x:v>2.55</x:v>
      </x:c>
      <x:c r="U159" s="85" t="n">
        <x:f>IF(J159="Sí",I159*O159*R159,0)</x:f>
        <x:v>3.315</x:v>
      </x:c>
      <x:c r="V159" s="85" t="n">
        <x:f>IF(J159="Sí",I159*O159*S159,0)</x:f>
        <x:v>3.9524999999999997</x:v>
      </x:c>
      <x:c r="W159" s="73"/>
      <x:c r="X159" s="73" t="str">
        <x:v>Catálogo de métricas</x:v>
      </x:c>
      <x:c r="Y159" s="73" t="str">
        <x:v>CPU, memoria, latencia, errores y volumen</x:v>
      </x:c>
      <x:c r="Z159" s="73"/>
      <x:c r="AA159" s="73" t="str">
        <x:v>Preliminar</x:v>
      </x:c>
      <x:c r="AB159" s="78" t="str">
        <x:v>Estimación técnica ISM · Validar</x:v>
      </x:c>
    </x:row>
    <x:row r="160">
      <x:c r="A160" s="77" t="str">
        <x:v>Monitoreo y Observabilidad</x:v>
      </x:c>
      <x:c r="B160" s="73" t="str">
        <x:v>MON-03</x:v>
      </x:c>
      <x:c r="C160" s="73" t="str">
        <x:v>Métricas y rendimiento</x:v>
      </x:c>
      <x:c r="D160" s="73" t="str">
        <x:v>03 · Consolidación digital</x:v>
      </x:c>
      <x:c r="E160" s="73" t="str">
        <x:v>Instrumentación</x:v>
      </x:c>
      <x:c r="F160" s="73" t="str">
        <x:v>MON3-002</x:v>
      </x:c>
      <x:c r="G160" s="73" t="str">
        <x:v>Instrumentación de métrica de aplicación</x:v>
      </x:c>
      <x:c r="H160" s="73" t="str">
        <x:v>Métrica</x:v>
      </x:c>
      <x:c r="I160" s="85" t="n">
        <x:v>4</x:v>
      </x:c>
      <x:c r="J160" s="73" t="str">
        <x:v>Sí</x:v>
      </x:c>
      <x:c r="K160" s="73" t="str">
        <x:v>No</x:v>
      </x:c>
      <x:c r="L160" s="85" t="n">
        <x:v>1.5</x:v>
      </x:c>
      <x:c r="M160" s="85" t="str">
        <x:v>Parcial</x:v>
      </x:c>
      <x:c r="N160" s="85" t="n">
        <x:v>0.85</x:v>
      </x:c>
      <x:c r="O160" s="85" t="n">
        <x:f>L160*N160</x:f>
        <x:v>1.275</x:v>
      </x:c>
      <x:c r="P160" s="85" t="str">
        <x:v>Alta</x:v>
      </x:c>
      <x:c r="Q160" s="85" t="n">
        <x:v>1</x:v>
      </x:c>
      <x:c r="R160" s="85" t="n">
        <x:v>1.45</x:v>
      </x:c>
      <x:c r="S160" s="85" t="n">
        <x:v>1.8</x:v>
      </x:c>
      <x:c r="T160" s="85" t="n">
        <x:f>IF(J160="Sí",I160*O160*Q160,0)</x:f>
        <x:v>5.1</x:v>
      </x:c>
      <x:c r="U160" s="85" t="n">
        <x:f>IF(J160="Sí",I160*O160*R160,0)</x:f>
        <x:v>7.395</x:v>
      </x:c>
      <x:c r="V160" s="85" t="n">
        <x:f>IF(J160="Sí",I160*O160*S160,0)</x:f>
        <x:v>9.18</x:v>
      </x:c>
      <x:c r="W160" s="73"/>
      <x:c r="X160" s="73" t="str">
        <x:v>Métricas emitidas</x:v>
      </x:c>
      <x:c r="Y160" s="73" t="str">
        <x:v>Código, etiquetas y frecuencia</x:v>
      </x:c>
      <x:c r="Z160" s="73"/>
      <x:c r="AA160" s="73" t="str">
        <x:v>Preliminar</x:v>
      </x:c>
      <x:c r="AB160" s="78" t="str">
        <x:v>Estimación técnica ISM · Validar</x:v>
      </x:c>
    </x:row>
    <x:row r="161">
      <x:c r="A161" s="77" t="str">
        <x:v>Monitoreo y Observabilidad</x:v>
      </x:c>
      <x:c r="B161" s="73" t="str">
        <x:v>MON-03</x:v>
      </x:c>
      <x:c r="C161" s="73" t="str">
        <x:v>Métricas y rendimiento</x:v>
      </x:c>
      <x:c r="D161" s="73" t="str">
        <x:v>03 · Consolidación digital</x:v>
      </x:c>
      <x:c r="E161" s="73" t="str">
        <x:v>Infraestructura</x:v>
      </x:c>
      <x:c r="F161" s="73" t="str">
        <x:v>MON3-003</x:v>
      </x:c>
      <x:c r="G161" s="73" t="str">
        <x:v>Recolección de métricas de infraestructura</x:v>
      </x:c>
      <x:c r="H161" s="73" t="str">
        <x:v>Host</x:v>
      </x:c>
      <x:c r="I161" s="85" t="n">
        <x:v>2</x:v>
      </x:c>
      <x:c r="J161" s="73" t="str">
        <x:v>Sí</x:v>
      </x:c>
      <x:c r="K161" s="73" t="str">
        <x:v>No</x:v>
      </x:c>
      <x:c r="L161" s="85" t="n">
        <x:v>1.5</x:v>
      </x:c>
      <x:c r="M161" s="85" t="str">
        <x:v>Parcial</x:v>
      </x:c>
      <x:c r="N161" s="85" t="n">
        <x:v>0.85</x:v>
      </x:c>
      <x:c r="O161" s="85" t="n">
        <x:f>L161*N161</x:f>
        <x:v>1.275</x:v>
      </x:c>
      <x:c r="P161" s="85" t="str">
        <x:v>Alta</x:v>
      </x:c>
      <x:c r="Q161" s="85" t="n">
        <x:v>1</x:v>
      </x:c>
      <x:c r="R161" s="85" t="n">
        <x:v>1.45</x:v>
      </x:c>
      <x:c r="S161" s="85" t="n">
        <x:v>1.8</x:v>
      </x:c>
      <x:c r="T161" s="85" t="n">
        <x:f>IF(J161="Sí",I161*O161*Q161,0)</x:f>
        <x:v>2.55</x:v>
      </x:c>
      <x:c r="U161" s="85" t="n">
        <x:f>IF(J161="Sí",I161*O161*R161,0)</x:f>
        <x:v>3.6975</x:v>
      </x:c>
      <x:c r="V161" s="85" t="n">
        <x:f>IF(J161="Sí",I161*O161*S161,0)</x:f>
        <x:v>4.59</x:v>
      </x:c>
      <x:c r="W161" s="73"/>
      <x:c r="X161" s="73" t="str">
        <x:v>Hosts monitoreados</x:v>
      </x:c>
      <x:c r="Y161" s="73" t="str">
        <x:v>Agente, permisos y conectividad</x:v>
      </x:c>
      <x:c r="Z161" s="73"/>
      <x:c r="AA161" s="73" t="str">
        <x:v>Preliminar</x:v>
      </x:c>
      <x:c r="AB161" s="78" t="str">
        <x:v>Estimación técnica ISM · Validar</x:v>
      </x:c>
    </x:row>
    <x:row r="162">
      <x:c r="A162" s="77" t="str">
        <x:v>Monitoreo y Observabilidad</x:v>
      </x:c>
      <x:c r="B162" s="73" t="str">
        <x:v>MON-03</x:v>
      </x:c>
      <x:c r="C162" s="73" t="str">
        <x:v>Métricas y rendimiento</x:v>
      </x:c>
      <x:c r="D162" s="73" t="str">
        <x:v>03 · Consolidación digital</x:v>
      </x:c>
      <x:c r="E162" s="73" t="str">
        <x:v>Visualización</x:v>
      </x:c>
      <x:c r="F162" s="73" t="str">
        <x:v>MON3-004</x:v>
      </x:c>
      <x:c r="G162" s="73" t="str">
        <x:v>Dashboard operacional</x:v>
      </x:c>
      <x:c r="H162" s="73" t="str">
        <x:v>Dashboard</x:v>
      </x:c>
      <x:c r="I162" s="85" t="n">
        <x:v>1</x:v>
      </x:c>
      <x:c r="J162" s="73" t="str">
        <x:v>Sí</x:v>
      </x:c>
      <x:c r="K162" s="73" t="str">
        <x:v>No</x:v>
      </x:c>
      <x:c r="L162" s="85" t="n">
        <x:v>3</x:v>
      </x:c>
      <x:c r="M162" s="85" t="str">
        <x:v>Parcial</x:v>
      </x:c>
      <x:c r="N162" s="85" t="n">
        <x:v>0.85</x:v>
      </x:c>
      <x:c r="O162" s="85" t="n">
        <x:f>L162*N162</x:f>
        <x:v>2.55</x:v>
      </x:c>
      <x:c r="P162" s="85" t="str">
        <x:v>Alta</x:v>
      </x:c>
      <x:c r="Q162" s="85" t="n">
        <x:v>1</x:v>
      </x:c>
      <x:c r="R162" s="85" t="n">
        <x:v>1.45</x:v>
      </x:c>
      <x:c r="S162" s="85" t="n">
        <x:v>1.8</x:v>
      </x:c>
      <x:c r="T162" s="85" t="n">
        <x:f>IF(J162="Sí",I162*O162*Q162,0)</x:f>
        <x:v>2.55</x:v>
      </x:c>
      <x:c r="U162" s="85" t="n">
        <x:f>IF(J162="Sí",I162*O162*R162,0)</x:f>
        <x:v>3.6975</x:v>
      </x:c>
      <x:c r="V162" s="85" t="n">
        <x:f>IF(J162="Sí",I162*O162*S162,0)</x:f>
        <x:v>4.59</x:v>
      </x:c>
      <x:c r="W162" s="73"/>
      <x:c r="X162" s="73" t="str">
        <x:v>Dashboard operacional</x:v>
      </x:c>
      <x:c r="Y162" s="73" t="str">
        <x:v>Salud, capacidad y rendimiento</x:v>
      </x:c>
      <x:c r="Z162" s="73"/>
      <x:c r="AA162" s="73" t="str">
        <x:v>Preliminar</x:v>
      </x:c>
      <x:c r="AB162" s="78" t="str">
        <x:v>Estimación técnica ISM · Validar</x:v>
      </x:c>
    </x:row>
    <x:row r="163">
      <x:c r="A163" s="77" t="str">
        <x:v>Monitoreo y Observabilidad</x:v>
      </x:c>
      <x:c r="B163" s="73" t="str">
        <x:v>MON-03</x:v>
      </x:c>
      <x:c r="C163" s="73" t="str">
        <x:v>Métricas y rendimiento</x:v>
      </x:c>
      <x:c r="D163" s="73" t="str">
        <x:v>03 · Consolidación digital</x:v>
      </x:c>
      <x:c r="E163" s="73" t="str">
        <x:v>Alertas</x:v>
      </x:c>
      <x:c r="F163" s="73" t="str">
        <x:v>MON3-005</x:v>
      </x:c>
      <x:c r="G163" s="73" t="str">
        <x:v>Umbral y alerta de rendimiento</x:v>
      </x:c>
      <x:c r="H163" s="73" t="str">
        <x:v>Métrica</x:v>
      </x:c>
      <x:c r="I163" s="85" t="n">
        <x:v>5</x:v>
      </x:c>
      <x:c r="J163" s="73" t="str">
        <x:v>Sí</x:v>
      </x:c>
      <x:c r="K163" s="73" t="str">
        <x:v>No</x:v>
      </x:c>
      <x:c r="L163" s="85" t="n">
        <x:v>0.75</x:v>
      </x:c>
      <x:c r="M163" s="85" t="str">
        <x:v>Parcial</x:v>
      </x:c>
      <x:c r="N163" s="85" t="n">
        <x:v>0.85</x:v>
      </x:c>
      <x:c r="O163" s="85" t="n">
        <x:f>L163*N163</x:f>
        <x:v>0.6375</x:v>
      </x:c>
      <x:c r="P163" s="85" t="str">
        <x:v>Alta</x:v>
      </x:c>
      <x:c r="Q163" s="85" t="n">
        <x:v>1</x:v>
      </x:c>
      <x:c r="R163" s="85" t="n">
        <x:v>1.45</x:v>
      </x:c>
      <x:c r="S163" s="85" t="n">
        <x:v>1.8</x:v>
      </x:c>
      <x:c r="T163" s="85" t="n">
        <x:f>IF(J163="Sí",I163*O163*Q163,0)</x:f>
        <x:v>3.1875</x:v>
      </x:c>
      <x:c r="U163" s="85" t="n">
        <x:f>IF(J163="Sí",I163*O163*R163,0)</x:f>
        <x:v>4.621875</x:v>
      </x:c>
      <x:c r="V163" s="85" t="n">
        <x:f>IF(J163="Sí",I163*O163*S163,0)</x:f>
        <x:v>5.7375</x:v>
      </x:c>
      <x:c r="W163" s="73"/>
      <x:c r="X163" s="73" t="str">
        <x:v>Alertas de rendimiento</x:v>
      </x:c>
      <x:c r="Y163" s="73" t="str">
        <x:v>Umbral, duración y severidad</x:v>
      </x:c>
      <x:c r="Z163" s="73"/>
      <x:c r="AA163" s="73" t="str">
        <x:v>Preliminar</x:v>
      </x:c>
      <x:c r="AB163" s="78" t="str">
        <x:v>Estimación técnica ISM · Validar</x:v>
      </x:c>
    </x:row>
    <x:row r="164">
      <x:c r="A164" s="77" t="str">
        <x:v>Monitoreo y Observabilidad</x:v>
      </x:c>
      <x:c r="B164" s="73" t="str">
        <x:v>MON-03</x:v>
      </x:c>
      <x:c r="C164" s="73" t="str">
        <x:v>Métricas y rendimiento</x:v>
      </x:c>
      <x:c r="D164" s="73" t="str">
        <x:v>03 · Consolidación digital</x:v>
      </x:c>
      <x:c r="E164" s="73" t="str">
        <x:v>Capacidad</x:v>
      </x:c>
      <x:c r="F164" s="73" t="str">
        <x:v>MON3-006</x:v>
      </x:c>
      <x:c r="G164" s="73" t="str">
        <x:v>Análisis de tendencia y capacidad</x:v>
      </x:c>
      <x:c r="H164" s="73" t="str">
        <x:v>Proyecto</x:v>
      </x:c>
      <x:c r="I164" s="85" t="n">
        <x:v>1</x:v>
      </x:c>
      <x:c r="J164" s="73" t="str">
        <x:v>No</x:v>
      </x:c>
      <x:c r="K164" s="73" t="str">
        <x:v>No</x:v>
      </x:c>
      <x:c r="L164" s="85" t="n">
        <x:v>2.5</x:v>
      </x:c>
      <x:c r="M164" s="85" t="str">
        <x:v>Parcial</x:v>
      </x:c>
      <x:c r="N164" s="85" t="n">
        <x:v>0.85</x:v>
      </x:c>
      <x:c r="O164" s="85" t="n">
        <x:f>L164*N164</x:f>
        <x:v>2.125</x:v>
      </x:c>
      <x:c r="P164" s="85" t="str">
        <x:v>Alta</x:v>
      </x:c>
      <x:c r="Q164" s="85" t="n">
        <x:v>1</x:v>
      </x:c>
      <x:c r="R164" s="85" t="n">
        <x:v>1.45</x:v>
      </x:c>
      <x:c r="S164" s="85" t="n">
        <x:v>1.8</x:v>
      </x:c>
      <x:c r="T164" s="85" t="n">
        <x:f>IF(J164="Sí",I164*O164*Q164,0)</x:f>
        <x:v>0</x:v>
      </x:c>
      <x:c r="U164" s="85" t="n">
        <x:f>IF(J164="Sí",I164*O164*R164,0)</x:f>
        <x:v>0</x:v>
      </x:c>
      <x:c r="V164" s="85" t="n">
        <x:f>IF(J164="Sí",I164*O164*S164,0)</x:f>
        <x:v>0</x:v>
      </x:c>
      <x:c r="W164" s="73"/>
      <x:c r="X164" s="73" t="str">
        <x:v>Informe de capacidad</x:v>
      </x:c>
      <x:c r="Y164" s="73" t="str">
        <x:v>Consumo, tendencia y proyección</x:v>
      </x:c>
      <x:c r="Z164" s="73"/>
      <x:c r="AA164" s="73" t="str">
        <x:v>Preliminar</x:v>
      </x:c>
      <x:c r="AB164" s="78" t="str">
        <x:v>Estimación técnica ISM · Validar</x:v>
      </x:c>
    </x:row>
    <x:row r="165">
      <x:c r="A165" s="77" t="str">
        <x:v>Monitoreo y Observabilidad</x:v>
      </x:c>
      <x:c r="B165" s="73" t="str">
        <x:v>MON-03</x:v>
      </x:c>
      <x:c r="C165" s="73" t="str">
        <x:v>Métricas y rendimiento</x:v>
      </x:c>
      <x:c r="D165" s="73" t="str">
        <x:v>03 · Consolidación digital</x:v>
      </x:c>
      <x:c r="E165" s="73" t="str">
        <x:v>Experiencia</x:v>
      </x:c>
      <x:c r="F165" s="73" t="str">
        <x:v>MON3-007</x:v>
      </x:c>
      <x:c r="G165" s="73" t="str">
        <x:v>Métrica de experiencia o transacción</x:v>
      </x:c>
      <x:c r="H165" s="73" t="str">
        <x:v>Flujo</x:v>
      </x:c>
      <x:c r="I165" s="85" t="n">
        <x:v>2</x:v>
      </x:c>
      <x:c r="J165" s="73" t="str">
        <x:v>No</x:v>
      </x:c>
      <x:c r="K165" s="73" t="str">
        <x:v>No</x:v>
      </x:c>
      <x:c r="L165" s="85" t="n">
        <x:v>1.5</x:v>
      </x:c>
      <x:c r="M165" s="85" t="str">
        <x:v>Parcial</x:v>
      </x:c>
      <x:c r="N165" s="85" t="n">
        <x:v>0.85</x:v>
      </x:c>
      <x:c r="O165" s="85" t="n">
        <x:f>L165*N165</x:f>
        <x:v>1.275</x:v>
      </x:c>
      <x:c r="P165" s="85" t="str">
        <x:v>Alta</x:v>
      </x:c>
      <x:c r="Q165" s="85" t="n">
        <x:v>1</x:v>
      </x:c>
      <x:c r="R165" s="85" t="n">
        <x:v>1.45</x:v>
      </x:c>
      <x:c r="S165" s="85" t="n">
        <x:v>1.8</x:v>
      </x:c>
      <x:c r="T165" s="85" t="n">
        <x:f>IF(J165="Sí",I165*O165*Q165,0)</x:f>
        <x:v>0</x:v>
      </x:c>
      <x:c r="U165" s="85" t="n">
        <x:f>IF(J165="Sí",I165*O165*R165,0)</x:f>
        <x:v>0</x:v>
      </x:c>
      <x:c r="V165" s="85" t="n">
        <x:f>IF(J165="Sí",I165*O165*S165,0)</x:f>
        <x:v>0</x:v>
      </x:c>
      <x:c r="W165" s="73"/>
      <x:c r="X165" s="73" t="str">
        <x:v>Métrica de negocio</x:v>
      </x:c>
      <x:c r="Y165" s="73" t="str">
        <x:v>Tiempo y resultado de transacción</x:v>
      </x:c>
      <x:c r="Z165" s="73"/>
      <x:c r="AA165" s="73" t="str">
        <x:v>Preliminar</x:v>
      </x:c>
      <x:c r="AB165" s="78" t="str">
        <x:v>Estimación técnica ISM · Validar</x:v>
      </x:c>
    </x:row>
    <x:row r="166">
      <x:c r="A166" s="77" t="str">
        <x:v>Monitoreo y Observabilidad</x:v>
      </x:c>
      <x:c r="B166" s="73" t="str">
        <x:v>MON-03</x:v>
      </x:c>
      <x:c r="C166" s="73" t="str">
        <x:v>Métricas y rendimiento</x:v>
      </x:c>
      <x:c r="D166" s="73" t="str">
        <x:v>03 · Consolidación digital</x:v>
      </x:c>
      <x:c r="E166" s="73" t="str">
        <x:v>Calidad</x:v>
      </x:c>
      <x:c r="F166" s="73" t="str">
        <x:v>MON3-008</x:v>
      </x:c>
      <x:c r="G166" s="73" t="str">
        <x:v>Prueba de umbrales y alertas</x:v>
      </x:c>
      <x:c r="H166" s="73" t="str">
        <x:v>Caso</x:v>
      </x:c>
      <x:c r="I166" s="85" t="n">
        <x:v>4</x:v>
      </x:c>
      <x:c r="J166" s="73" t="str">
        <x:v>Sí</x:v>
      </x:c>
      <x:c r="K166" s="73" t="str">
        <x:v>Sí</x:v>
      </x:c>
      <x:c r="L166" s="85" t="n">
        <x:v>0.75</x:v>
      </x:c>
      <x:c r="M166" s="85" t="str">
        <x:v>Parcial</x:v>
      </x:c>
      <x:c r="N166" s="85" t="n">
        <x:v>0.85</x:v>
      </x:c>
      <x:c r="O166" s="85" t="n">
        <x:f>L166*N166</x:f>
        <x:v>0.6375</x:v>
      </x:c>
      <x:c r="P166" s="85" t="str">
        <x:v>Media</x:v>
      </x:c>
      <x:c r="Q166" s="85" t="n">
        <x:v>1</x:v>
      </x:c>
      <x:c r="R166" s="85" t="n">
        <x:v>1.3</x:v>
      </x:c>
      <x:c r="S166" s="85" t="n">
        <x:v>1.55</x:v>
      </x:c>
      <x:c r="T166" s="85" t="n">
        <x:f>IF(J166="Sí",I166*O166*Q166,0)</x:f>
        <x:v>2.55</x:v>
      </x:c>
      <x:c r="U166" s="85" t="n">
        <x:f>IF(J166="Sí",I166*O166*R166,0)</x:f>
        <x:v>3.315</x:v>
      </x:c>
      <x:c r="V166" s="85" t="n">
        <x:f>IF(J166="Sí",I166*O166*S166,0)</x:f>
        <x:v>3.9524999999999997</x:v>
      </x:c>
      <x:c r="W166" s="73"/>
      <x:c r="X166" s="73" t="str">
        <x:v>Pruebas de alertas</x:v>
      </x:c>
      <x:c r="Y166" s="73" t="str">
        <x:v>Generación y recepción</x:v>
      </x:c>
      <x:c r="Z166" s="73"/>
      <x:c r="AA166" s="73" t="str">
        <x:v>Preliminar</x:v>
      </x:c>
      <x:c r="AB166" s="78" t="str">
        <x:v>Estimación técnica ISM · Validar</x:v>
      </x:c>
    </x:row>
    <x:row r="167">
      <x:c r="A167" s="77" t="str">
        <x:v>Monitoreo y Observabilidad</x:v>
      </x:c>
      <x:c r="B167" s="73" t="str">
        <x:v>MON-03</x:v>
      </x:c>
      <x:c r="C167" s="73" t="str">
        <x:v>Métricas y rendimiento</x:v>
      </x:c>
      <x:c r="D167" s="73" t="str">
        <x:v>03 · Consolidación digital</x:v>
      </x:c>
      <x:c r="E167" s="73" t="str">
        <x:v>Reportes</x:v>
      </x:c>
      <x:c r="F167" s="73" t="str">
        <x:v>MON3-009</x:v>
      </x:c>
      <x:c r="G167" s="73" t="str">
        <x:v>Reporte periódico de rendimiento</x:v>
      </x:c>
      <x:c r="H167" s="73" t="str">
        <x:v>Reporte</x:v>
      </x:c>
      <x:c r="I167" s="85" t="n">
        <x:v>1</x:v>
      </x:c>
      <x:c r="J167" s="73" t="str">
        <x:v>Sí</x:v>
      </x:c>
      <x:c r="K167" s="73" t="str">
        <x:v>No</x:v>
      </x:c>
      <x:c r="L167" s="85" t="n">
        <x:v>2</x:v>
      </x:c>
      <x:c r="M167" s="85" t="str">
        <x:v>Parcial</x:v>
      </x:c>
      <x:c r="N167" s="85" t="n">
        <x:v>0.85</x:v>
      </x:c>
      <x:c r="O167" s="85" t="n">
        <x:f>L167*N167</x:f>
        <x:v>1.7</x:v>
      </x:c>
      <x:c r="P167" s="85" t="str">
        <x:v>Media</x:v>
      </x:c>
      <x:c r="Q167" s="85" t="n">
        <x:v>1</x:v>
      </x:c>
      <x:c r="R167" s="85" t="n">
        <x:v>1.3</x:v>
      </x:c>
      <x:c r="S167" s="85" t="n">
        <x:v>1.55</x:v>
      </x:c>
      <x:c r="T167" s="85" t="n">
        <x:f>IF(J167="Sí",I167*O167*Q167,0)</x:f>
        <x:v>1.7</x:v>
      </x:c>
      <x:c r="U167" s="85" t="n">
        <x:f>IF(J167="Sí",I167*O167*R167,0)</x:f>
        <x:v>2.21</x:v>
      </x:c>
      <x:c r="V167" s="85" t="n">
        <x:f>IF(J167="Sí",I167*O167*S167,0)</x:f>
        <x:v>2.635</x:v>
      </x:c>
      <x:c r="W167" s="73"/>
      <x:c r="X167" s="73" t="str">
        <x:v>Reporte de rendimiento</x:v>
      </x:c>
      <x:c r="Y167" s="73" t="str">
        <x:v>Indicadores, eventos y recomendaciones</x:v>
      </x:c>
      <x:c r="Z167" s="73"/>
      <x:c r="AA167" s="73" t="str">
        <x:v>Preliminar</x:v>
      </x:c>
      <x:c r="AB167" s="78" t="str">
        <x:v>Estimación técnica ISM · Validar</x:v>
      </x:c>
    </x:row>
    <x:row r="168">
      <x:c r="A168" s="77" t="str">
        <x:v>Monitoreo y Observabilidad</x:v>
      </x:c>
      <x:c r="B168" s="73" t="str">
        <x:v>MON-03</x:v>
      </x:c>
      <x:c r="C168" s="73" t="str">
        <x:v>Métricas y rendimiento</x:v>
      </x:c>
      <x:c r="D168" s="73" t="str">
        <x:v>03 · Consolidación digital</x:v>
      </x:c>
      <x:c r="E168" s="73" t="str">
        <x:v>Operación</x:v>
      </x:c>
      <x:c r="F168" s="73" t="str">
        <x:v>MON3-010</x:v>
      </x:c>
      <x:c r="G168" s="73" t="str">
        <x:v>Documentación y transferencia</x:v>
      </x:c>
      <x:c r="H168" s="73" t="str">
        <x:v>Proyecto</x:v>
      </x:c>
      <x:c r="I168" s="85" t="n">
        <x:v>1</x:v>
      </x:c>
      <x:c r="J168" s="73" t="str">
        <x:v>Sí</x:v>
      </x:c>
      <x:c r="K168" s="73" t="str">
        <x:v>Sí</x:v>
      </x:c>
      <x:c r="L168" s="85" t="n">
        <x:v>1.5</x:v>
      </x:c>
      <x:c r="M168" s="85" t="str">
        <x:v>Parcial</x:v>
      </x:c>
      <x:c r="N168" s="85" t="n">
        <x:v>0.85</x:v>
      </x:c>
      <x:c r="O168" s="85" t="n">
        <x:f>L168*N168</x:f>
        <x:v>1.275</x:v>
      </x:c>
      <x:c r="P168" s="85" t="str">
        <x:v>Media</x:v>
      </x:c>
      <x:c r="Q168" s="85" t="n">
        <x:v>1</x:v>
      </x:c>
      <x:c r="R168" s="85" t="n">
        <x:v>1.3</x:v>
      </x:c>
      <x:c r="S168" s="85" t="n">
        <x:v>1.55</x:v>
      </x:c>
      <x:c r="T168" s="85" t="n">
        <x:f>IF(J168="Sí",I168*O168*Q168,0)</x:f>
        <x:v>1.275</x:v>
      </x:c>
      <x:c r="U168" s="85" t="n">
        <x:f>IF(J168="Sí",I168*O168*R168,0)</x:f>
        <x:v>1.6575</x:v>
      </x:c>
      <x:c r="V168" s="85" t="n">
        <x:f>IF(J168="Sí",I168*O168*S168,0)</x:f>
        <x:v>1.9762499999999998</x:v>
      </x:c>
      <x:c r="W168" s="73"/>
      <x:c r="X168" s="73" t="str">
        <x:v>Guía operativa</x:v>
      </x:c>
      <x:c r="Y168" s="73" t="str">
        <x:v>Dashboards, alertas y mantenimiento</x:v>
      </x:c>
      <x:c r="Z168" s="73"/>
      <x:c r="AA168" s="73" t="str">
        <x:v>Preliminar</x:v>
      </x:c>
      <x:c r="AB168" s="78" t="str">
        <x:v>Estimación técnica ISM · Validar</x:v>
      </x:c>
    </x:row>
    <x:row r="169">
      <x:c r="A169" s="77" t="str">
        <x:v>Respaldo y Continuidad</x:v>
      </x:c>
      <x:c r="B169" s="73" t="str">
        <x:v>BCP-01</x:v>
      </x:c>
      <x:c r="C169" s="73" t="str">
        <x:v>Implementación de respaldos</x:v>
      </x:c>
      <x:c r="D169" s="73" t="str">
        <x:v>03 · Consolidación digital</x:v>
      </x:c>
      <x:c r="E169" s="73" t="str">
        <x:v>Diagnóstico</x:v>
      </x:c>
      <x:c r="F169" s="73" t="str">
        <x:v>BCP1-001</x:v>
      </x:c>
      <x:c r="G169" s="73" t="str">
        <x:v>Inventario de activos y datos críticos</x:v>
      </x:c>
      <x:c r="H169" s="73" t="str">
        <x:v>Activo</x:v>
      </x:c>
      <x:c r="I169" s="85" t="n">
        <x:v>4</x:v>
      </x:c>
      <x:c r="J169" s="73" t="str">
        <x:v>Sí</x:v>
      </x:c>
      <x:c r="K169" s="73" t="str">
        <x:v>Sí</x:v>
      </x:c>
      <x:c r="L169" s="85" t="n">
        <x:v>0.75</x:v>
      </x:c>
      <x:c r="M169" s="85" t="str">
        <x:v>Parcial</x:v>
      </x:c>
      <x:c r="N169" s="85" t="n">
        <x:v>0.88</x:v>
      </x:c>
      <x:c r="O169" s="85" t="n">
        <x:f>L169*N169</x:f>
        <x:v>0.66</x:v>
      </x:c>
      <x:c r="P169" s="85" t="str">
        <x:v>Media</x:v>
      </x:c>
      <x:c r="Q169" s="85" t="n">
        <x:v>1</x:v>
      </x:c>
      <x:c r="R169" s="85" t="n">
        <x:v>1.3</x:v>
      </x:c>
      <x:c r="S169" s="85" t="n">
        <x:v>1.55</x:v>
      </x:c>
      <x:c r="T169" s="85" t="n">
        <x:f>IF(J169="Sí",I169*O169*Q169,0)</x:f>
        <x:v>2.64</x:v>
      </x:c>
      <x:c r="U169" s="85" t="n">
        <x:f>IF(J169="Sí",I169*O169*R169,0)</x:f>
        <x:v>3.4320000000000004</x:v>
      </x:c>
      <x:c r="V169" s="85" t="n">
        <x:f>IF(J169="Sí",I169*O169*S169,0)</x:f>
        <x:v>4.0920000000000005</x:v>
      </x:c>
      <x:c r="W169" s="73"/>
      <x:c r="X169" s="73" t="str">
        <x:v>Inventario de respaldo</x:v>
      </x:c>
      <x:c r="Y169" s="73" t="str">
        <x:v>Sistemas, datos, propietarios y criticidad</x:v>
      </x:c>
      <x:c r="Z169" s="73"/>
      <x:c r="AA169" s="73" t="str">
        <x:v>Preliminar</x:v>
      </x:c>
      <x:c r="AB169" s="78" t="str">
        <x:v>Estimación técnica ISM · Validar</x:v>
      </x:c>
    </x:row>
    <x:row r="170">
      <x:c r="A170" s="77" t="str">
        <x:v>Respaldo y Continuidad</x:v>
      </x:c>
      <x:c r="B170" s="73" t="str">
        <x:v>BCP-01</x:v>
      </x:c>
      <x:c r="C170" s="73" t="str">
        <x:v>Implementación de respaldos</x:v>
      </x:c>
      <x:c r="D170" s="73" t="str">
        <x:v>03 · Consolidación digital</x:v>
      </x:c>
      <x:c r="E170" s="73" t="str">
        <x:v>Diseño</x:v>
      </x:c>
      <x:c r="F170" s="73" t="str">
        <x:v>BCP1-002</x:v>
      </x:c>
      <x:c r="G170" s="73" t="str">
        <x:v>Confirmación de RPO y RTO operativo para respaldos</x:v>
      </x:c>
      <x:c r="H170" s="73" t="str">
        <x:v>Servicio</x:v>
      </x:c>
      <x:c r="I170" s="85" t="n">
        <x:v>3</x:v>
      </x:c>
      <x:c r="J170" s="73" t="str">
        <x:v>Sí</x:v>
      </x:c>
      <x:c r="K170" s="73" t="str">
        <x:v>Sí</x:v>
      </x:c>
      <x:c r="L170" s="85" t="n">
        <x:v>1</x:v>
      </x:c>
      <x:c r="M170" s="85" t="str">
        <x:v>Parcial</x:v>
      </x:c>
      <x:c r="N170" s="85" t="n">
        <x:v>0.88</x:v>
      </x:c>
      <x:c r="O170" s="85" t="n">
        <x:f>L170*N170</x:f>
        <x:v>0.88</x:v>
      </x:c>
      <x:c r="P170" s="85" t="str">
        <x:v>Alta</x:v>
      </x:c>
      <x:c r="Q170" s="85" t="n">
        <x:v>1</x:v>
      </x:c>
      <x:c r="R170" s="85" t="n">
        <x:v>1.45</x:v>
      </x:c>
      <x:c r="S170" s="85" t="n">
        <x:v>1.8</x:v>
      </x:c>
      <x:c r="T170" s="85" t="n">
        <x:f>IF(J170="Sí",I170*O170*Q170,0)</x:f>
        <x:v>2.64</x:v>
      </x:c>
      <x:c r="U170" s="85" t="n">
        <x:f>IF(J170="Sí",I170*O170*R170,0)</x:f>
        <x:v>3.828</x:v>
      </x:c>
      <x:c r="V170" s="85" t="n">
        <x:f>IF(J170="Sí",I170*O170*S170,0)</x:f>
        <x:v>4.752000000000001</x:v>
      </x:c>
      <x:c r="W170" s="73"/>
      <x:c r="X170" s="73" t="str">
        <x:v>Objetivos de recuperación</x:v>
      </x:c>
      <x:c r="Y170" s="73" t="str">
        <x:v>Validación básica de objetivos necesarios para definir frecuencia y restauración del respaldo.</x:v>
      </x:c>
      <x:c r="Z170" s="73" t="str">
        <x:v>Si se incluye BCP-02, reutilizar la definición formal de BCP2-003 y no duplicar este esfuerzo.</x:v>
      </x:c>
      <x:c r="AA170" s="73" t="str">
        <x:v>Preliminar</x:v>
      </x:c>
      <x:c r="AB170" s="78" t="str">
        <x:v>Estimación técnica ISM · Validar</x:v>
      </x:c>
    </x:row>
    <x:row r="171">
      <x:c r="A171" s="77" t="str">
        <x:v>Respaldo y Continuidad</x:v>
      </x:c>
      <x:c r="B171" s="73" t="str">
        <x:v>BCP-01</x:v>
      </x:c>
      <x:c r="C171" s="73" t="str">
        <x:v>Implementación de respaldos</x:v>
      </x:c>
      <x:c r="D171" s="73" t="str">
        <x:v>03 · Consolidación digital</x:v>
      </x:c>
      <x:c r="E171" s="73" t="str">
        <x:v>Diseño</x:v>
      </x:c>
      <x:c r="F171" s="73" t="str">
        <x:v>BCP1-003</x:v>
      </x:c>
      <x:c r="G171" s="73" t="str">
        <x:v>Diseño de política de respaldo</x:v>
      </x:c>
      <x:c r="H171" s="73" t="str">
        <x:v>Proyecto</x:v>
      </x:c>
      <x:c r="I171" s="85" t="n">
        <x:v>1</x:v>
      </x:c>
      <x:c r="J171" s="73" t="str">
        <x:v>Sí</x:v>
      </x:c>
      <x:c r="K171" s="73" t="str">
        <x:v>Sí</x:v>
      </x:c>
      <x:c r="L171" s="85" t="n">
        <x:v>2</x:v>
      </x:c>
      <x:c r="M171" s="85" t="str">
        <x:v>Parcial</x:v>
      </x:c>
      <x:c r="N171" s="85" t="n">
        <x:v>0.88</x:v>
      </x:c>
      <x:c r="O171" s="85" t="n">
        <x:f>L171*N171</x:f>
        <x:v>1.76</x:v>
      </x:c>
      <x:c r="P171" s="85" t="str">
        <x:v>Alta</x:v>
      </x:c>
      <x:c r="Q171" s="85" t="n">
        <x:v>1</x:v>
      </x:c>
      <x:c r="R171" s="85" t="n">
        <x:v>1.45</x:v>
      </x:c>
      <x:c r="S171" s="85" t="n">
        <x:v>1.8</x:v>
      </x:c>
      <x:c r="T171" s="85" t="n">
        <x:f>IF(J171="Sí",I171*O171*Q171,0)</x:f>
        <x:v>1.76</x:v>
      </x:c>
      <x:c r="U171" s="85" t="n">
        <x:f>IF(J171="Sí",I171*O171*R171,0)</x:f>
        <x:v>2.552</x:v>
      </x:c>
      <x:c r="V171" s="85" t="n">
        <x:f>IF(J171="Sí",I171*O171*S171,0)</x:f>
        <x:v>3.168</x:v>
      </x:c>
      <x:c r="W171" s="73"/>
      <x:c r="X171" s="73" t="str">
        <x:v>Política de respaldo</x:v>
      </x:c>
      <x:c r="Y171" s="73" t="str">
        <x:v>Frecuencia, retención, cifrado y ubicación</x:v>
      </x:c>
      <x:c r="Z171" s="73"/>
      <x:c r="AA171" s="73" t="str">
        <x:v>Preliminar</x:v>
      </x:c>
      <x:c r="AB171" s="78" t="str">
        <x:v>Estimación técnica ISM · Validar</x:v>
      </x:c>
    </x:row>
    <x:row r="172">
      <x:c r="A172" s="77" t="str">
        <x:v>Respaldo y Continuidad</x:v>
      </x:c>
      <x:c r="B172" s="73" t="str">
        <x:v>BCP-01</x:v>
      </x:c>
      <x:c r="C172" s="73" t="str">
        <x:v>Implementación de respaldos</x:v>
      </x:c>
      <x:c r="D172" s="73" t="str">
        <x:v>03 · Consolidación digital</x:v>
      </x:c>
      <x:c r="E172" s="73" t="str">
        <x:v>Implementación</x:v>
      </x:c>
      <x:c r="F172" s="73" t="str">
        <x:v>BCP1-004</x:v>
      </x:c>
      <x:c r="G172" s="73" t="str">
        <x:v>Configuración de job de respaldo</x:v>
      </x:c>
      <x:c r="H172" s="73" t="str">
        <x:v>Job</x:v>
      </x:c>
      <x:c r="I172" s="85" t="n">
        <x:v>3</x:v>
      </x:c>
      <x:c r="J172" s="73" t="str">
        <x:v>Sí</x:v>
      </x:c>
      <x:c r="K172" s="73" t="str">
        <x:v>No</x:v>
      </x:c>
      <x:c r="L172" s="85" t="n">
        <x:v>1.5</x:v>
      </x:c>
      <x:c r="M172" s="85" t="str">
        <x:v>Parcial</x:v>
      </x:c>
      <x:c r="N172" s="85" t="n">
        <x:v>0.88</x:v>
      </x:c>
      <x:c r="O172" s="85" t="n">
        <x:f>L172*N172</x:f>
        <x:v>1.32</x:v>
      </x:c>
      <x:c r="P172" s="85" t="str">
        <x:v>Alta</x:v>
      </x:c>
      <x:c r="Q172" s="85" t="n">
        <x:v>1</x:v>
      </x:c>
      <x:c r="R172" s="85" t="n">
        <x:v>1.45</x:v>
      </x:c>
      <x:c r="S172" s="85" t="n">
        <x:v>1.8</x:v>
      </x:c>
      <x:c r="T172" s="85" t="n">
        <x:f>IF(J172="Sí",I172*O172*Q172,0)</x:f>
        <x:v>3.96</x:v>
      </x:c>
      <x:c r="U172" s="85" t="n">
        <x:f>IF(J172="Sí",I172*O172*R172,0)</x:f>
        <x:v>5.742</x:v>
      </x:c>
      <x:c r="V172" s="85" t="n">
        <x:f>IF(J172="Sí",I172*O172*S172,0)</x:f>
        <x:v>7.128</x:v>
      </x:c>
      <x:c r="W172" s="73"/>
      <x:c r="X172" s="73" t="str">
        <x:v>Jobs configurados</x:v>
      </x:c>
      <x:c r="Y172" s="73" t="str">
        <x:v>Origen, destino, horario y retención</x:v>
      </x:c>
      <x:c r="Z172" s="73"/>
      <x:c r="AA172" s="73" t="str">
        <x:v>Preliminar</x:v>
      </x:c>
      <x:c r="AB172" s="78" t="str">
        <x:v>Estimación técnica ISM · Validar</x:v>
      </x:c>
    </x:row>
    <x:row r="173">
      <x:c r="A173" s="77" t="str">
        <x:v>Respaldo y Continuidad</x:v>
      </x:c>
      <x:c r="B173" s="73" t="str">
        <x:v>BCP-01</x:v>
      </x:c>
      <x:c r="C173" s="73" t="str">
        <x:v>Implementación de respaldos</x:v>
      </x:c>
      <x:c r="D173" s="73" t="str">
        <x:v>03 · Consolidación digital</x:v>
      </x:c>
      <x:c r="E173" s="73" t="str">
        <x:v>Implementación</x:v>
      </x:c>
      <x:c r="F173" s="73" t="str">
        <x:v>BCP1-005</x:v>
      </x:c>
      <x:c r="G173" s="73" t="str">
        <x:v>Configuración de cifrado y acceso</x:v>
      </x:c>
      <x:c r="H173" s="73" t="str">
        <x:v>Entorno</x:v>
      </x:c>
      <x:c r="I173" s="85" t="n">
        <x:v>1</x:v>
      </x:c>
      <x:c r="J173" s="73" t="str">
        <x:v>Sí</x:v>
      </x:c>
      <x:c r="K173" s="73" t="str">
        <x:v>No</x:v>
      </x:c>
      <x:c r="L173" s="85" t="n">
        <x:v>1.5</x:v>
      </x:c>
      <x:c r="M173" s="85" t="str">
        <x:v>Parcial</x:v>
      </x:c>
      <x:c r="N173" s="85" t="n">
        <x:v>0.88</x:v>
      </x:c>
      <x:c r="O173" s="85" t="n">
        <x:f>L173*N173</x:f>
        <x:v>1.32</x:v>
      </x:c>
      <x:c r="P173" s="85" t="str">
        <x:v>Alta</x:v>
      </x:c>
      <x:c r="Q173" s="85" t="n">
        <x:v>1</x:v>
      </x:c>
      <x:c r="R173" s="85" t="n">
        <x:v>1.45</x:v>
      </x:c>
      <x:c r="S173" s="85" t="n">
        <x:v>1.8</x:v>
      </x:c>
      <x:c r="T173" s="85" t="n">
        <x:f>IF(J173="Sí",I173*O173*Q173,0)</x:f>
        <x:v>1.32</x:v>
      </x:c>
      <x:c r="U173" s="85" t="n">
        <x:f>IF(J173="Sí",I173*O173*R173,0)</x:f>
        <x:v>1.914</x:v>
      </x:c>
      <x:c r="V173" s="85" t="n">
        <x:f>IF(J173="Sí",I173*O173*S173,0)</x:f>
        <x:v>2.3760000000000003</x:v>
      </x:c>
      <x:c r="W173" s="73"/>
      <x:c r="X173" s="73" t="str">
        <x:v>Respaldo protegido</x:v>
      </x:c>
      <x:c r="Y173" s="73" t="str">
        <x:v>Claves, permisos y acceso restringido</x:v>
      </x:c>
      <x:c r="Z173" s="73"/>
      <x:c r="AA173" s="73" t="str">
        <x:v>Preliminar</x:v>
      </x:c>
      <x:c r="AB173" s="78" t="str">
        <x:v>Estimación técnica ISM · Validar</x:v>
      </x:c>
    </x:row>
    <x:row r="174">
      <x:c r="A174" s="77" t="str">
        <x:v>Respaldo y Continuidad</x:v>
      </x:c>
      <x:c r="B174" s="73" t="str">
        <x:v>BCP-01</x:v>
      </x:c>
      <x:c r="C174" s="73" t="str">
        <x:v>Implementación de respaldos</x:v>
      </x:c>
      <x:c r="D174" s="73" t="str">
        <x:v>03 · Consolidación digital</x:v>
      </x:c>
      <x:c r="E174" s="73" t="str">
        <x:v>Implementación</x:v>
      </x:c>
      <x:c r="F174" s="73" t="str">
        <x:v>BCP1-006</x:v>
      </x:c>
      <x:c r="G174" s="73" t="str">
        <x:v>Copia externa o segunda ubicación</x:v>
      </x:c>
      <x:c r="H174" s="73" t="str">
        <x:v>Destino</x:v>
      </x:c>
      <x:c r="I174" s="85" t="n">
        <x:v>1</x:v>
      </x:c>
      <x:c r="J174" s="73" t="str">
        <x:v>No</x:v>
      </x:c>
      <x:c r="K174" s="73" t="str">
        <x:v>No</x:v>
      </x:c>
      <x:c r="L174" s="85" t="n">
        <x:v>2</x:v>
      </x:c>
      <x:c r="M174" s="85" t="str">
        <x:v>Parcial</x:v>
      </x:c>
      <x:c r="N174" s="85" t="n">
        <x:v>0.88</x:v>
      </x:c>
      <x:c r="O174" s="85" t="n">
        <x:f>L174*N174</x:f>
        <x:v>1.76</x:v>
      </x:c>
      <x:c r="P174" s="85" t="str">
        <x:v>Alta</x:v>
      </x:c>
      <x:c r="Q174" s="85" t="n">
        <x:v>1</x:v>
      </x:c>
      <x:c r="R174" s="85" t="n">
        <x:v>1.45</x:v>
      </x:c>
      <x:c r="S174" s="85" t="n">
        <x:v>1.8</x:v>
      </x:c>
      <x:c r="T174" s="85" t="n">
        <x:f>IF(J174="Sí",I174*O174*Q174,0)</x:f>
        <x:v>0</x:v>
      </x:c>
      <x:c r="U174" s="85" t="n">
        <x:f>IF(J174="Sí",I174*O174*R174,0)</x:f>
        <x:v>0</x:v>
      </x:c>
      <x:c r="V174" s="85" t="n">
        <x:f>IF(J174="Sí",I174*O174*S174,0)</x:f>
        <x:v>0</x:v>
      </x:c>
      <x:c r="W174" s="73"/>
      <x:c r="X174" s="73" t="str">
        <x:v>Copia externa</x:v>
      </x:c>
      <x:c r="Y174" s="73" t="str">
        <x:v>Transferencia, validación y retención</x:v>
      </x:c>
      <x:c r="Z174" s="73"/>
      <x:c r="AA174" s="73" t="str">
        <x:v>Preliminar</x:v>
      </x:c>
      <x:c r="AB174" s="78" t="str">
        <x:v>Estimación técnica ISM · Validar</x:v>
      </x:c>
    </x:row>
    <x:row r="175">
      <x:c r="A175" s="77" t="str">
        <x:v>Respaldo y Continuidad</x:v>
      </x:c>
      <x:c r="B175" s="73" t="str">
        <x:v>BCP-01</x:v>
      </x:c>
      <x:c r="C175" s="73" t="str">
        <x:v>Implementación de respaldos</x:v>
      </x:c>
      <x:c r="D175" s="73" t="str">
        <x:v>03 · Consolidación digital</x:v>
      </x:c>
      <x:c r="E175" s="73" t="str">
        <x:v>Validación</x:v>
      </x:c>
      <x:c r="F175" s="73" t="str">
        <x:v>BCP1-007</x:v>
      </x:c>
      <x:c r="G175" s="73" t="str">
        <x:v>Prueba de respaldo completo</x:v>
      </x:c>
      <x:c r="H175" s="73" t="str">
        <x:v>Job</x:v>
      </x:c>
      <x:c r="I175" s="85" t="n">
        <x:v>3</x:v>
      </x:c>
      <x:c r="J175" s="73" t="str">
        <x:v>Sí</x:v>
      </x:c>
      <x:c r="K175" s="73" t="str">
        <x:v>Sí</x:v>
      </x:c>
      <x:c r="L175" s="85" t="n">
        <x:v>0.75</x:v>
      </x:c>
      <x:c r="M175" s="85" t="str">
        <x:v>Parcial</x:v>
      </x:c>
      <x:c r="N175" s="85" t="n">
        <x:v>0.88</x:v>
      </x:c>
      <x:c r="O175" s="85" t="n">
        <x:f>L175*N175</x:f>
        <x:v>0.66</x:v>
      </x:c>
      <x:c r="P175" s="85" t="str">
        <x:v>Media</x:v>
      </x:c>
      <x:c r="Q175" s="85" t="n">
        <x:v>1</x:v>
      </x:c>
      <x:c r="R175" s="85" t="n">
        <x:v>1.3</x:v>
      </x:c>
      <x:c r="S175" s="85" t="n">
        <x:v>1.55</x:v>
      </x:c>
      <x:c r="T175" s="85" t="n">
        <x:f>IF(J175="Sí",I175*O175*Q175,0)</x:f>
        <x:v>1.98</x:v>
      </x:c>
      <x:c r="U175" s="85" t="n">
        <x:f>IF(J175="Sí",I175*O175*R175,0)</x:f>
        <x:v>2.574</x:v>
      </x:c>
      <x:c r="V175" s="85" t="n">
        <x:f>IF(J175="Sí",I175*O175*S175,0)</x:f>
        <x:v>3.069</x:v>
      </x:c>
      <x:c r="W175" s="73"/>
      <x:c r="X175" s="73" t="str">
        <x:v>Jobs validados</x:v>
      </x:c>
      <x:c r="Y175" s="73" t="str">
        <x:v>Ejecución, duración y resultado</x:v>
      </x:c>
      <x:c r="Z175" s="73"/>
      <x:c r="AA175" s="73" t="str">
        <x:v>Preliminar</x:v>
      </x:c>
      <x:c r="AB175" s="78" t="str">
        <x:v>Estimación técnica ISM · Validar</x:v>
      </x:c>
    </x:row>
    <x:row r="176">
      <x:c r="A176" s="77" t="str">
        <x:v>Respaldo y Continuidad</x:v>
      </x:c>
      <x:c r="B176" s="73" t="str">
        <x:v>BCP-01</x:v>
      </x:c>
      <x:c r="C176" s="73" t="str">
        <x:v>Implementación de respaldos</x:v>
      </x:c>
      <x:c r="D176" s="73" t="str">
        <x:v>03 · Consolidación digital</x:v>
      </x:c>
      <x:c r="E176" s="73" t="str">
        <x:v>Restauración</x:v>
      </x:c>
      <x:c r="F176" s="73" t="str">
        <x:v>BCP1-008</x:v>
      </x:c>
      <x:c r="G176" s="73" t="str">
        <x:v>Prueba de restauración</x:v>
      </x:c>
      <x:c r="H176" s="73" t="str">
        <x:v>Activo</x:v>
      </x:c>
      <x:c r="I176" s="85" t="n">
        <x:v>2</x:v>
      </x:c>
      <x:c r="J176" s="73" t="str">
        <x:v>Sí</x:v>
      </x:c>
      <x:c r="K176" s="73" t="str">
        <x:v>Sí</x:v>
      </x:c>
      <x:c r="L176" s="85" t="n">
        <x:v>2</x:v>
      </x:c>
      <x:c r="M176" s="85" t="str">
        <x:v>Parcial</x:v>
      </x:c>
      <x:c r="N176" s="85" t="n">
        <x:v>0.88</x:v>
      </x:c>
      <x:c r="O176" s="85" t="n">
        <x:f>L176*N176</x:f>
        <x:v>1.76</x:v>
      </x:c>
      <x:c r="P176" s="85" t="str">
        <x:v>Alta</x:v>
      </x:c>
      <x:c r="Q176" s="85" t="n">
        <x:v>1</x:v>
      </x:c>
      <x:c r="R176" s="85" t="n">
        <x:v>1.45</x:v>
      </x:c>
      <x:c r="S176" s="85" t="n">
        <x:v>1.8</x:v>
      </x:c>
      <x:c r="T176" s="85" t="n">
        <x:f>IF(J176="Sí",I176*O176*Q176,0)</x:f>
        <x:v>3.52</x:v>
      </x:c>
      <x:c r="U176" s="85" t="n">
        <x:f>IF(J176="Sí",I176*O176*R176,0)</x:f>
        <x:v>5.104</x:v>
      </x:c>
      <x:c r="V176" s="85" t="n">
        <x:f>IF(J176="Sí",I176*O176*S176,0)</x:f>
        <x:v>6.336</x:v>
      </x:c>
      <x:c r="W176" s="73"/>
      <x:c r="X176" s="73" t="str">
        <x:v>Restauración probada</x:v>
      </x:c>
      <x:c r="Y176" s="73" t="str">
        <x:v>Recuperación y validación de integridad</x:v>
      </x:c>
      <x:c r="Z176" s="73"/>
      <x:c r="AA176" s="73" t="str">
        <x:v>Preliminar</x:v>
      </x:c>
      <x:c r="AB176" s="78" t="str">
        <x:v>Estimación técnica ISM · Validar</x:v>
      </x:c>
    </x:row>
    <x:row r="177">
      <x:c r="A177" s="77" t="str">
        <x:v>Respaldo y Continuidad</x:v>
      </x:c>
      <x:c r="B177" s="73" t="str">
        <x:v>BCP-01</x:v>
      </x:c>
      <x:c r="C177" s="73" t="str">
        <x:v>Implementación de respaldos</x:v>
      </x:c>
      <x:c r="D177" s="73" t="str">
        <x:v>03 · Consolidación digital</x:v>
      </x:c>
      <x:c r="E177" s="73" t="str">
        <x:v>Alertas</x:v>
      </x:c>
      <x:c r="F177" s="73" t="str">
        <x:v>BCP1-009</x:v>
      </x:c>
      <x:c r="G177" s="73" t="str">
        <x:v>Configuración de alerta de fallo</x:v>
      </x:c>
      <x:c r="H177" s="73" t="str">
        <x:v>Canal</x:v>
      </x:c>
      <x:c r="I177" s="85" t="n">
        <x:v>2</x:v>
      </x:c>
      <x:c r="J177" s="73" t="str">
        <x:v>Sí</x:v>
      </x:c>
      <x:c r="K177" s="73" t="str">
        <x:v>No</x:v>
      </x:c>
      <x:c r="L177" s="85" t="n">
        <x:v>0.75</x:v>
      </x:c>
      <x:c r="M177" s="85" t="str">
        <x:v>Parcial</x:v>
      </x:c>
      <x:c r="N177" s="85" t="n">
        <x:v>0.88</x:v>
      </x:c>
      <x:c r="O177" s="85" t="n">
        <x:f>L177*N177</x:f>
        <x:v>0.66</x:v>
      </x:c>
      <x:c r="P177" s="85" t="str">
        <x:v>Media</x:v>
      </x:c>
      <x:c r="Q177" s="85" t="n">
        <x:v>1</x:v>
      </x:c>
      <x:c r="R177" s="85" t="n">
        <x:v>1.3</x:v>
      </x:c>
      <x:c r="S177" s="85" t="n">
        <x:v>1.55</x:v>
      </x:c>
      <x:c r="T177" s="85" t="n">
        <x:f>IF(J177="Sí",I177*O177*Q177,0)</x:f>
        <x:v>1.32</x:v>
      </x:c>
      <x:c r="U177" s="85" t="n">
        <x:f>IF(J177="Sí",I177*O177*R177,0)</x:f>
        <x:v>1.7160000000000002</x:v>
      </x:c>
      <x:c r="V177" s="85" t="n">
        <x:f>IF(J177="Sí",I177*O177*S177,0)</x:f>
        <x:v>2.0460000000000003</x:v>
      </x:c>
      <x:c r="W177" s="73"/>
      <x:c r="X177" s="73" t="str">
        <x:v>Alertas activas</x:v>
      </x:c>
      <x:c r="Y177" s="73" t="str">
        <x:v>Fallo, retraso o ausencia de respaldo</x:v>
      </x:c>
      <x:c r="Z177" s="73"/>
      <x:c r="AA177" s="73" t="str">
        <x:v>Preliminar</x:v>
      </x:c>
      <x:c r="AB177" s="78" t="str">
        <x:v>Estimación técnica ISM · Validar</x:v>
      </x:c>
    </x:row>
    <x:row r="178">
      <x:c r="A178" s="77" t="str">
        <x:v>Respaldo y Continuidad</x:v>
      </x:c>
      <x:c r="B178" s="73" t="str">
        <x:v>BCP-01</x:v>
      </x:c>
      <x:c r="C178" s="73" t="str">
        <x:v>Implementación de respaldos</x:v>
      </x:c>
      <x:c r="D178" s="73" t="str">
        <x:v>03 · Consolidación digital</x:v>
      </x:c>
      <x:c r="E178" s="73" t="str">
        <x:v>Operación</x:v>
      </x:c>
      <x:c r="F178" s="73" t="str">
        <x:v>BCP1-010</x:v>
      </x:c>
      <x:c r="G178" s="73" t="str">
        <x:v>Runbook de respaldo y restauración</x:v>
      </x:c>
      <x:c r="H178" s="73" t="str">
        <x:v>Documento</x:v>
      </x:c>
      <x:c r="I178" s="85" t="n">
        <x:v>1</x:v>
      </x:c>
      <x:c r="J178" s="73" t="str">
        <x:v>Sí</x:v>
      </x:c>
      <x:c r="K178" s="73" t="str">
        <x:v>Sí</x:v>
      </x:c>
      <x:c r="L178" s="85" t="n">
        <x:v>2</x:v>
      </x:c>
      <x:c r="M178" s="85" t="str">
        <x:v>Parcial</x:v>
      </x:c>
      <x:c r="N178" s="85" t="n">
        <x:v>0.88</x:v>
      </x:c>
      <x:c r="O178" s="85" t="n">
        <x:f>L178*N178</x:f>
        <x:v>1.76</x:v>
      </x:c>
      <x:c r="P178" s="85" t="str">
        <x:v>Media</x:v>
      </x:c>
      <x:c r="Q178" s="85" t="n">
        <x:v>1</x:v>
      </x:c>
      <x:c r="R178" s="85" t="n">
        <x:v>1.3</x:v>
      </x:c>
      <x:c r="S178" s="85" t="n">
        <x:v>1.55</x:v>
      </x:c>
      <x:c r="T178" s="85" t="n">
        <x:f>IF(J178="Sí",I178*O178*Q178,0)</x:f>
        <x:v>1.76</x:v>
      </x:c>
      <x:c r="U178" s="85" t="n">
        <x:f>IF(J178="Sí",I178*O178*R178,0)</x:f>
        <x:v>2.2880000000000003</x:v>
      </x:c>
      <x:c r="V178" s="85" t="n">
        <x:f>IF(J178="Sí",I178*O178*S178,0)</x:f>
        <x:v>2.728</x:v>
      </x:c>
      <x:c r="W178" s="73"/>
      <x:c r="X178" s="73" t="str">
        <x:v>Runbook</x:v>
      </x:c>
      <x:c r="Y178" s="73" t="str">
        <x:v>Procedimiento operativo del job, validación, alertas y restauración del respaldo.</x:v>
      </x:c>
      <x:c r="Z178" s="73" t="str">
        <x:v>No reemplaza el procedimiento integral de recuperación ante desastres de BCP2-005.</x:v>
      </x:c>
      <x:c r="AA178" s="73" t="str">
        <x:v>Preliminar</x:v>
      </x:c>
      <x:c r="AB178" s="78" t="str">
        <x:v>Estimación técnica ISM · Validar</x:v>
      </x:c>
    </x:row>
    <x:row r="179">
      <x:c r="A179" s="77" t="str">
        <x:v>Respaldo y Continuidad</x:v>
      </x:c>
      <x:c r="B179" s="73" t="str">
        <x:v>BCP-02</x:v>
      </x:c>
      <x:c r="C179" s="73" t="str">
        <x:v>Plan de recuperación ante desastres</x:v>
      </x:c>
      <x:c r="D179" s="73" t="str">
        <x:v>03 · Consolidación digital</x:v>
      </x:c>
      <x:c r="E179" s="73" t="str">
        <x:v>Análisis</x:v>
      </x:c>
      <x:c r="F179" s="73" t="str">
        <x:v>BCP2-001</x:v>
      </x:c>
      <x:c r="G179" s="73" t="str">
        <x:v>Análisis de impacto del negocio</x:v>
      </x:c>
      <x:c r="H179" s="73" t="str">
        <x:v>Proceso</x:v>
      </x:c>
      <x:c r="I179" s="85" t="n">
        <x:v>4</x:v>
      </x:c>
      <x:c r="J179" s="73" t="str">
        <x:v>Sí</x:v>
      </x:c>
      <x:c r="K179" s="73" t="str">
        <x:v>Sí</x:v>
      </x:c>
      <x:c r="L179" s="85" t="n">
        <x:v>1.25</x:v>
      </x:c>
      <x:c r="M179" s="85" t="str">
        <x:v>Parcial</x:v>
      </x:c>
      <x:c r="N179" s="85" t="n">
        <x:v>0.88</x:v>
      </x:c>
      <x:c r="O179" s="85" t="n">
        <x:f>L179*N179</x:f>
        <x:v>1.1</x:v>
      </x:c>
      <x:c r="P179" s="85" t="str">
        <x:v>Alta</x:v>
      </x:c>
      <x:c r="Q179" s="85" t="n">
        <x:v>1</x:v>
      </x:c>
      <x:c r="R179" s="85" t="n">
        <x:v>1.45</x:v>
      </x:c>
      <x:c r="S179" s="85" t="n">
        <x:v>1.8</x:v>
      </x:c>
      <x:c r="T179" s="85" t="n">
        <x:f>IF(J179="Sí",I179*O179*Q179,0)</x:f>
        <x:v>4.4</x:v>
      </x:c>
      <x:c r="U179" s="85" t="n">
        <x:f>IF(J179="Sí",I179*O179*R179,0)</x:f>
        <x:v>6.38</x:v>
      </x:c>
      <x:c r="V179" s="85" t="n">
        <x:f>IF(J179="Sí",I179*O179*S179,0)</x:f>
        <x:v>7.920000000000001</x:v>
      </x:c>
      <x:c r="W179" s="73"/>
      <x:c r="X179" s="73" t="str">
        <x:v>Matriz BIA</x:v>
      </x:c>
      <x:c r="Y179" s="73" t="str">
        <x:v>Criticidad, dependencia e impacto</x:v>
      </x:c>
      <x:c r="Z179" s="73"/>
      <x:c r="AA179" s="73" t="str">
        <x:v>Preliminar</x:v>
      </x:c>
      <x:c r="AB179" s="78" t="str">
        <x:v>Estimación técnica ISM · Validar</x:v>
      </x:c>
    </x:row>
    <x:row r="180">
      <x:c r="A180" s="77" t="str">
        <x:v>Respaldo y Continuidad</x:v>
      </x:c>
      <x:c r="B180" s="73" t="str">
        <x:v>BCP-02</x:v>
      </x:c>
      <x:c r="C180" s="73" t="str">
        <x:v>Plan de recuperación ante desastres</x:v>
      </x:c>
      <x:c r="D180" s="73" t="str">
        <x:v>03 · Consolidación digital</x:v>
      </x:c>
      <x:c r="E180" s="73" t="str">
        <x:v>Análisis</x:v>
      </x:c>
      <x:c r="F180" s="73" t="str">
        <x:v>BCP2-002</x:v>
      </x:c>
      <x:c r="G180" s="73" t="str">
        <x:v>Inventario de dependencias críticas</x:v>
      </x:c>
      <x:c r="H180" s="73" t="str">
        <x:v>Servicio</x:v>
      </x:c>
      <x:c r="I180" s="85" t="n">
        <x:v>4</x:v>
      </x:c>
      <x:c r="J180" s="73" t="str">
        <x:v>Sí</x:v>
      </x:c>
      <x:c r="K180" s="73" t="str">
        <x:v>Sí</x:v>
      </x:c>
      <x:c r="L180" s="85" t="n">
        <x:v>0.75</x:v>
      </x:c>
      <x:c r="M180" s="85" t="str">
        <x:v>Parcial</x:v>
      </x:c>
      <x:c r="N180" s="85" t="n">
        <x:v>0.88</x:v>
      </x:c>
      <x:c r="O180" s="85" t="n">
        <x:f>L180*N180</x:f>
        <x:v>0.66</x:v>
      </x:c>
      <x:c r="P180" s="85" t="str">
        <x:v>Media</x:v>
      </x:c>
      <x:c r="Q180" s="85" t="n">
        <x:v>1</x:v>
      </x:c>
      <x:c r="R180" s="85" t="n">
        <x:v>1.3</x:v>
      </x:c>
      <x:c r="S180" s="85" t="n">
        <x:v>1.55</x:v>
      </x:c>
      <x:c r="T180" s="85" t="n">
        <x:f>IF(J180="Sí",I180*O180*Q180,0)</x:f>
        <x:v>2.64</x:v>
      </x:c>
      <x:c r="U180" s="85" t="n">
        <x:f>IF(J180="Sí",I180*O180*R180,0)</x:f>
        <x:v>3.4320000000000004</x:v>
      </x:c>
      <x:c r="V180" s="85" t="n">
        <x:f>IF(J180="Sí",I180*O180*S180,0)</x:f>
        <x:v>4.0920000000000005</x:v>
      </x:c>
      <x:c r="W180" s="73"/>
      <x:c r="X180" s="73" t="str">
        <x:v>Mapa de dependencias</x:v>
      </x:c>
      <x:c r="Y180" s="73" t="str">
        <x:v>Infraestructura, datos, terceros y personas</x:v>
      </x:c>
      <x:c r="Z180" s="73"/>
      <x:c r="AA180" s="73" t="str">
        <x:v>Preliminar</x:v>
      </x:c>
      <x:c r="AB180" s="78" t="str">
        <x:v>Estimación técnica ISM · Validar</x:v>
      </x:c>
    </x:row>
    <x:row r="181">
      <x:c r="A181" s="77" t="str">
        <x:v>Respaldo y Continuidad</x:v>
      </x:c>
      <x:c r="B181" s="73" t="str">
        <x:v>BCP-02</x:v>
      </x:c>
      <x:c r="C181" s="73" t="str">
        <x:v>Plan de recuperación ante desastres</x:v>
      </x:c>
      <x:c r="D181" s="73" t="str">
        <x:v>03 · Consolidación digital</x:v>
      </x:c>
      <x:c r="E181" s="73" t="str">
        <x:v>Objetivos</x:v>
      </x:c>
      <x:c r="F181" s="73" t="str">
        <x:v>BCP2-003</x:v>
      </x:c>
      <x:c r="G181" s="73" t="str">
        <x:v>Definición formal de RPO y RTO por servicio</x:v>
      </x:c>
      <x:c r="H181" s="73" t="str">
        <x:v>Servicio</x:v>
      </x:c>
      <x:c r="I181" s="85" t="n">
        <x:v>4</x:v>
      </x:c>
      <x:c r="J181" s="73" t="str">
        <x:v>Sí</x:v>
      </x:c>
      <x:c r="K181" s="73" t="str">
        <x:v>Sí</x:v>
      </x:c>
      <x:c r="L181" s="85" t="n">
        <x:v>1</x:v>
      </x:c>
      <x:c r="M181" s="85" t="str">
        <x:v>Parcial</x:v>
      </x:c>
      <x:c r="N181" s="85" t="n">
        <x:v>0.88</x:v>
      </x:c>
      <x:c r="O181" s="85" t="n">
        <x:f>L181*N181</x:f>
        <x:v>0.88</x:v>
      </x:c>
      <x:c r="P181" s="85" t="str">
        <x:v>Alta</x:v>
      </x:c>
      <x:c r="Q181" s="85" t="n">
        <x:v>1</x:v>
      </x:c>
      <x:c r="R181" s="85" t="n">
        <x:v>1.45</x:v>
      </x:c>
      <x:c r="S181" s="85" t="n">
        <x:v>1.8</x:v>
      </x:c>
      <x:c r="T181" s="85" t="n">
        <x:f>IF(J181="Sí",I181*O181*Q181,0)</x:f>
        <x:v>3.52</x:v>
      </x:c>
      <x:c r="U181" s="85" t="n">
        <x:f>IF(J181="Sí",I181*O181*R181,0)</x:f>
        <x:v>5.104</x:v>
      </x:c>
      <x:c r="V181" s="85" t="n">
        <x:f>IF(J181="Sí",I181*O181*S181,0)</x:f>
        <x:v>6.336</x:v>
      </x:c>
      <x:c r="W181" s="73"/>
      <x:c r="X181" s="73" t="str">
        <x:v>Objetivos DR</x:v>
      </x:c>
      <x:c r="Y181" s="73" t="str">
        <x:v>Objetivos aprobados por servicio crítico, alineados con impacto, dependencias y estrategia de recuperación.</x:v>
      </x:c>
      <x:c r="Z181" s="73" t="str">
        <x:v>Sustituye la definición básica de BCP1-002 cuando ambos servicios forman parte de la misma propuesta.</x:v>
      </x:c>
      <x:c r="AA181" s="73" t="str">
        <x:v>Preliminar</x:v>
      </x:c>
      <x:c r="AB181" s="78" t="str">
        <x:v>Estimación técnica ISM · Validar</x:v>
      </x:c>
    </x:row>
    <x:row r="182">
      <x:c r="A182" s="77" t="str">
        <x:v>Respaldo y Continuidad</x:v>
      </x:c>
      <x:c r="B182" s="73" t="str">
        <x:v>BCP-02</x:v>
      </x:c>
      <x:c r="C182" s="73" t="str">
        <x:v>Plan de recuperación ante desastres</x:v>
      </x:c>
      <x:c r="D182" s="73" t="str">
        <x:v>03 · Consolidación digital</x:v>
      </x:c>
      <x:c r="E182" s="73" t="str">
        <x:v>Estrategia</x:v>
      </x:c>
      <x:c r="F182" s="73" t="str">
        <x:v>BCP2-004</x:v>
      </x:c>
      <x:c r="G182" s="73" t="str">
        <x:v>Diseño de estrategia de recuperación</x:v>
      </x:c>
      <x:c r="H182" s="73" t="str">
        <x:v>Servicio</x:v>
      </x:c>
      <x:c r="I182" s="85" t="n">
        <x:v>3</x:v>
      </x:c>
      <x:c r="J182" s="73" t="str">
        <x:v>Sí</x:v>
      </x:c>
      <x:c r="K182" s="73" t="str">
        <x:v>Sí</x:v>
      </x:c>
      <x:c r="L182" s="85" t="n">
        <x:v>2</x:v>
      </x:c>
      <x:c r="M182" s="85" t="str">
        <x:v>Parcial</x:v>
      </x:c>
      <x:c r="N182" s="85" t="n">
        <x:v>0.88</x:v>
      </x:c>
      <x:c r="O182" s="85" t="n">
        <x:f>L182*N182</x:f>
        <x:v>1.76</x:v>
      </x:c>
      <x:c r="P182" s="85" t="str">
        <x:v>Alta</x:v>
      </x:c>
      <x:c r="Q182" s="85" t="n">
        <x:v>1</x:v>
      </x:c>
      <x:c r="R182" s="85" t="n">
        <x:v>1.45</x:v>
      </x:c>
      <x:c r="S182" s="85" t="n">
        <x:v>1.8</x:v>
      </x:c>
      <x:c r="T182" s="85" t="n">
        <x:f>IF(J182="Sí",I182*O182*Q182,0)</x:f>
        <x:v>5.28</x:v>
      </x:c>
      <x:c r="U182" s="85" t="n">
        <x:f>IF(J182="Sí",I182*O182*R182,0)</x:f>
        <x:v>7.656</x:v>
      </x:c>
      <x:c r="V182" s="85" t="n">
        <x:f>IF(J182="Sí",I182*O182*S182,0)</x:f>
        <x:v>9.504000000000001</x:v>
      </x:c>
      <x:c r="W182" s="73"/>
      <x:c r="X182" s="73" t="str">
        <x:v>Estrategia DR</x:v>
      </x:c>
      <x:c r="Y182" s="73" t="str">
        <x:v>Sitio, restauración, prioridades y secuencia</x:v>
      </x:c>
      <x:c r="Z182" s="73"/>
      <x:c r="AA182" s="73" t="str">
        <x:v>Preliminar</x:v>
      </x:c>
      <x:c r="AB182" s="78" t="str">
        <x:v>Estimación técnica ISM · Validar</x:v>
      </x:c>
    </x:row>
    <x:row r="183">
      <x:c r="A183" s="77" t="str">
        <x:v>Respaldo y Continuidad</x:v>
      </x:c>
      <x:c r="B183" s="73" t="str">
        <x:v>BCP-02</x:v>
      </x:c>
      <x:c r="C183" s="73" t="str">
        <x:v>Plan de recuperación ante desastres</x:v>
      </x:c>
      <x:c r="D183" s="73" t="str">
        <x:v>03 · Consolidación digital</x:v>
      </x:c>
      <x:c r="E183" s="73" t="str">
        <x:v>Procedimientos</x:v>
      </x:c>
      <x:c r="F183" s="73" t="str">
        <x:v>BCP2-005</x:v>
      </x:c>
      <x:c r="G183" s="73" t="str">
        <x:v>Creación de procedimiento de recuperación</x:v>
      </x:c>
      <x:c r="H183" s="73" t="str">
        <x:v>Servicio</x:v>
      </x:c>
      <x:c r="I183" s="85" t="n">
        <x:v>3</x:v>
      </x:c>
      <x:c r="J183" s="73" t="str">
        <x:v>Sí</x:v>
      </x:c>
      <x:c r="K183" s="73" t="str">
        <x:v>No</x:v>
      </x:c>
      <x:c r="L183" s="85" t="n">
        <x:v>2.5</x:v>
      </x:c>
      <x:c r="M183" s="85" t="str">
        <x:v>Parcial</x:v>
      </x:c>
      <x:c r="N183" s="85" t="n">
        <x:v>0.88</x:v>
      </x:c>
      <x:c r="O183" s="85" t="n">
        <x:f>L183*N183</x:f>
        <x:v>2.2</x:v>
      </x:c>
      <x:c r="P183" s="85" t="str">
        <x:v>Alta</x:v>
      </x:c>
      <x:c r="Q183" s="85" t="n">
        <x:v>1</x:v>
      </x:c>
      <x:c r="R183" s="85" t="n">
        <x:v>1.45</x:v>
      </x:c>
      <x:c r="S183" s="85" t="n">
        <x:v>1.8</x:v>
      </x:c>
      <x:c r="T183" s="85" t="n">
        <x:f>IF(J183="Sí",I183*O183*Q183,0)</x:f>
        <x:v>6.6000000000000005</x:v>
      </x:c>
      <x:c r="U183" s="85" t="n">
        <x:f>IF(J183="Sí",I183*O183*R183,0)</x:f>
        <x:v>9.57</x:v>
      </x:c>
      <x:c r="V183" s="85" t="n">
        <x:f>IF(J183="Sí",I183*O183*S183,0)</x:f>
        <x:v>11.88</x:v>
      </x:c>
      <x:c r="W183" s="73"/>
      <x:c r="X183" s="73" t="str">
        <x:v>Procedimientos</x:v>
      </x:c>
      <x:c r="Y183" s="73" t="str">
        <x:v>Secuencia integral para recuperar servicios, dependencias, datos y responsables después de un desastre.</x:v>
      </x:c>
      <x:c r="Z183" s="73" t="str">
        <x:v>No duplica el procedimiento operativo del job de respaldo documentado en BCP1-010.</x:v>
      </x:c>
      <x:c r="AA183" s="73" t="str">
        <x:v>Preliminar</x:v>
      </x:c>
      <x:c r="AB183" s="78" t="str">
        <x:v>Estimación técnica ISM · Validar</x:v>
      </x:c>
    </x:row>
    <x:row r="184">
      <x:c r="A184" s="77" t="str">
        <x:v>Respaldo y Continuidad</x:v>
      </x:c>
      <x:c r="B184" s="73" t="str">
        <x:v>BCP-02</x:v>
      </x:c>
      <x:c r="C184" s="73" t="str">
        <x:v>Plan de recuperación ante desastres</x:v>
      </x:c>
      <x:c r="D184" s="73" t="str">
        <x:v>03 · Consolidación digital</x:v>
      </x:c>
      <x:c r="E184" s="73" t="str">
        <x:v>Comunicación</x:v>
      </x:c>
      <x:c r="F184" s="73" t="str">
        <x:v>BCP2-006</x:v>
      </x:c>
      <x:c r="G184" s="73" t="str">
        <x:v>Plan de comunicación y escalamiento</x:v>
      </x:c>
      <x:c r="H184" s="73" t="str">
        <x:v>Proyecto</x:v>
      </x:c>
      <x:c r="I184" s="85" t="n">
        <x:v>1</x:v>
      </x:c>
      <x:c r="J184" s="73" t="str">
        <x:v>Sí</x:v>
      </x:c>
      <x:c r="K184" s="73" t="str">
        <x:v>Sí</x:v>
      </x:c>
      <x:c r="L184" s="85" t="n">
        <x:v>1.5</x:v>
      </x:c>
      <x:c r="M184" s="85" t="str">
        <x:v>Parcial</x:v>
      </x:c>
      <x:c r="N184" s="85" t="n">
        <x:v>0.88</x:v>
      </x:c>
      <x:c r="O184" s="85" t="n">
        <x:f>L184*N184</x:f>
        <x:v>1.32</x:v>
      </x:c>
      <x:c r="P184" s="85" t="str">
        <x:v>Media</x:v>
      </x:c>
      <x:c r="Q184" s="85" t="n">
        <x:v>1</x:v>
      </x:c>
      <x:c r="R184" s="85" t="n">
        <x:v>1.3</x:v>
      </x:c>
      <x:c r="S184" s="85" t="n">
        <x:v>1.55</x:v>
      </x:c>
      <x:c r="T184" s="85" t="n">
        <x:f>IF(J184="Sí",I184*O184*Q184,0)</x:f>
        <x:v>1.32</x:v>
      </x:c>
      <x:c r="U184" s="85" t="n">
        <x:f>IF(J184="Sí",I184*O184*R184,0)</x:f>
        <x:v>1.7160000000000002</x:v>
      </x:c>
      <x:c r="V184" s="85" t="n">
        <x:f>IF(J184="Sí",I184*O184*S184,0)</x:f>
        <x:v>2.0460000000000003</x:v>
      </x:c>
      <x:c r="W184" s="73"/>
      <x:c r="X184" s="73" t="str">
        <x:v>Plan de comunicación</x:v>
      </x:c>
      <x:c r="Y184" s="73" t="str">
        <x:v>Contactos, severidad y mensajes</x:v>
      </x:c>
      <x:c r="Z184" s="73"/>
      <x:c r="AA184" s="73" t="str">
        <x:v>Preliminar</x:v>
      </x:c>
      <x:c r="AB184" s="78" t="str">
        <x:v>Estimación técnica ISM · Validar</x:v>
      </x:c>
    </x:row>
    <x:row r="185">
      <x:c r="A185" s="77" t="str">
        <x:v>Respaldo y Continuidad</x:v>
      </x:c>
      <x:c r="B185" s="73" t="str">
        <x:v>BCP-02</x:v>
      </x:c>
      <x:c r="C185" s="73" t="str">
        <x:v>Plan de recuperación ante desastres</x:v>
      </x:c>
      <x:c r="D185" s="73" t="str">
        <x:v>03 · Consolidación digital</x:v>
      </x:c>
      <x:c r="E185" s="73" t="str">
        <x:v>Pruebas</x:v>
      </x:c>
      <x:c r="F185" s="73" t="str">
        <x:v>BCP2-007</x:v>
      </x:c>
      <x:c r="G185" s="73" t="str">
        <x:v>Diseño de escenario de simulación</x:v>
      </x:c>
      <x:c r="H185" s="73" t="str">
        <x:v>Escenario</x:v>
      </x:c>
      <x:c r="I185" s="85" t="n">
        <x:v>1</x:v>
      </x:c>
      <x:c r="J185" s="73" t="str">
        <x:v>Sí</x:v>
      </x:c>
      <x:c r="K185" s="73" t="str">
        <x:v>Sí</x:v>
      </x:c>
      <x:c r="L185" s="85" t="n">
        <x:v>2</x:v>
      </x:c>
      <x:c r="M185" s="85" t="str">
        <x:v>Parcial</x:v>
      </x:c>
      <x:c r="N185" s="85" t="n">
        <x:v>0.88</x:v>
      </x:c>
      <x:c r="O185" s="85" t="n">
        <x:f>L185*N185</x:f>
        <x:v>1.76</x:v>
      </x:c>
      <x:c r="P185" s="85" t="str">
        <x:v>Alta</x:v>
      </x:c>
      <x:c r="Q185" s="85" t="n">
        <x:v>1</x:v>
      </x:c>
      <x:c r="R185" s="85" t="n">
        <x:v>1.45</x:v>
      </x:c>
      <x:c r="S185" s="85" t="n">
        <x:v>1.8</x:v>
      </x:c>
      <x:c r="T185" s="85" t="n">
        <x:f>IF(J185="Sí",I185*O185*Q185,0)</x:f>
        <x:v>1.76</x:v>
      </x:c>
      <x:c r="U185" s="85" t="n">
        <x:f>IF(J185="Sí",I185*O185*R185,0)</x:f>
        <x:v>2.552</x:v>
      </x:c>
      <x:c r="V185" s="85" t="n">
        <x:f>IF(J185="Sí",I185*O185*S185,0)</x:f>
        <x:v>3.168</x:v>
      </x:c>
      <x:c r="W185" s="73"/>
      <x:c r="X185" s="73" t="str">
        <x:v>Guion de prueba</x:v>
      </x:c>
      <x:c r="Y185" s="73" t="str">
        <x:v>Alcance, éxito y riesgos</x:v>
      </x:c>
      <x:c r="Z185" s="73"/>
      <x:c r="AA185" s="73" t="str">
        <x:v>Preliminar</x:v>
      </x:c>
      <x:c r="AB185" s="78" t="str">
        <x:v>Estimación técnica ISM · Validar</x:v>
      </x:c>
    </x:row>
    <x:row r="186">
      <x:c r="A186" s="77" t="str">
        <x:v>Respaldo y Continuidad</x:v>
      </x:c>
      <x:c r="B186" s="73" t="str">
        <x:v>BCP-02</x:v>
      </x:c>
      <x:c r="C186" s="73" t="str">
        <x:v>Plan de recuperación ante desastres</x:v>
      </x:c>
      <x:c r="D186" s="73" t="str">
        <x:v>03 · Consolidación digital</x:v>
      </x:c>
      <x:c r="E186" s="73" t="str">
        <x:v>Pruebas</x:v>
      </x:c>
      <x:c r="F186" s="73" t="str">
        <x:v>BCP2-008</x:v>
      </x:c>
      <x:c r="G186" s="73" t="str">
        <x:v>Ejecución de simulación</x:v>
      </x:c>
      <x:c r="H186" s="73" t="str">
        <x:v>Ejercicio</x:v>
      </x:c>
      <x:c r="I186" s="85" t="n">
        <x:v>1</x:v>
      </x:c>
      <x:c r="J186" s="73" t="str">
        <x:v>Sí</x:v>
      </x:c>
      <x:c r="K186" s="73" t="str">
        <x:v>Sí</x:v>
      </x:c>
      <x:c r="L186" s="85" t="n">
        <x:v>4</x:v>
      </x:c>
      <x:c r="M186" s="85" t="str">
        <x:v>Parcial</x:v>
      </x:c>
      <x:c r="N186" s="85" t="n">
        <x:v>0.88</x:v>
      </x:c>
      <x:c r="O186" s="85" t="n">
        <x:f>L186*N186</x:f>
        <x:v>3.52</x:v>
      </x:c>
      <x:c r="P186" s="85" t="str">
        <x:v>Alta</x:v>
      </x:c>
      <x:c r="Q186" s="85" t="n">
        <x:v>1</x:v>
      </x:c>
      <x:c r="R186" s="85" t="n">
        <x:v>1.45</x:v>
      </x:c>
      <x:c r="S186" s="85" t="n">
        <x:v>1.8</x:v>
      </x:c>
      <x:c r="T186" s="85" t="n">
        <x:f>IF(J186="Sí",I186*O186*Q186,0)</x:f>
        <x:v>3.52</x:v>
      </x:c>
      <x:c r="U186" s="85" t="n">
        <x:f>IF(J186="Sí",I186*O186*R186,0)</x:f>
        <x:v>5.104</x:v>
      </x:c>
      <x:c r="V186" s="85" t="n">
        <x:f>IF(J186="Sí",I186*O186*S186,0)</x:f>
        <x:v>6.336</x:v>
      </x:c>
      <x:c r="W186" s="73"/>
      <x:c r="X186" s="73" t="str">
        <x:v>Ejercicio ejecutado</x:v>
      </x:c>
      <x:c r="Y186" s="73" t="str">
        <x:v>Tiempos, decisiones y evidencias</x:v>
      </x:c>
      <x:c r="Z186" s="73"/>
      <x:c r="AA186" s="73" t="str">
        <x:v>Preliminar</x:v>
      </x:c>
      <x:c r="AB186" s="78" t="str">
        <x:v>Estimación técnica ISM · Validar</x:v>
      </x:c>
    </x:row>
    <x:row r="187">
      <x:c r="A187" s="77" t="str">
        <x:v>Respaldo y Continuidad</x:v>
      </x:c>
      <x:c r="B187" s="73" t="str">
        <x:v>BCP-02</x:v>
      </x:c>
      <x:c r="C187" s="73" t="str">
        <x:v>Plan de recuperación ante desastres</x:v>
      </x:c>
      <x:c r="D187" s="73" t="str">
        <x:v>03 · Consolidación digital</x:v>
      </x:c>
      <x:c r="E187" s="73" t="str">
        <x:v>Mejora</x:v>
      </x:c>
      <x:c r="F187" s="73" t="str">
        <x:v>BCP2-009</x:v>
      </x:c>
      <x:c r="G187" s="73" t="str">
        <x:v>Informe de brechas y plan de mejora</x:v>
      </x:c>
      <x:c r="H187" s="73" t="str">
        <x:v>Proyecto</x:v>
      </x:c>
      <x:c r="I187" s="85" t="n">
        <x:v>1</x:v>
      </x:c>
      <x:c r="J187" s="73" t="str">
        <x:v>Sí</x:v>
      </x:c>
      <x:c r="K187" s="73" t="str">
        <x:v>Sí</x:v>
      </x:c>
      <x:c r="L187" s="85" t="n">
        <x:v>2</x:v>
      </x:c>
      <x:c r="M187" s="85" t="str">
        <x:v>Parcial</x:v>
      </x:c>
      <x:c r="N187" s="85" t="n">
        <x:v>0.88</x:v>
      </x:c>
      <x:c r="O187" s="85" t="n">
        <x:f>L187*N187</x:f>
        <x:v>1.76</x:v>
      </x:c>
      <x:c r="P187" s="85" t="str">
        <x:v>Media</x:v>
      </x:c>
      <x:c r="Q187" s="85" t="n">
        <x:v>1</x:v>
      </x:c>
      <x:c r="R187" s="85" t="n">
        <x:v>1.3</x:v>
      </x:c>
      <x:c r="S187" s="85" t="n">
        <x:v>1.55</x:v>
      </x:c>
      <x:c r="T187" s="85" t="n">
        <x:f>IF(J187="Sí",I187*O187*Q187,0)</x:f>
        <x:v>1.76</x:v>
      </x:c>
      <x:c r="U187" s="85" t="n">
        <x:f>IF(J187="Sí",I187*O187*R187,0)</x:f>
        <x:v>2.2880000000000003</x:v>
      </x:c>
      <x:c r="V187" s="85" t="n">
        <x:f>IF(J187="Sí",I187*O187*S187,0)</x:f>
        <x:v>2.728</x:v>
      </x:c>
      <x:c r="W187" s="73"/>
      <x:c r="X187" s="73" t="str">
        <x:v>Plan de mejora</x:v>
      </x:c>
      <x:c r="Y187" s="73" t="str">
        <x:v>Hallazgos, responsables y fechas</x:v>
      </x:c>
      <x:c r="Z187" s="73"/>
      <x:c r="AA187" s="73" t="str">
        <x:v>Preliminar</x:v>
      </x:c>
      <x:c r="AB187" s="78" t="str">
        <x:v>Estimación técnica ISM · Validar</x:v>
      </x:c>
    </x:row>
    <x:row r="188">
      <x:c r="A188" s="77" t="str">
        <x:v>Respaldo y Continuidad</x:v>
      </x:c>
      <x:c r="B188" s="73" t="str">
        <x:v>BCP-02</x:v>
      </x:c>
      <x:c r="C188" s="73" t="str">
        <x:v>Plan de recuperación ante desastres</x:v>
      </x:c>
      <x:c r="D188" s="73" t="str">
        <x:v>03 · Consolidación digital</x:v>
      </x:c>
      <x:c r="E188" s="73" t="str">
        <x:v>Operación</x:v>
      </x:c>
      <x:c r="F188" s="73" t="str">
        <x:v>BCP2-010</x:v>
      </x:c>
      <x:c r="G188" s="73" t="str">
        <x:v>Calendario de pruebas y revisión</x:v>
      </x:c>
      <x:c r="H188" s="73" t="str">
        <x:v>Proyecto</x:v>
      </x:c>
      <x:c r="I188" s="85" t="n">
        <x:v>1</x:v>
      </x:c>
      <x:c r="J188" s="73" t="str">
        <x:v>Sí</x:v>
      </x:c>
      <x:c r="K188" s="73" t="str">
        <x:v>No</x:v>
      </x:c>
      <x:c r="L188" s="85" t="n">
        <x:v>1</x:v>
      </x:c>
      <x:c r="M188" s="85" t="str">
        <x:v>Parcial</x:v>
      </x:c>
      <x:c r="N188" s="85" t="n">
        <x:v>0.88</x:v>
      </x:c>
      <x:c r="O188" s="85" t="n">
        <x:f>L188*N188</x:f>
        <x:v>0.88</x:v>
      </x:c>
      <x:c r="P188" s="85" t="str">
        <x:v>Baja</x:v>
      </x:c>
      <x:c r="Q188" s="85" t="n">
        <x:v>1</x:v>
      </x:c>
      <x:c r="R188" s="85" t="n">
        <x:v>1.15</x:v>
      </x:c>
      <x:c r="S188" s="85" t="n">
        <x:v>1.3</x:v>
      </x:c>
      <x:c r="T188" s="85" t="n">
        <x:f>IF(J188="Sí",I188*O188*Q188,0)</x:f>
        <x:v>0.88</x:v>
      </x:c>
      <x:c r="U188" s="85" t="n">
        <x:f>IF(J188="Sí",I188*O188*R188,0)</x:f>
        <x:v>1.012</x:v>
      </x:c>
      <x:c r="V188" s="85" t="n">
        <x:f>IF(J188="Sí",I188*O188*S188,0)</x:f>
        <x:v>1.1440000000000001</x:v>
      </x:c>
      <x:c r="W188" s="73"/>
      <x:c r="X188" s="73" t="str">
        <x:v>Calendario DR</x:v>
      </x:c>
      <x:c r="Y188" s="73" t="str">
        <x:v>Periodicidad y responsables</x:v>
      </x:c>
      <x:c r="Z188" s="73"/>
      <x:c r="AA188" s="73" t="str">
        <x:v>Preliminar</x:v>
      </x:c>
      <x:c r="AB188" s="78" t="str">
        <x:v>Estimación técnica ISM · Validar</x:v>
      </x:c>
    </x:row>
    <x:row r="189">
      <x:c r="A189" s="77" t="str">
        <x:v>Respaldo y Continuidad</x:v>
      </x:c>
      <x:c r="B189" s="73" t="str">
        <x:v>BCP-03</x:v>
      </x:c>
      <x:c r="C189" s="73" t="str">
        <x:v>Retención y ciclo de vida de datos</x:v>
      </x:c>
      <x:c r="D189" s="73" t="str">
        <x:v>03 · Consolidación digital</x:v>
      </x:c>
      <x:c r="E189" s="73" t="str">
        <x:v>Diagnóstico</x:v>
      </x:c>
      <x:c r="F189" s="73" t="str">
        <x:v>BCP3-001</x:v>
      </x:c>
      <x:c r="G189" s="73" t="str">
        <x:v>Inventario y clasificación de información</x:v>
      </x:c>
      <x:c r="H189" s="73" t="str">
        <x:v>Fuente</x:v>
      </x:c>
      <x:c r="I189" s="85" t="n">
        <x:v>5</x:v>
      </x:c>
      <x:c r="J189" s="73" t="str">
        <x:v>Sí</x:v>
      </x:c>
      <x:c r="K189" s="73" t="str">
        <x:v>Sí</x:v>
      </x:c>
      <x:c r="L189" s="85" t="n">
        <x:v>0.75</x:v>
      </x:c>
      <x:c r="M189" s="85" t="str">
        <x:v>Parcial</x:v>
      </x:c>
      <x:c r="N189" s="85" t="n">
        <x:v>0.88</x:v>
      </x:c>
      <x:c r="O189" s="85" t="n">
        <x:f>L189*N189</x:f>
        <x:v>0.66</x:v>
      </x:c>
      <x:c r="P189" s="85" t="str">
        <x:v>Media</x:v>
      </x:c>
      <x:c r="Q189" s="85" t="n">
        <x:v>1</x:v>
      </x:c>
      <x:c r="R189" s="85" t="n">
        <x:v>1.3</x:v>
      </x:c>
      <x:c r="S189" s="85" t="n">
        <x:v>1.55</x:v>
      </x:c>
      <x:c r="T189" s="85" t="n">
        <x:f>IF(J189="Sí",I189*O189*Q189,0)</x:f>
        <x:v>3.3000000000000003</x:v>
      </x:c>
      <x:c r="U189" s="85" t="n">
        <x:f>IF(J189="Sí",I189*O189*R189,0)</x:f>
        <x:v>4.290000000000001</x:v>
      </x:c>
      <x:c r="V189" s="85" t="n">
        <x:f>IF(J189="Sí",I189*O189*S189,0)</x:f>
        <x:v>5.115</x:v>
      </x:c>
      <x:c r="W189" s="73"/>
      <x:c r="X189" s="73" t="str">
        <x:v>Inventario clasificado</x:v>
      </x:c>
      <x:c r="Y189" s="73" t="str">
        <x:v>Tipo, criticidad y propietario</x:v>
      </x:c>
      <x:c r="Z189" s="73"/>
      <x:c r="AA189" s="73" t="str">
        <x:v>Preliminar</x:v>
      </x:c>
      <x:c r="AB189" s="78" t="str">
        <x:v>Estimación técnica ISM · Validar</x:v>
      </x:c>
    </x:row>
    <x:row r="190">
      <x:c r="A190" s="77" t="str">
        <x:v>Respaldo y Continuidad</x:v>
      </x:c>
      <x:c r="B190" s="73" t="str">
        <x:v>BCP-03</x:v>
      </x:c>
      <x:c r="C190" s="73" t="str">
        <x:v>Retención y ciclo de vida de datos</x:v>
      </x:c>
      <x:c r="D190" s="73" t="str">
        <x:v>03 · Consolidación digital</x:v>
      </x:c>
      <x:c r="E190" s="73" t="str">
        <x:v>Requisitos</x:v>
      </x:c>
      <x:c r="F190" s="73" t="str">
        <x:v>BCP3-002</x:v>
      </x:c>
      <x:c r="G190" s="73" t="str">
        <x:v>Levantamiento de obligaciones de retención</x:v>
      </x:c>
      <x:c r="H190" s="73" t="str">
        <x:v>Categoría</x:v>
      </x:c>
      <x:c r="I190" s="85" t="n">
        <x:v>4</x:v>
      </x:c>
      <x:c r="J190" s="73" t="str">
        <x:v>Sí</x:v>
      </x:c>
      <x:c r="K190" s="73" t="str">
        <x:v>Sí</x:v>
      </x:c>
      <x:c r="L190" s="85" t="n">
        <x:v>1</x:v>
      </x:c>
      <x:c r="M190" s="85" t="str">
        <x:v>Parcial</x:v>
      </x:c>
      <x:c r="N190" s="85" t="n">
        <x:v>0.88</x:v>
      </x:c>
      <x:c r="O190" s="85" t="n">
        <x:f>L190*N190</x:f>
        <x:v>0.88</x:v>
      </x:c>
      <x:c r="P190" s="85" t="str">
        <x:v>Alta</x:v>
      </x:c>
      <x:c r="Q190" s="85" t="n">
        <x:v>1</x:v>
      </x:c>
      <x:c r="R190" s="85" t="n">
        <x:v>1.45</x:v>
      </x:c>
      <x:c r="S190" s="85" t="n">
        <x:v>1.8</x:v>
      </x:c>
      <x:c r="T190" s="85" t="n">
        <x:f>IF(J190="Sí",I190*O190*Q190,0)</x:f>
        <x:v>3.52</x:v>
      </x:c>
      <x:c r="U190" s="85" t="n">
        <x:f>IF(J190="Sí",I190*O190*R190,0)</x:f>
        <x:v>5.104</x:v>
      </x:c>
      <x:c r="V190" s="85" t="n">
        <x:f>IF(J190="Sí",I190*O190*S190,0)</x:f>
        <x:v>6.336</x:v>
      </x:c>
      <x:c r="W190" s="73"/>
      <x:c r="X190" s="73" t="str">
        <x:v>Matriz de requisitos</x:v>
      </x:c>
      <x:c r="Y190" s="73" t="str">
        <x:v>Necesidades contractuales y operativas</x:v>
      </x:c>
      <x:c r="Z190" s="73"/>
      <x:c r="AA190" s="73" t="str">
        <x:v>Preliminar</x:v>
      </x:c>
      <x:c r="AB190" s="78" t="str">
        <x:v>Estimación técnica ISM · Validar</x:v>
      </x:c>
    </x:row>
    <x:row r="191">
      <x:c r="A191" s="77" t="str">
        <x:v>Respaldo y Continuidad</x:v>
      </x:c>
      <x:c r="B191" s="73" t="str">
        <x:v>BCP-03</x:v>
      </x:c>
      <x:c r="C191" s="73" t="str">
        <x:v>Retención y ciclo de vida de datos</x:v>
      </x:c>
      <x:c r="D191" s="73" t="str">
        <x:v>03 · Consolidación digital</x:v>
      </x:c>
      <x:c r="E191" s="73" t="str">
        <x:v>Diseño</x:v>
      </x:c>
      <x:c r="F191" s="73" t="str">
        <x:v>BCP3-003</x:v>
      </x:c>
      <x:c r="G191" s="73" t="str">
        <x:v>Diseño de matriz de retención</x:v>
      </x:c>
      <x:c r="H191" s="73" t="str">
        <x:v>Categoría</x:v>
      </x:c>
      <x:c r="I191" s="85" t="n">
        <x:v>4</x:v>
      </x:c>
      <x:c r="J191" s="73" t="str">
        <x:v>Sí</x:v>
      </x:c>
      <x:c r="K191" s="73" t="str">
        <x:v>Sí</x:v>
      </x:c>
      <x:c r="L191" s="85" t="n">
        <x:v>1</x:v>
      </x:c>
      <x:c r="M191" s="85" t="str">
        <x:v>Parcial</x:v>
      </x:c>
      <x:c r="N191" s="85" t="n">
        <x:v>0.88</x:v>
      </x:c>
      <x:c r="O191" s="85" t="n">
        <x:f>L191*N191</x:f>
        <x:v>0.88</x:v>
      </x:c>
      <x:c r="P191" s="85" t="str">
        <x:v>Alta</x:v>
      </x:c>
      <x:c r="Q191" s="85" t="n">
        <x:v>1</x:v>
      </x:c>
      <x:c r="R191" s="85" t="n">
        <x:v>1.45</x:v>
      </x:c>
      <x:c r="S191" s="85" t="n">
        <x:v>1.8</x:v>
      </x:c>
      <x:c r="T191" s="85" t="n">
        <x:f>IF(J191="Sí",I191*O191*Q191,0)</x:f>
        <x:v>3.52</x:v>
      </x:c>
      <x:c r="U191" s="85" t="n">
        <x:f>IF(J191="Sí",I191*O191*R191,0)</x:f>
        <x:v>5.104</x:v>
      </x:c>
      <x:c r="V191" s="85" t="n">
        <x:f>IF(J191="Sí",I191*O191*S191,0)</x:f>
        <x:v>6.336</x:v>
      </x:c>
      <x:c r="W191" s="73"/>
      <x:c r="X191" s="73" t="str">
        <x:v>Matriz de retención</x:v>
      </x:c>
      <x:c r="Y191" s="73" t="str">
        <x:v>Periodo, evento inicial y disposición</x:v>
      </x:c>
      <x:c r="Z191" s="73"/>
      <x:c r="AA191" s="73" t="str">
        <x:v>Preliminar</x:v>
      </x:c>
      <x:c r="AB191" s="78" t="str">
        <x:v>Estimación técnica ISM · Validar</x:v>
      </x:c>
    </x:row>
    <x:row r="192">
      <x:c r="A192" s="77" t="str">
        <x:v>Respaldo y Continuidad</x:v>
      </x:c>
      <x:c r="B192" s="73" t="str">
        <x:v>BCP-03</x:v>
      </x:c>
      <x:c r="C192" s="73" t="str">
        <x:v>Retención y ciclo de vida de datos</x:v>
      </x:c>
      <x:c r="D192" s="73" t="str">
        <x:v>03 · Consolidación digital</x:v>
      </x:c>
      <x:c r="E192" s="73" t="str">
        <x:v>Implementación</x:v>
      </x:c>
      <x:c r="F192" s="73" t="str">
        <x:v>BCP3-004</x:v>
      </x:c>
      <x:c r="G192" s="73" t="str">
        <x:v>Configuración de política de retención</x:v>
      </x:c>
      <x:c r="H192" s="73" t="str">
        <x:v>Sistema</x:v>
      </x:c>
      <x:c r="I192" s="85" t="n">
        <x:v>2</x:v>
      </x:c>
      <x:c r="J192" s="73" t="str">
        <x:v>Sí</x:v>
      </x:c>
      <x:c r="K192" s="73" t="str">
        <x:v>No</x:v>
      </x:c>
      <x:c r="L192" s="85" t="n">
        <x:v>2</x:v>
      </x:c>
      <x:c r="M192" s="85" t="str">
        <x:v>Parcial</x:v>
      </x:c>
      <x:c r="N192" s="85" t="n">
        <x:v>0.88</x:v>
      </x:c>
      <x:c r="O192" s="85" t="n">
        <x:f>L192*N192</x:f>
        <x:v>1.76</x:v>
      </x:c>
      <x:c r="P192" s="85" t="str">
        <x:v>Alta</x:v>
      </x:c>
      <x:c r="Q192" s="85" t="n">
        <x:v>1</x:v>
      </x:c>
      <x:c r="R192" s="85" t="n">
        <x:v>1.45</x:v>
      </x:c>
      <x:c r="S192" s="85" t="n">
        <x:v>1.8</x:v>
      </x:c>
      <x:c r="T192" s="85" t="n">
        <x:f>IF(J192="Sí",I192*O192*Q192,0)</x:f>
        <x:v>3.52</x:v>
      </x:c>
      <x:c r="U192" s="85" t="n">
        <x:f>IF(J192="Sí",I192*O192*R192,0)</x:f>
        <x:v>5.104</x:v>
      </x:c>
      <x:c r="V192" s="85" t="n">
        <x:f>IF(J192="Sí",I192*O192*S192,0)</x:f>
        <x:v>6.336</x:v>
      </x:c>
      <x:c r="W192" s="73"/>
      <x:c r="X192" s="73" t="str">
        <x:v>Políticas aplicadas</x:v>
      </x:c>
      <x:c r="Y192" s="73" t="str">
        <x:v>Archivado, conservación y eliminación</x:v>
      </x:c>
      <x:c r="Z192" s="73"/>
      <x:c r="AA192" s="73" t="str">
        <x:v>Preliminar</x:v>
      </x:c>
      <x:c r="AB192" s="78" t="str">
        <x:v>Estimación técnica ISM · Validar</x:v>
      </x:c>
    </x:row>
    <x:row r="193">
      <x:c r="A193" s="77" t="str">
        <x:v>Respaldo y Continuidad</x:v>
      </x:c>
      <x:c r="B193" s="73" t="str">
        <x:v>BCP-03</x:v>
      </x:c>
      <x:c r="C193" s="73" t="str">
        <x:v>Retención y ciclo de vida de datos</x:v>
      </x:c>
      <x:c r="D193" s="73" t="str">
        <x:v>03 · Consolidación digital</x:v>
      </x:c>
      <x:c r="E193" s="73" t="str">
        <x:v>Implementación</x:v>
      </x:c>
      <x:c r="F193" s="73" t="str">
        <x:v>BCP3-005</x:v>
      </x:c>
      <x:c r="G193" s="73" t="str">
        <x:v>Configuración de almacenamiento de archivo</x:v>
      </x:c>
      <x:c r="H193" s="73" t="str">
        <x:v>Destino</x:v>
      </x:c>
      <x:c r="I193" s="85" t="n">
        <x:v>1</x:v>
      </x:c>
      <x:c r="J193" s="73" t="str">
        <x:v>No</x:v>
      </x:c>
      <x:c r="K193" s="73" t="str">
        <x:v>No</x:v>
      </x:c>
      <x:c r="L193" s="85" t="n">
        <x:v>2</x:v>
      </x:c>
      <x:c r="M193" s="85" t="str">
        <x:v>Parcial</x:v>
      </x:c>
      <x:c r="N193" s="85" t="n">
        <x:v>0.88</x:v>
      </x:c>
      <x:c r="O193" s="85" t="n">
        <x:f>L193*N193</x:f>
        <x:v>1.76</x:v>
      </x:c>
      <x:c r="P193" s="85" t="str">
        <x:v>Alta</x:v>
      </x:c>
      <x:c r="Q193" s="85" t="n">
        <x:v>1</x:v>
      </x:c>
      <x:c r="R193" s="85" t="n">
        <x:v>1.45</x:v>
      </x:c>
      <x:c r="S193" s="85" t="n">
        <x:v>1.8</x:v>
      </x:c>
      <x:c r="T193" s="85" t="n">
        <x:f>IF(J193="Sí",I193*O193*Q193,0)</x:f>
        <x:v>0</x:v>
      </x:c>
      <x:c r="U193" s="85" t="n">
        <x:f>IF(J193="Sí",I193*O193*R193,0)</x:f>
        <x:v>0</x:v>
      </x:c>
      <x:c r="V193" s="85" t="n">
        <x:f>IF(J193="Sí",I193*O193*S193,0)</x:f>
        <x:v>0</x:v>
      </x:c>
      <x:c r="W193" s="73"/>
      <x:c r="X193" s="73" t="str">
        <x:v>Archivo operativo</x:v>
      </x:c>
      <x:c r="Y193" s="73" t="str">
        <x:v>Ubicación, acceso y costos</x:v>
      </x:c>
      <x:c r="Z193" s="73"/>
      <x:c r="AA193" s="73" t="str">
        <x:v>Preliminar</x:v>
      </x:c>
      <x:c r="AB193" s="78" t="str">
        <x:v>Estimación técnica ISM · Validar</x:v>
      </x:c>
    </x:row>
    <x:row r="194">
      <x:c r="A194" s="77" t="str">
        <x:v>Respaldo y Continuidad</x:v>
      </x:c>
      <x:c r="B194" s="73" t="str">
        <x:v>BCP-03</x:v>
      </x:c>
      <x:c r="C194" s="73" t="str">
        <x:v>Retención y ciclo de vida de datos</x:v>
      </x:c>
      <x:c r="D194" s="73" t="str">
        <x:v>03 · Consolidación digital</x:v>
      </x:c>
      <x:c r="E194" s="73" t="str">
        <x:v>Control</x:v>
      </x:c>
      <x:c r="F194" s="73" t="str">
        <x:v>BCP3-006</x:v>
      </x:c>
      <x:c r="G194" s="73" t="str">
        <x:v>Revisión de excepciones y bloqueos</x:v>
      </x:c>
      <x:c r="H194" s="73" t="str">
        <x:v>Caso</x:v>
      </x:c>
      <x:c r="I194" s="85" t="n">
        <x:v>3</x:v>
      </x:c>
      <x:c r="J194" s="73" t="str">
        <x:v>Sí</x:v>
      </x:c>
      <x:c r="K194" s="73" t="str">
        <x:v>No</x:v>
      </x:c>
      <x:c r="L194" s="85" t="n">
        <x:v>0.75</x:v>
      </x:c>
      <x:c r="M194" s="85" t="str">
        <x:v>Parcial</x:v>
      </x:c>
      <x:c r="N194" s="85" t="n">
        <x:v>0.88</x:v>
      </x:c>
      <x:c r="O194" s="85" t="n">
        <x:f>L194*N194</x:f>
        <x:v>0.66</x:v>
      </x:c>
      <x:c r="P194" s="85" t="str">
        <x:v>Media</x:v>
      </x:c>
      <x:c r="Q194" s="85" t="n">
        <x:v>1</x:v>
      </x:c>
      <x:c r="R194" s="85" t="n">
        <x:v>1.3</x:v>
      </x:c>
      <x:c r="S194" s="85" t="n">
        <x:v>1.55</x:v>
      </x:c>
      <x:c r="T194" s="85" t="n">
        <x:f>IF(J194="Sí",I194*O194*Q194,0)</x:f>
        <x:v>1.98</x:v>
      </x:c>
      <x:c r="U194" s="85" t="n">
        <x:f>IF(J194="Sí",I194*O194*R194,0)</x:f>
        <x:v>2.574</x:v>
      </x:c>
      <x:c r="V194" s="85" t="n">
        <x:f>IF(J194="Sí",I194*O194*S194,0)</x:f>
        <x:v>3.069</x:v>
      </x:c>
      <x:c r="W194" s="73"/>
      <x:c r="X194" s="73" t="str">
        <x:v>Excepciones registradas</x:v>
      </x:c>
      <x:c r="Y194" s="73" t="str">
        <x:v>Litigio, auditoría o necesidad especial</x:v>
      </x:c>
      <x:c r="Z194" s="73"/>
      <x:c r="AA194" s="73" t="str">
        <x:v>Preliminar</x:v>
      </x:c>
      <x:c r="AB194" s="78" t="str">
        <x:v>Estimación técnica ISM · Validar</x:v>
      </x:c>
    </x:row>
    <x:row r="195">
      <x:c r="A195" s="77" t="str">
        <x:v>Respaldo y Continuidad</x:v>
      </x:c>
      <x:c r="B195" s="73" t="str">
        <x:v>BCP-03</x:v>
      </x:c>
      <x:c r="C195" s="73" t="str">
        <x:v>Retención y ciclo de vida de datos</x:v>
      </x:c>
      <x:c r="D195" s="73" t="str">
        <x:v>03 · Consolidación digital</x:v>
      </x:c>
      <x:c r="E195" s="73" t="str">
        <x:v>Validación</x:v>
      </x:c>
      <x:c r="F195" s="73" t="str">
        <x:v>BCP3-007</x:v>
      </x:c>
      <x:c r="G195" s="73" t="str">
        <x:v>Prueba de aplicación de política</x:v>
      </x:c>
      <x:c r="H195" s="73" t="str">
        <x:v>Caso</x:v>
      </x:c>
      <x:c r="I195" s="85" t="n">
        <x:v>3</x:v>
      </x:c>
      <x:c r="J195" s="73" t="str">
        <x:v>Sí</x:v>
      </x:c>
      <x:c r="K195" s="73" t="str">
        <x:v>Sí</x:v>
      </x:c>
      <x:c r="L195" s="85" t="n">
        <x:v>1</x:v>
      </x:c>
      <x:c r="M195" s="85" t="str">
        <x:v>Parcial</x:v>
      </x:c>
      <x:c r="N195" s="85" t="n">
        <x:v>0.88</x:v>
      </x:c>
      <x:c r="O195" s="85" t="n">
        <x:f>L195*N195</x:f>
        <x:v>0.88</x:v>
      </x:c>
      <x:c r="P195" s="85" t="str">
        <x:v>Alta</x:v>
      </x:c>
      <x:c r="Q195" s="85" t="n">
        <x:v>1</x:v>
      </x:c>
      <x:c r="R195" s="85" t="n">
        <x:v>1.45</x:v>
      </x:c>
      <x:c r="S195" s="85" t="n">
        <x:v>1.8</x:v>
      </x:c>
      <x:c r="T195" s="85" t="n">
        <x:f>IF(J195="Sí",I195*O195*Q195,0)</x:f>
        <x:v>2.64</x:v>
      </x:c>
      <x:c r="U195" s="85" t="n">
        <x:f>IF(J195="Sí",I195*O195*R195,0)</x:f>
        <x:v>3.828</x:v>
      </x:c>
      <x:c r="V195" s="85" t="n">
        <x:f>IF(J195="Sí",I195*O195*S195,0)</x:f>
        <x:v>4.752000000000001</x:v>
      </x:c>
      <x:c r="W195" s="73"/>
      <x:c r="X195" s="73" t="str">
        <x:v>Política validada</x:v>
      </x:c>
      <x:c r="Y195" s="73" t="str">
        <x:v>Conservación, archivo y eliminación</x:v>
      </x:c>
      <x:c r="Z195" s="73"/>
      <x:c r="AA195" s="73" t="str">
        <x:v>Preliminar</x:v>
      </x:c>
      <x:c r="AB195" s="78" t="str">
        <x:v>Estimación técnica ISM · Validar</x:v>
      </x:c>
    </x:row>
    <x:row r="196">
      <x:c r="A196" s="77" t="str">
        <x:v>Respaldo y Continuidad</x:v>
      </x:c>
      <x:c r="B196" s="73" t="str">
        <x:v>BCP-03</x:v>
      </x:c>
      <x:c r="C196" s="73" t="str">
        <x:v>Retención y ciclo de vida de datos</x:v>
      </x:c>
      <x:c r="D196" s="73" t="str">
        <x:v>03 · Consolidación digital</x:v>
      </x:c>
      <x:c r="E196" s="73" t="str">
        <x:v>Gobierno</x:v>
      </x:c>
      <x:c r="F196" s="73" t="str">
        <x:v>BCP3-008</x:v>
      </x:c>
      <x:c r="G196" s="73" t="str">
        <x:v>Definición de responsables y revisión</x:v>
      </x:c>
      <x:c r="H196" s="73" t="str">
        <x:v>Proyecto</x:v>
      </x:c>
      <x:c r="I196" s="85" t="n">
        <x:v>1</x:v>
      </x:c>
      <x:c r="J196" s="73" t="str">
        <x:v>Sí</x:v>
      </x:c>
      <x:c r="K196" s="73" t="str">
        <x:v>Sí</x:v>
      </x:c>
      <x:c r="L196" s="85" t="n">
        <x:v>1</x:v>
      </x:c>
      <x:c r="M196" s="85" t="str">
        <x:v>Parcial</x:v>
      </x:c>
      <x:c r="N196" s="85" t="n">
        <x:v>0.88</x:v>
      </x:c>
      <x:c r="O196" s="85" t="n">
        <x:f>L196*N196</x:f>
        <x:v>0.88</x:v>
      </x:c>
      <x:c r="P196" s="85" t="str">
        <x:v>Media</x:v>
      </x:c>
      <x:c r="Q196" s="85" t="n">
        <x:v>1</x:v>
      </x:c>
      <x:c r="R196" s="85" t="n">
        <x:v>1.3</x:v>
      </x:c>
      <x:c r="S196" s="85" t="n">
        <x:v>1.55</x:v>
      </x:c>
      <x:c r="T196" s="85" t="n">
        <x:f>IF(J196="Sí",I196*O196*Q196,0)</x:f>
        <x:v>0.88</x:v>
      </x:c>
      <x:c r="U196" s="85" t="n">
        <x:f>IF(J196="Sí",I196*O196*R196,0)</x:f>
        <x:v>1.1440000000000001</x:v>
      </x:c>
      <x:c r="V196" s="85" t="n">
        <x:f>IF(J196="Sí",I196*O196*S196,0)</x:f>
        <x:v>1.364</x:v>
      </x:c>
      <x:c r="W196" s="73"/>
      <x:c r="X196" s="73" t="str">
        <x:v>Responsables definidos</x:v>
      </x:c>
      <x:c r="Y196" s="73" t="str">
        <x:v>Propietario, aprobador y periodicidad</x:v>
      </x:c>
      <x:c r="Z196" s="73"/>
      <x:c r="AA196" s="73" t="str">
        <x:v>Preliminar</x:v>
      </x:c>
      <x:c r="AB196" s="78" t="str">
        <x:v>Estimación técnica ISM · Validar</x:v>
      </x:c>
    </x:row>
    <x:row r="197">
      <x:c r="A197" s="77" t="str">
        <x:v>Respaldo y Continuidad</x:v>
      </x:c>
      <x:c r="B197" s="73" t="str">
        <x:v>BCP-03</x:v>
      </x:c>
      <x:c r="C197" s="73" t="str">
        <x:v>Retención y ciclo de vida de datos</x:v>
      </x:c>
      <x:c r="D197" s="73" t="str">
        <x:v>03 · Consolidación digital</x:v>
      </x:c>
      <x:c r="E197" s="73" t="str">
        <x:v>Cierre</x:v>
      </x:c>
      <x:c r="F197" s="73" t="str">
        <x:v>BCP3-009</x:v>
      </x:c>
      <x:c r="G197" s="73" t="str">
        <x:v>Documentación y entrega</x:v>
      </x:c>
      <x:c r="H197" s="73" t="str">
        <x:v>Proyecto</x:v>
      </x:c>
      <x:c r="I197" s="85" t="n">
        <x:v>1</x:v>
      </x:c>
      <x:c r="J197" s="73" t="str">
        <x:v>Sí</x:v>
      </x:c>
      <x:c r="K197" s="73" t="str">
        <x:v>Sí</x:v>
      </x:c>
      <x:c r="L197" s="85" t="n">
        <x:v>1.5</x:v>
      </x:c>
      <x:c r="M197" s="85" t="str">
        <x:v>Parcial</x:v>
      </x:c>
      <x:c r="N197" s="85" t="n">
        <x:v>0.88</x:v>
      </x:c>
      <x:c r="O197" s="85" t="n">
        <x:f>L197*N197</x:f>
        <x:v>1.32</x:v>
      </x:c>
      <x:c r="P197" s="85" t="str">
        <x:v>Media</x:v>
      </x:c>
      <x:c r="Q197" s="85" t="n">
        <x:v>1</x:v>
      </x:c>
      <x:c r="R197" s="85" t="n">
        <x:v>1.3</x:v>
      </x:c>
      <x:c r="S197" s="85" t="n">
        <x:v>1.55</x:v>
      </x:c>
      <x:c r="T197" s="85" t="n">
        <x:f>IF(J197="Sí",I197*O197*Q197,0)</x:f>
        <x:v>1.32</x:v>
      </x:c>
      <x:c r="U197" s="85" t="n">
        <x:f>IF(J197="Sí",I197*O197*R197,0)</x:f>
        <x:v>1.7160000000000002</x:v>
      </x:c>
      <x:c r="V197" s="85" t="n">
        <x:f>IF(J197="Sí",I197*O197*S197,0)</x:f>
        <x:v>2.0460000000000003</x:v>
      </x:c>
      <x:c r="W197" s="73"/>
      <x:c r="X197" s="73" t="str">
        <x:v>Documento de retención</x:v>
      </x:c>
      <x:c r="Y197" s="73" t="str">
        <x:v>Matriz, reglas y operación</x:v>
      </x:c>
      <x:c r="Z197" s="73"/>
      <x:c r="AA197" s="73" t="str">
        <x:v>Preliminar</x:v>
      </x:c>
      <x:c r="AB197" s="78" t="str">
        <x:v>Estimación técnica ISM · Validar</x:v>
      </x:c>
    </x:row>
    <x:row r="198">
      <x:c r="A198" s="77" t="str">
        <x:v>Ciberseguridad</x:v>
      </x:c>
      <x:c r="B198" s="73" t="str">
        <x:v>SEC-01</x:v>
      </x:c>
      <x:c r="C198" s="73" t="str">
        <x:v>Hardening de plataforma</x:v>
      </x:c>
      <x:c r="D198" s="73" t="str">
        <x:v>03 · Consolidación digital</x:v>
      </x:c>
      <x:c r="E198" s="73" t="str">
        <x:v>Diagnóstico</x:v>
      </x:c>
      <x:c r="F198" s="73" t="str">
        <x:v>SEC1-001</x:v>
      </x:c>
      <x:c r="G198" s="73" t="str">
        <x:v>Inventario de componentes, versiones y servicios</x:v>
      </x:c>
      <x:c r="H198" s="73" t="str">
        <x:v>Activo</x:v>
      </x:c>
      <x:c r="I198" s="85" t="n">
        <x:v>4</x:v>
      </x:c>
      <x:c r="J198" s="73" t="str">
        <x:v>Sí</x:v>
      </x:c>
      <x:c r="K198" s="73" t="str">
        <x:v>Sí</x:v>
      </x:c>
      <x:c r="L198" s="85" t="n">
        <x:v>0.75</x:v>
      </x:c>
      <x:c r="M198" s="85" t="str">
        <x:v>Parcial</x:v>
      </x:c>
      <x:c r="N198" s="85" t="n">
        <x:v>0.9</x:v>
      </x:c>
      <x:c r="O198" s="85" t="n">
        <x:f>L198*N198</x:f>
        <x:v>0.675</x:v>
      </x:c>
      <x:c r="P198" s="85" t="str">
        <x:v>Media</x:v>
      </x:c>
      <x:c r="Q198" s="85" t="n">
        <x:v>1</x:v>
      </x:c>
      <x:c r="R198" s="85" t="n">
        <x:v>1.3</x:v>
      </x:c>
      <x:c r="S198" s="85" t="n">
        <x:v>1.55</x:v>
      </x:c>
      <x:c r="T198" s="85" t="n">
        <x:f>IF(J198="Sí",I198*O198*Q198,0)</x:f>
        <x:v>2.7</x:v>
      </x:c>
      <x:c r="U198" s="85" t="n">
        <x:f>IF(J198="Sí",I198*O198*R198,0)</x:f>
        <x:v>3.5100000000000002</x:v>
      </x:c>
      <x:c r="V198" s="85" t="n">
        <x:f>IF(J198="Sí",I198*O198*S198,0)</x:f>
        <x:v>4.1850000000000005</x:v>
      </x:c>
      <x:c r="W198" s="73"/>
      <x:c r="X198" s="73" t="str">
        <x:v>Inventario de seguridad</x:v>
      </x:c>
      <x:c r="Y198" s="73" t="str">
        <x:v>Sistemas, aplicaciones, bases y servicios</x:v>
      </x:c>
      <x:c r="Z198" s="73"/>
      <x:c r="AA198" s="73" t="str">
        <x:v>Preliminar</x:v>
      </x:c>
      <x:c r="AB198" s="78" t="str">
        <x:v>Estimación técnica ISM · Validar</x:v>
      </x:c>
    </x:row>
    <x:row r="199">
      <x:c r="A199" s="77" t="str">
        <x:v>Ciberseguridad</x:v>
      </x:c>
      <x:c r="B199" s="73" t="str">
        <x:v>SEC-01</x:v>
      </x:c>
      <x:c r="C199" s="73" t="str">
        <x:v>Hardening de plataforma</x:v>
      </x:c>
      <x:c r="D199" s="73" t="str">
        <x:v>03 · Consolidación digital</x:v>
      </x:c>
      <x:c r="E199" s="73" t="str">
        <x:v>Diagnóstico</x:v>
      </x:c>
      <x:c r="F199" s="73" t="str">
        <x:v>SEC1-002</x:v>
      </x:c>
      <x:c r="G199" s="73" t="str">
        <x:v>Levantamiento de línea base de configuración</x:v>
      </x:c>
      <x:c r="H199" s="73" t="str">
        <x:v>Entorno</x:v>
      </x:c>
      <x:c r="I199" s="85" t="n">
        <x:v>2</x:v>
      </x:c>
      <x:c r="J199" s="73" t="str">
        <x:v>Sí</x:v>
      </x:c>
      <x:c r="K199" s="73" t="str">
        <x:v>Sí</x:v>
      </x:c>
      <x:c r="L199" s="85" t="n">
        <x:v>1.5</x:v>
      </x:c>
      <x:c r="M199" s="85" t="str">
        <x:v>Parcial</x:v>
      </x:c>
      <x:c r="N199" s="85" t="n">
        <x:v>0.9</x:v>
      </x:c>
      <x:c r="O199" s="85" t="n">
        <x:f>L199*N199</x:f>
        <x:v>1.35</x:v>
      </x:c>
      <x:c r="P199" s="85" t="str">
        <x:v>Alta</x:v>
      </x:c>
      <x:c r="Q199" s="85" t="n">
        <x:v>1</x:v>
      </x:c>
      <x:c r="R199" s="85" t="n">
        <x:v>1.45</x:v>
      </x:c>
      <x:c r="S199" s="85" t="n">
        <x:v>1.8</x:v>
      </x:c>
      <x:c r="T199" s="85" t="n">
        <x:f>IF(J199="Sí",I199*O199*Q199,0)</x:f>
        <x:v>2.7</x:v>
      </x:c>
      <x:c r="U199" s="85" t="n">
        <x:f>IF(J199="Sí",I199*O199*R199,0)</x:f>
        <x:v>3.915</x:v>
      </x:c>
      <x:c r="V199" s="85" t="n">
        <x:f>IF(J199="Sí",I199*O199*S199,0)</x:f>
        <x:v>4.86</x:v>
      </x:c>
      <x:c r="W199" s="73"/>
      <x:c r="X199" s="73" t="str">
        <x:v>Línea base</x:v>
      </x:c>
      <x:c r="Y199" s="73" t="str">
        <x:v>Configuraciones, puertos, cuentas y políticas</x:v>
      </x:c>
      <x:c r="Z199" s="73"/>
      <x:c r="AA199" s="73" t="str">
        <x:v>Preliminar</x:v>
      </x:c>
      <x:c r="AB199" s="78" t="str">
        <x:v>Estimación técnica ISM · Validar</x:v>
      </x:c>
    </x:row>
    <x:row r="200">
      <x:c r="A200" s="77" t="str">
        <x:v>Ciberseguridad</x:v>
      </x:c>
      <x:c r="B200" s="73" t="str">
        <x:v>SEC-01</x:v>
      </x:c>
      <x:c r="C200" s="73" t="str">
        <x:v>Hardening de plataforma</x:v>
      </x:c>
      <x:c r="D200" s="73" t="str">
        <x:v>03 · Consolidación digital</x:v>
      </x:c>
      <x:c r="E200" s="73" t="str">
        <x:v>Accesos</x:v>
      </x:c>
      <x:c r="F200" s="73" t="str">
        <x:v>SEC1-003</x:v>
      </x:c>
      <x:c r="G200" s="73" t="str">
        <x:v>Revisión de cuentas y privilegios</x:v>
      </x:c>
      <x:c r="H200" s="73" t="str">
        <x:v>Cuenta</x:v>
      </x:c>
      <x:c r="I200" s="85" t="n">
        <x:v>8</x:v>
      </x:c>
      <x:c r="J200" s="73" t="str">
        <x:v>Sí</x:v>
      </x:c>
      <x:c r="K200" s="73" t="str">
        <x:v>Sí</x:v>
      </x:c>
      <x:c r="L200" s="85" t="n">
        <x:v>0.25</x:v>
      </x:c>
      <x:c r="M200" s="85" t="str">
        <x:v>Parcial</x:v>
      </x:c>
      <x:c r="N200" s="85" t="n">
        <x:v>0.9</x:v>
      </x:c>
      <x:c r="O200" s="85" t="n">
        <x:f>L200*N200</x:f>
        <x:v>0.225</x:v>
      </x:c>
      <x:c r="P200" s="85" t="str">
        <x:v>Alta</x:v>
      </x:c>
      <x:c r="Q200" s="85" t="n">
        <x:v>1</x:v>
      </x:c>
      <x:c r="R200" s="85" t="n">
        <x:v>1.45</x:v>
      </x:c>
      <x:c r="S200" s="85" t="n">
        <x:v>1.8</x:v>
      </x:c>
      <x:c r="T200" s="85" t="n">
        <x:f>IF(J200="Sí",I200*O200*Q200,0)</x:f>
        <x:v>1.8</x:v>
      </x:c>
      <x:c r="U200" s="85" t="n">
        <x:f>IF(J200="Sí",I200*O200*R200,0)</x:f>
        <x:v>2.61</x:v>
      </x:c>
      <x:c r="V200" s="85" t="n">
        <x:f>IF(J200="Sí",I200*O200*S200,0)</x:f>
        <x:v>3.24</x:v>
      </x:c>
      <x:c r="W200" s="73"/>
      <x:c r="X200" s="73" t="str">
        <x:v>Matriz de cuentas</x:v>
      </x:c>
      <x:c r="Y200" s="73" t="str">
        <x:v>Cuentas activas, privilegios y propietarios</x:v>
      </x:c>
      <x:c r="Z200" s="73"/>
      <x:c r="AA200" s="73" t="str">
        <x:v>Preliminar</x:v>
      </x:c>
      <x:c r="AB200" s="78" t="str">
        <x:v>Estimación técnica ISM · Validar</x:v>
      </x:c>
    </x:row>
    <x:row r="201">
      <x:c r="A201" s="77" t="str">
        <x:v>Ciberseguridad</x:v>
      </x:c>
      <x:c r="B201" s="73" t="str">
        <x:v>SEC-01</x:v>
      </x:c>
      <x:c r="C201" s="73" t="str">
        <x:v>Hardening de plataforma</x:v>
      </x:c>
      <x:c r="D201" s="73" t="str">
        <x:v>03 · Consolidación digital</x:v>
      </x:c>
      <x:c r="E201" s="73" t="str">
        <x:v>Accesos</x:v>
      </x:c>
      <x:c r="F201" s="73" t="str">
        <x:v>SEC1-004</x:v>
      </x:c>
      <x:c r="G201" s="73" t="str">
        <x:v>Deshabilitación o corrección de cuentas inseguras</x:v>
      </x:c>
      <x:c r="H201" s="73" t="str">
        <x:v>Cuenta</x:v>
      </x:c>
      <x:c r="I201" s="85" t="n">
        <x:v>4</x:v>
      </x:c>
      <x:c r="J201" s="73" t="str">
        <x:v>Sí</x:v>
      </x:c>
      <x:c r="K201" s="73" t="str">
        <x:v>No</x:v>
      </x:c>
      <x:c r="L201" s="85" t="n">
        <x:v>0.25</x:v>
      </x:c>
      <x:c r="M201" s="85" t="str">
        <x:v>Parcial</x:v>
      </x:c>
      <x:c r="N201" s="85" t="n">
        <x:v>0.9</x:v>
      </x:c>
      <x:c r="O201" s="85" t="n">
        <x:f>L201*N201</x:f>
        <x:v>0.225</x:v>
      </x:c>
      <x:c r="P201" s="85" t="str">
        <x:v>Media</x:v>
      </x:c>
      <x:c r="Q201" s="85" t="n">
        <x:v>1</x:v>
      </x:c>
      <x:c r="R201" s="85" t="n">
        <x:v>1.3</x:v>
      </x:c>
      <x:c r="S201" s="85" t="n">
        <x:v>1.55</x:v>
      </x:c>
      <x:c r="T201" s="85" t="n">
        <x:f>IF(J201="Sí",I201*O201*Q201,0)</x:f>
        <x:v>0.9</x:v>
      </x:c>
      <x:c r="U201" s="85" t="n">
        <x:f>IF(J201="Sí",I201*O201*R201,0)</x:f>
        <x:v>1.1700000000000002</x:v>
      </x:c>
      <x:c r="V201" s="85" t="n">
        <x:f>IF(J201="Sí",I201*O201*S201,0)</x:f>
        <x:v>1.395</x:v>
      </x:c>
      <x:c r="W201" s="73"/>
      <x:c r="X201" s="73" t="str">
        <x:v>Cuentas regularizadas</x:v>
      </x:c>
      <x:c r="Y201" s="73" t="str">
        <x:v>Cuentas por defecto, huérfanas o excesivas</x:v>
      </x:c>
      <x:c r="Z201" s="73"/>
      <x:c r="AA201" s="73" t="str">
        <x:v>Preliminar</x:v>
      </x:c>
      <x:c r="AB201" s="78" t="str">
        <x:v>Estimación técnica ISM · Validar</x:v>
      </x:c>
    </x:row>
    <x:row r="202">
      <x:c r="A202" s="77" t="str">
        <x:v>Ciberseguridad</x:v>
      </x:c>
      <x:c r="B202" s="73" t="str">
        <x:v>SEC-01</x:v>
      </x:c>
      <x:c r="C202" s="73" t="str">
        <x:v>Hardening de plataforma</x:v>
      </x:c>
      <x:c r="D202" s="73" t="str">
        <x:v>03 · Consolidación digital</x:v>
      </x:c>
      <x:c r="E202" s="73" t="str">
        <x:v>Configuración</x:v>
      </x:c>
      <x:c r="F202" s="73" t="str">
        <x:v>SEC1-005</x:v>
      </x:c>
      <x:c r="G202" s="73" t="str">
        <x:v>Aplicación de hardening de sistema operativo</x:v>
      </x:c>
      <x:c r="H202" s="73" t="str">
        <x:v>Entorno</x:v>
      </x:c>
      <x:c r="I202" s="85" t="n">
        <x:v>1</x:v>
      </x:c>
      <x:c r="J202" s="73" t="str">
        <x:v>Sí</x:v>
      </x:c>
      <x:c r="K202" s="73" t="str">
        <x:v>No</x:v>
      </x:c>
      <x:c r="L202" s="85" t="n">
        <x:v>4</x:v>
      </x:c>
      <x:c r="M202" s="85" t="str">
        <x:v>Parcial</x:v>
      </x:c>
      <x:c r="N202" s="85" t="n">
        <x:v>0.9</x:v>
      </x:c>
      <x:c r="O202" s="85" t="n">
        <x:f>L202*N202</x:f>
        <x:v>3.6</x:v>
      </x:c>
      <x:c r="P202" s="85" t="str">
        <x:v>Alta</x:v>
      </x:c>
      <x:c r="Q202" s="85" t="n">
        <x:v>1</x:v>
      </x:c>
      <x:c r="R202" s="85" t="n">
        <x:v>1.45</x:v>
      </x:c>
      <x:c r="S202" s="85" t="n">
        <x:v>1.8</x:v>
      </x:c>
      <x:c r="T202" s="85" t="n">
        <x:f>IF(J202="Sí",I202*O202*Q202,0)</x:f>
        <x:v>3.6</x:v>
      </x:c>
      <x:c r="U202" s="85" t="n">
        <x:f>IF(J202="Sí",I202*O202*R202,0)</x:f>
        <x:v>5.22</x:v>
      </x:c>
      <x:c r="V202" s="85" t="n">
        <x:f>IF(J202="Sí",I202*O202*S202,0)</x:f>
        <x:v>6.48</x:v>
      </x:c>
      <x:c r="W202" s="73"/>
      <x:c r="X202" s="73" t="str">
        <x:v>SO endurecido</x:v>
      </x:c>
      <x:c r="Y202" s="73" t="str">
        <x:v>Servicios, políticas, permisos y auditoría</x:v>
      </x:c>
      <x:c r="Z202" s="73"/>
      <x:c r="AA202" s="73" t="str">
        <x:v>Preliminar</x:v>
      </x:c>
      <x:c r="AB202" s="78" t="str">
        <x:v>Estimación técnica ISM · Validar</x:v>
      </x:c>
    </x:row>
    <x:row r="203">
      <x:c r="A203" s="77" t="str">
        <x:v>Ciberseguridad</x:v>
      </x:c>
      <x:c r="B203" s="73" t="str">
        <x:v>SEC-01</x:v>
      </x:c>
      <x:c r="C203" s="73" t="str">
        <x:v>Hardening de plataforma</x:v>
      </x:c>
      <x:c r="D203" s="73" t="str">
        <x:v>03 · Consolidación digital</x:v>
      </x:c>
      <x:c r="E203" s="73" t="str">
        <x:v>Configuración</x:v>
      </x:c>
      <x:c r="F203" s="73" t="str">
        <x:v>SEC1-006</x:v>
      </x:c>
      <x:c r="G203" s="73" t="str">
        <x:v>Aplicación de hardening de aplicación</x:v>
      </x:c>
      <x:c r="H203" s="73" t="str">
        <x:v>Aplicación</x:v>
      </x:c>
      <x:c r="I203" s="85" t="n">
        <x:v>1</x:v>
      </x:c>
      <x:c r="J203" s="73" t="str">
        <x:v>No</x:v>
      </x:c>
      <x:c r="K203" s="73" t="str">
        <x:v>No</x:v>
      </x:c>
      <x:c r="L203" s="85" t="n">
        <x:v>3</x:v>
      </x:c>
      <x:c r="M203" s="85" t="str">
        <x:v>Parcial</x:v>
      </x:c>
      <x:c r="N203" s="85" t="n">
        <x:v>0.9</x:v>
      </x:c>
      <x:c r="O203" s="85" t="n">
        <x:f>L203*N203</x:f>
        <x:v>2.7</x:v>
      </x:c>
      <x:c r="P203" s="85" t="str">
        <x:v>Alta</x:v>
      </x:c>
      <x:c r="Q203" s="85" t="n">
        <x:v>1</x:v>
      </x:c>
      <x:c r="R203" s="85" t="n">
        <x:v>1.45</x:v>
      </x:c>
      <x:c r="S203" s="85" t="n">
        <x:v>1.8</x:v>
      </x:c>
      <x:c r="T203" s="85" t="n">
        <x:f>IF(J203="Sí",I203*O203*Q203,0)</x:f>
        <x:v>0</x:v>
      </x:c>
      <x:c r="U203" s="85" t="n">
        <x:f>IF(J203="Sí",I203*O203*R203,0)</x:f>
        <x:v>0</x:v>
      </x:c>
      <x:c r="V203" s="85" t="n">
        <x:f>IF(J203="Sí",I203*O203*S203,0)</x:f>
        <x:v>0</x:v>
      </x:c>
      <x:c r="W203" s="73"/>
      <x:c r="X203" s="73" t="str">
        <x:v>Aplicación endurecida</x:v>
      </x:c>
      <x:c r="Y203" s="73" t="str">
        <x:v>Cabeceras, configuración, secretos y errores</x:v>
      </x:c>
      <x:c r="Z203" s="73"/>
      <x:c r="AA203" s="73" t="str">
        <x:v>Preliminar</x:v>
      </x:c>
      <x:c r="AB203" s="78" t="str">
        <x:v>Estimación técnica ISM · Validar</x:v>
      </x:c>
    </x:row>
    <x:row r="204">
      <x:c r="A204" s="77" t="str">
        <x:v>Ciberseguridad</x:v>
      </x:c>
      <x:c r="B204" s="73" t="str">
        <x:v>SEC-01</x:v>
      </x:c>
      <x:c r="C204" s="73" t="str">
        <x:v>Hardening de plataforma</x:v>
      </x:c>
      <x:c r="D204" s="73" t="str">
        <x:v>03 · Consolidación digital</x:v>
      </x:c>
      <x:c r="E204" s="73" t="str">
        <x:v>Configuración</x:v>
      </x:c>
      <x:c r="F204" s="73" t="str">
        <x:v>SEC1-007</x:v>
      </x:c>
      <x:c r="G204" s="73" t="str">
        <x:v>Aplicación de hardening de base de datos</x:v>
      </x:c>
      <x:c r="H204" s="73" t="str">
        <x:v>Base de datos</x:v>
      </x:c>
      <x:c r="I204" s="85" t="n">
        <x:v>1</x:v>
      </x:c>
      <x:c r="J204" s="73" t="str">
        <x:v>No</x:v>
      </x:c>
      <x:c r="K204" s="73" t="str">
        <x:v>No</x:v>
      </x:c>
      <x:c r="L204" s="85" t="n">
        <x:v>3</x:v>
      </x:c>
      <x:c r="M204" s="85" t="str">
        <x:v>Parcial</x:v>
      </x:c>
      <x:c r="N204" s="85" t="n">
        <x:v>0.9</x:v>
      </x:c>
      <x:c r="O204" s="85" t="n">
        <x:f>L204*N204</x:f>
        <x:v>2.7</x:v>
      </x:c>
      <x:c r="P204" s="85" t="str">
        <x:v>Alta</x:v>
      </x:c>
      <x:c r="Q204" s="85" t="n">
        <x:v>1</x:v>
      </x:c>
      <x:c r="R204" s="85" t="n">
        <x:v>1.45</x:v>
      </x:c>
      <x:c r="S204" s="85" t="n">
        <x:v>1.8</x:v>
      </x:c>
      <x:c r="T204" s="85" t="n">
        <x:f>IF(J204="Sí",I204*O204*Q204,0)</x:f>
        <x:v>0</x:v>
      </x:c>
      <x:c r="U204" s="85" t="n">
        <x:f>IF(J204="Sí",I204*O204*R204,0)</x:f>
        <x:v>0</x:v>
      </x:c>
      <x:c r="V204" s="85" t="n">
        <x:f>IF(J204="Sí",I204*O204*S204,0)</x:f>
        <x:v>0</x:v>
      </x:c>
      <x:c r="W204" s="73"/>
      <x:c r="X204" s="73" t="str">
        <x:v>BD endurecida</x:v>
      </x:c>
      <x:c r="Y204" s="73" t="str">
        <x:v>Usuarios, red, cifrado y auditoría</x:v>
      </x:c>
      <x:c r="Z204" s="73"/>
      <x:c r="AA204" s="73" t="str">
        <x:v>Preliminar</x:v>
      </x:c>
      <x:c r="AB204" s="78" t="str">
        <x:v>Estimación técnica ISM · Validar</x:v>
      </x:c>
    </x:row>
    <x:row r="205">
      <x:c r="A205" s="77" t="str">
        <x:v>Ciberseguridad</x:v>
      </x:c>
      <x:c r="B205" s="73" t="str">
        <x:v>SEC-01</x:v>
      </x:c>
      <x:c r="C205" s="73" t="str">
        <x:v>Hardening de plataforma</x:v>
      </x:c>
      <x:c r="D205" s="73" t="str">
        <x:v>03 · Consolidación digital</x:v>
      </x:c>
      <x:c r="E205" s="73" t="str">
        <x:v>Red</x:v>
      </x:c>
      <x:c r="F205" s="73" t="str">
        <x:v>SEC1-008</x:v>
      </x:c>
      <x:c r="G205" s="73" t="str">
        <x:v>Cierre de puertos y servicios no requeridos</x:v>
      </x:c>
      <x:c r="H205" s="73" t="str">
        <x:v>Entorno</x:v>
      </x:c>
      <x:c r="I205" s="85" t="n">
        <x:v>1</x:v>
      </x:c>
      <x:c r="J205" s="73" t="str">
        <x:v>Sí</x:v>
      </x:c>
      <x:c r="K205" s="73" t="str">
        <x:v>No</x:v>
      </x:c>
      <x:c r="L205" s="85" t="n">
        <x:v>1.5</x:v>
      </x:c>
      <x:c r="M205" s="85" t="str">
        <x:v>Parcial</x:v>
      </x:c>
      <x:c r="N205" s="85" t="n">
        <x:v>0.9</x:v>
      </x:c>
      <x:c r="O205" s="85" t="n">
        <x:f>L205*N205</x:f>
        <x:v>1.35</x:v>
      </x:c>
      <x:c r="P205" s="85" t="str">
        <x:v>Alta</x:v>
      </x:c>
      <x:c r="Q205" s="85" t="n">
        <x:v>1</x:v>
      </x:c>
      <x:c r="R205" s="85" t="n">
        <x:v>1.45</x:v>
      </x:c>
      <x:c r="S205" s="85" t="n">
        <x:v>1.8</x:v>
      </x:c>
      <x:c r="T205" s="85" t="n">
        <x:f>IF(J205="Sí",I205*O205*Q205,0)</x:f>
        <x:v>1.35</x:v>
      </x:c>
      <x:c r="U205" s="85" t="n">
        <x:f>IF(J205="Sí",I205*O205*R205,0)</x:f>
        <x:v>1.9575</x:v>
      </x:c>
      <x:c r="V205" s="85" t="n">
        <x:f>IF(J205="Sí",I205*O205*S205,0)</x:f>
        <x:v>2.43</x:v>
      </x:c>
      <x:c r="W205" s="73"/>
      <x:c r="X205" s="73" t="str">
        <x:v>Superficie reducida</x:v>
      </x:c>
      <x:c r="Y205" s="73" t="str">
        <x:v>Puertos, protocolos y servicios</x:v>
      </x:c>
      <x:c r="Z205" s="73"/>
      <x:c r="AA205" s="73" t="str">
        <x:v>Preliminar</x:v>
      </x:c>
      <x:c r="AB205" s="78" t="str">
        <x:v>Estimación técnica ISM · Validar</x:v>
      </x:c>
    </x:row>
    <x:row r="206">
      <x:c r="A206" s="77" t="str">
        <x:v>Ciberseguridad</x:v>
      </x:c>
      <x:c r="B206" s="73" t="str">
        <x:v>SEC-01</x:v>
      </x:c>
      <x:c r="C206" s="73" t="str">
        <x:v>Hardening de plataforma</x:v>
      </x:c>
      <x:c r="D206" s="73" t="str">
        <x:v>03 · Consolidación digital</x:v>
      </x:c>
      <x:c r="E206" s="73" t="str">
        <x:v>Criptografía</x:v>
      </x:c>
      <x:c r="F206" s="73" t="str">
        <x:v>SEC1-009</x:v>
      </x:c>
      <x:c r="G206" s="73" t="str">
        <x:v>Configuración de cifrado y protocolos seguros</x:v>
      </x:c>
      <x:c r="H206" s="73" t="str">
        <x:v>Entorno</x:v>
      </x:c>
      <x:c r="I206" s="85" t="n">
        <x:v>1</x:v>
      </x:c>
      <x:c r="J206" s="73" t="str">
        <x:v>Sí</x:v>
      </x:c>
      <x:c r="K206" s="73" t="str">
        <x:v>No</x:v>
      </x:c>
      <x:c r="L206" s="85" t="n">
        <x:v>1.5</x:v>
      </x:c>
      <x:c r="M206" s="85" t="str">
        <x:v>Parcial</x:v>
      </x:c>
      <x:c r="N206" s="85" t="n">
        <x:v>0.9</x:v>
      </x:c>
      <x:c r="O206" s="85" t="n">
        <x:f>L206*N206</x:f>
        <x:v>1.35</x:v>
      </x:c>
      <x:c r="P206" s="85" t="str">
        <x:v>Alta</x:v>
      </x:c>
      <x:c r="Q206" s="85" t="n">
        <x:v>1</x:v>
      </x:c>
      <x:c r="R206" s="85" t="n">
        <x:v>1.45</x:v>
      </x:c>
      <x:c r="S206" s="85" t="n">
        <x:v>1.8</x:v>
      </x:c>
      <x:c r="T206" s="85" t="n">
        <x:f>IF(J206="Sí",I206*O206*Q206,0)</x:f>
        <x:v>1.35</x:v>
      </x:c>
      <x:c r="U206" s="85" t="n">
        <x:f>IF(J206="Sí",I206*O206*R206,0)</x:f>
        <x:v>1.9575</x:v>
      </x:c>
      <x:c r="V206" s="85" t="n">
        <x:f>IF(J206="Sí",I206*O206*S206,0)</x:f>
        <x:v>2.43</x:v>
      </x:c>
      <x:c r="W206" s="73"/>
      <x:c r="X206" s="73" t="str">
        <x:v>Cifrado validado</x:v>
      </x:c>
      <x:c r="Y206" s="73" t="str">
        <x:v>TLS, algoritmos y configuración</x:v>
      </x:c>
      <x:c r="Z206" s="73"/>
      <x:c r="AA206" s="73" t="str">
        <x:v>Preliminar</x:v>
      </x:c>
      <x:c r="AB206" s="78" t="str">
        <x:v>Estimación técnica ISM · Validar</x:v>
      </x:c>
    </x:row>
    <x:row r="207">
      <x:c r="A207" s="77" t="str">
        <x:v>Ciberseguridad</x:v>
      </x:c>
      <x:c r="B207" s="73" t="str">
        <x:v>SEC-01</x:v>
      </x:c>
      <x:c r="C207" s="73" t="str">
        <x:v>Hardening de plataforma</x:v>
      </x:c>
      <x:c r="D207" s="73" t="str">
        <x:v>03 · Consolidación digital</x:v>
      </x:c>
      <x:c r="E207" s="73" t="str">
        <x:v>Auditoría</x:v>
      </x:c>
      <x:c r="F207" s="73" t="str">
        <x:v>SEC1-010</x:v>
      </x:c>
      <x:c r="G207" s="73" t="str">
        <x:v>Configuración de logs de seguridad</x:v>
      </x:c>
      <x:c r="H207" s="73" t="str">
        <x:v>Entorno</x:v>
      </x:c>
      <x:c r="I207" s="85" t="n">
        <x:v>1</x:v>
      </x:c>
      <x:c r="J207" s="73" t="str">
        <x:v>Sí</x:v>
      </x:c>
      <x:c r="K207" s="73" t="str">
        <x:v>No</x:v>
      </x:c>
      <x:c r="L207" s="85" t="n">
        <x:v>1.5</x:v>
      </x:c>
      <x:c r="M207" s="85" t="str">
        <x:v>Parcial</x:v>
      </x:c>
      <x:c r="N207" s="85" t="n">
        <x:v>0.9</x:v>
      </x:c>
      <x:c r="O207" s="85" t="n">
        <x:f>L207*N207</x:f>
        <x:v>1.35</x:v>
      </x:c>
      <x:c r="P207" s="85" t="str">
        <x:v>Alta</x:v>
      </x:c>
      <x:c r="Q207" s="85" t="n">
        <x:v>1</x:v>
      </x:c>
      <x:c r="R207" s="85" t="n">
        <x:v>1.45</x:v>
      </x:c>
      <x:c r="S207" s="85" t="n">
        <x:v>1.8</x:v>
      </x:c>
      <x:c r="T207" s="85" t="n">
        <x:f>IF(J207="Sí",I207*O207*Q207,0)</x:f>
        <x:v>1.35</x:v>
      </x:c>
      <x:c r="U207" s="85" t="n">
        <x:f>IF(J207="Sí",I207*O207*R207,0)</x:f>
        <x:v>1.9575</x:v>
      </x:c>
      <x:c r="V207" s="85" t="n">
        <x:f>IF(J207="Sí",I207*O207*S207,0)</x:f>
        <x:v>2.43</x:v>
      </x:c>
      <x:c r="W207" s="73"/>
      <x:c r="X207" s="73" t="str">
        <x:v>Auditoría activa</x:v>
      </x:c>
      <x:c r="Y207" s="73" t="str">
        <x:v>Accesos, cambios y eventos críticos</x:v>
      </x:c>
      <x:c r="Z207" s="73"/>
      <x:c r="AA207" s="73" t="str">
        <x:v>Preliminar</x:v>
      </x:c>
      <x:c r="AB207" s="78" t="str">
        <x:v>Estimación técnica ISM · Validar</x:v>
      </x:c>
    </x:row>
    <x:row r="208">
      <x:c r="A208" s="77" t="str">
        <x:v>Ciberseguridad</x:v>
      </x:c>
      <x:c r="B208" s="73" t="str">
        <x:v>SEC-01</x:v>
      </x:c>
      <x:c r="C208" s="73" t="str">
        <x:v>Hardening de plataforma</x:v>
      </x:c>
      <x:c r="D208" s="73" t="str">
        <x:v>03 · Consolidación digital</x:v>
      </x:c>
      <x:c r="E208" s="73" t="str">
        <x:v>Validación</x:v>
      </x:c>
      <x:c r="F208" s="73" t="str">
        <x:v>SEC1-011</x:v>
      </x:c>
      <x:c r="G208" s="73" t="str">
        <x:v>Revisión posterior contra línea base</x:v>
      </x:c>
      <x:c r="H208" s="73" t="str">
        <x:v>Entorno</x:v>
      </x:c>
      <x:c r="I208" s="85" t="n">
        <x:v>2</x:v>
      </x:c>
      <x:c r="J208" s="73" t="str">
        <x:v>Sí</x:v>
      </x:c>
      <x:c r="K208" s="73" t="str">
        <x:v>Sí</x:v>
      </x:c>
      <x:c r="L208" s="85" t="n">
        <x:v>1</x:v>
      </x:c>
      <x:c r="M208" s="85" t="str">
        <x:v>Parcial</x:v>
      </x:c>
      <x:c r="N208" s="85" t="n">
        <x:v>0.9</x:v>
      </x:c>
      <x:c r="O208" s="85" t="n">
        <x:f>L208*N208</x:f>
        <x:v>0.9</x:v>
      </x:c>
      <x:c r="P208" s="85" t="str">
        <x:v>Alta</x:v>
      </x:c>
      <x:c r="Q208" s="85" t="n">
        <x:v>1</x:v>
      </x:c>
      <x:c r="R208" s="85" t="n">
        <x:v>1.45</x:v>
      </x:c>
      <x:c r="S208" s="85" t="n">
        <x:v>1.8</x:v>
      </x:c>
      <x:c r="T208" s="85" t="n">
        <x:f>IF(J208="Sí",I208*O208*Q208,0)</x:f>
        <x:v>1.8</x:v>
      </x:c>
      <x:c r="U208" s="85" t="n">
        <x:f>IF(J208="Sí",I208*O208*R208,0)</x:f>
        <x:v>2.61</x:v>
      </x:c>
      <x:c r="V208" s="85" t="n">
        <x:f>IF(J208="Sí",I208*O208*S208,0)</x:f>
        <x:v>3.24</x:v>
      </x:c>
      <x:c r="W208" s="73"/>
      <x:c r="X208" s="73" t="str">
        <x:v>Checklist validado</x:v>
      </x:c>
      <x:c r="Y208" s="73" t="str">
        <x:v>Comparación y evidencias</x:v>
      </x:c>
      <x:c r="Z208" s="73"/>
      <x:c r="AA208" s="73" t="str">
        <x:v>Preliminar</x:v>
      </x:c>
      <x:c r="AB208" s="78" t="str">
        <x:v>Estimación técnica ISM · Validar</x:v>
      </x:c>
    </x:row>
    <x:row r="209">
      <x:c r="A209" s="77" t="str">
        <x:v>Ciberseguridad</x:v>
      </x:c>
      <x:c r="B209" s="73" t="str">
        <x:v>SEC-01</x:v>
      </x:c>
      <x:c r="C209" s="73" t="str">
        <x:v>Hardening de plataforma</x:v>
      </x:c>
      <x:c r="D209" s="73" t="str">
        <x:v>03 · Consolidación digital</x:v>
      </x:c>
      <x:c r="E209" s="73" t="str">
        <x:v>Calidad</x:v>
      </x:c>
      <x:c r="F209" s="73" t="str">
        <x:v>SEC1-012</x:v>
      </x:c>
      <x:c r="G209" s="73" t="str">
        <x:v>Pruebas de acceso y operación</x:v>
      </x:c>
      <x:c r="H209" s="73" t="str">
        <x:v>Caso</x:v>
      </x:c>
      <x:c r="I209" s="85" t="n">
        <x:v>4</x:v>
      </x:c>
      <x:c r="J209" s="73" t="str">
        <x:v>Sí</x:v>
      </x:c>
      <x:c r="K209" s="73" t="str">
        <x:v>Sí</x:v>
      </x:c>
      <x:c r="L209" s="85" t="n">
        <x:v>0.5</x:v>
      </x:c>
      <x:c r="M209" s="85" t="str">
        <x:v>Parcial</x:v>
      </x:c>
      <x:c r="N209" s="85" t="n">
        <x:v>0.9</x:v>
      </x:c>
      <x:c r="O209" s="85" t="n">
        <x:f>L209*N209</x:f>
        <x:v>0.45</x:v>
      </x:c>
      <x:c r="P209" s="85" t="str">
        <x:v>Media</x:v>
      </x:c>
      <x:c r="Q209" s="85" t="n">
        <x:v>1</x:v>
      </x:c>
      <x:c r="R209" s="85" t="n">
        <x:v>1.3</x:v>
      </x:c>
      <x:c r="S209" s="85" t="n">
        <x:v>1.55</x:v>
      </x:c>
      <x:c r="T209" s="85" t="n">
        <x:f>IF(J209="Sí",I209*O209*Q209,0)</x:f>
        <x:v>1.8</x:v>
      </x:c>
      <x:c r="U209" s="85" t="n">
        <x:f>IF(J209="Sí",I209*O209*R209,0)</x:f>
        <x:v>2.3400000000000003</x:v>
      </x:c>
      <x:c r="V209" s="85" t="n">
        <x:f>IF(J209="Sí",I209*O209*S209,0)</x:f>
        <x:v>2.79</x:v>
      </x:c>
      <x:c r="W209" s="73"/>
      <x:c r="X209" s="73" t="str">
        <x:v>Pruebas funcionales</x:v>
      </x:c>
      <x:c r="Y209" s="73" t="str">
        <x:v>Operación posterior al hardening</x:v>
      </x:c>
      <x:c r="Z209" s="73"/>
      <x:c r="AA209" s="73" t="str">
        <x:v>Preliminar</x:v>
      </x:c>
      <x:c r="AB209" s="78" t="str">
        <x:v>Estimación técnica ISM · Validar</x:v>
      </x:c>
    </x:row>
    <x:row r="210">
      <x:c r="A210" s="77" t="str">
        <x:v>Ciberseguridad</x:v>
      </x:c>
      <x:c r="B210" s="73" t="str">
        <x:v>SEC-01</x:v>
      </x:c>
      <x:c r="C210" s="73" t="str">
        <x:v>Hardening de plataforma</x:v>
      </x:c>
      <x:c r="D210" s="73" t="str">
        <x:v>03 · Consolidación digital</x:v>
      </x:c>
      <x:c r="E210" s="73" t="str">
        <x:v>Cierre</x:v>
      </x:c>
      <x:c r="F210" s="73" t="str">
        <x:v>SEC1-013</x:v>
      </x:c>
      <x:c r="G210" s="73" t="str">
        <x:v>Informe de cambios y riesgos pendientes</x:v>
      </x:c>
      <x:c r="H210" s="73" t="str">
        <x:v>Proyecto</x:v>
      </x:c>
      <x:c r="I210" s="85" t="n">
        <x:v>1</x:v>
      </x:c>
      <x:c r="J210" s="73" t="str">
        <x:v>Sí</x:v>
      </x:c>
      <x:c r="K210" s="73" t="str">
        <x:v>Sí</x:v>
      </x:c>
      <x:c r="L210" s="85" t="n">
        <x:v>2</x:v>
      </x:c>
      <x:c r="M210" s="85" t="str">
        <x:v>Parcial</x:v>
      </x:c>
      <x:c r="N210" s="85" t="n">
        <x:v>0.9</x:v>
      </x:c>
      <x:c r="O210" s="85" t="n">
        <x:f>L210*N210</x:f>
        <x:v>1.8</x:v>
      </x:c>
      <x:c r="P210" s="85" t="str">
        <x:v>Media</x:v>
      </x:c>
      <x:c r="Q210" s="85" t="n">
        <x:v>1</x:v>
      </x:c>
      <x:c r="R210" s="85" t="n">
        <x:v>1.3</x:v>
      </x:c>
      <x:c r="S210" s="85" t="n">
        <x:v>1.55</x:v>
      </x:c>
      <x:c r="T210" s="85" t="n">
        <x:f>IF(J210="Sí",I210*O210*Q210,0)</x:f>
        <x:v>1.8</x:v>
      </x:c>
      <x:c r="U210" s="85" t="n">
        <x:f>IF(J210="Sí",I210*O210*R210,0)</x:f>
        <x:v>2.3400000000000003</x:v>
      </x:c>
      <x:c r="V210" s="85" t="n">
        <x:f>IF(J210="Sí",I210*O210*S210,0)</x:f>
        <x:v>2.79</x:v>
      </x:c>
      <x:c r="W210" s="73"/>
      <x:c r="X210" s="73" t="str">
        <x:v>Informe de hardening</x:v>
      </x:c>
      <x:c r="Y210" s="73" t="str">
        <x:v>Cambios, excepciones y recomendaciones</x:v>
      </x:c>
      <x:c r="Z210" s="73"/>
      <x:c r="AA210" s="73" t="str">
        <x:v>Preliminar</x:v>
      </x:c>
      <x:c r="AB210" s="78" t="str">
        <x:v>Estimación técnica ISM · Validar</x:v>
      </x:c>
    </x:row>
    <x:row r="211">
      <x:c r="A211" s="77" t="str">
        <x:v>Ciberseguridad</x:v>
      </x:c>
      <x:c r="B211" s="73" t="str">
        <x:v>SEC-02</x:v>
      </x:c>
      <x:c r="C211" s="73" t="str">
        <x:v>Gestión de vulnerabilidades y parches</x:v>
      </x:c>
      <x:c r="D211" s="73" t="str">
        <x:v>03 · Consolidación digital</x:v>
      </x:c>
      <x:c r="E211" s="73" t="str">
        <x:v>Alcance</x:v>
      </x:c>
      <x:c r="F211" s="73" t="str">
        <x:v>SEC2-001</x:v>
      </x:c>
      <x:c r="G211" s="73" t="str">
        <x:v>Inventario de activos y alcance de revisión</x:v>
      </x:c>
      <x:c r="H211" s="73" t="str">
        <x:v>Activo</x:v>
      </x:c>
      <x:c r="I211" s="85" t="n">
        <x:v>6</x:v>
      </x:c>
      <x:c r="J211" s="73" t="str">
        <x:v>Sí</x:v>
      </x:c>
      <x:c r="K211" s="73" t="str">
        <x:v>Sí</x:v>
      </x:c>
      <x:c r="L211" s="85" t="n">
        <x:v>0.5</x:v>
      </x:c>
      <x:c r="M211" s="85" t="str">
        <x:v>Parcial</x:v>
      </x:c>
      <x:c r="N211" s="85" t="n">
        <x:v>0.9</x:v>
      </x:c>
      <x:c r="O211" s="85" t="n">
        <x:f>L211*N211</x:f>
        <x:v>0.45</x:v>
      </x:c>
      <x:c r="P211" s="85" t="str">
        <x:v>Media</x:v>
      </x:c>
      <x:c r="Q211" s="85" t="n">
        <x:v>1</x:v>
      </x:c>
      <x:c r="R211" s="85" t="n">
        <x:v>1.3</x:v>
      </x:c>
      <x:c r="S211" s="85" t="n">
        <x:v>1.55</x:v>
      </x:c>
      <x:c r="T211" s="85" t="n">
        <x:f>IF(J211="Sí",I211*O211*Q211,0)</x:f>
        <x:v>2.7</x:v>
      </x:c>
      <x:c r="U211" s="85" t="n">
        <x:f>IF(J211="Sí",I211*O211*R211,0)</x:f>
        <x:v>3.5100000000000002</x:v>
      </x:c>
      <x:c r="V211" s="85" t="n">
        <x:f>IF(J211="Sí",I211*O211*S211,0)</x:f>
        <x:v>4.1850000000000005</x:v>
      </x:c>
      <x:c r="W211" s="73"/>
      <x:c r="X211" s="73" t="str">
        <x:v>Alcance definido</x:v>
      </x:c>
      <x:c r="Y211" s="73" t="str">
        <x:v>Activos, propietarios y criticidad</x:v>
      </x:c>
      <x:c r="Z211" s="73"/>
      <x:c r="AA211" s="73" t="str">
        <x:v>Preliminar</x:v>
      </x:c>
      <x:c r="AB211" s="78" t="str">
        <x:v>Estimación técnica ISM · Validar</x:v>
      </x:c>
    </x:row>
    <x:row r="212">
      <x:c r="A212" s="77" t="str">
        <x:v>Ciberseguridad</x:v>
      </x:c>
      <x:c r="B212" s="73" t="str">
        <x:v>SEC-02</x:v>
      </x:c>
      <x:c r="C212" s="73" t="str">
        <x:v>Gestión de vulnerabilidades y parches</x:v>
      </x:c>
      <x:c r="D212" s="73" t="str">
        <x:v>03 · Consolidación digital</x:v>
      </x:c>
      <x:c r="E212" s="73" t="str">
        <x:v>Preparación</x:v>
      </x:c>
      <x:c r="F212" s="73" t="str">
        <x:v>SEC2-002</x:v>
      </x:c>
      <x:c r="G212" s="73" t="str">
        <x:v>Configuración de credenciales y ventanas</x:v>
      </x:c>
      <x:c r="H212" s="73" t="str">
        <x:v>Entorno</x:v>
      </x:c>
      <x:c r="I212" s="85" t="n">
        <x:v>2</x:v>
      </x:c>
      <x:c r="J212" s="73" t="str">
        <x:v>Sí</x:v>
      </x:c>
      <x:c r="K212" s="73" t="str">
        <x:v>Sí</x:v>
      </x:c>
      <x:c r="L212" s="85" t="n">
        <x:v>0.75</x:v>
      </x:c>
      <x:c r="M212" s="85" t="str">
        <x:v>Parcial</x:v>
      </x:c>
      <x:c r="N212" s="85" t="n">
        <x:v>0.9</x:v>
      </x:c>
      <x:c r="O212" s="85" t="n">
        <x:f>L212*N212</x:f>
        <x:v>0.675</x:v>
      </x:c>
      <x:c r="P212" s="85" t="str">
        <x:v>Media</x:v>
      </x:c>
      <x:c r="Q212" s="85" t="n">
        <x:v>1</x:v>
      </x:c>
      <x:c r="R212" s="85" t="n">
        <x:v>1.3</x:v>
      </x:c>
      <x:c r="S212" s="85" t="n">
        <x:v>1.55</x:v>
      </x:c>
      <x:c r="T212" s="85" t="n">
        <x:f>IF(J212="Sí",I212*O212*Q212,0)</x:f>
        <x:v>1.35</x:v>
      </x:c>
      <x:c r="U212" s="85" t="n">
        <x:f>IF(J212="Sí",I212*O212*R212,0)</x:f>
        <x:v>1.7550000000000001</x:v>
      </x:c>
      <x:c r="V212" s="85" t="n">
        <x:f>IF(J212="Sí",I212*O212*S212,0)</x:f>
        <x:v>2.0925000000000002</x:v>
      </x:c>
      <x:c r="W212" s="73"/>
      <x:c r="X212" s="73" t="str">
        <x:v>Accesos preparados</x:v>
      </x:c>
      <x:c r="Y212" s="73" t="str">
        <x:v>Credenciales, horarios y respaldo</x:v>
      </x:c>
      <x:c r="Z212" s="73"/>
      <x:c r="AA212" s="73" t="str">
        <x:v>Preliminar</x:v>
      </x:c>
      <x:c r="AB212" s="78" t="str">
        <x:v>Estimación técnica ISM · Validar</x:v>
      </x:c>
    </x:row>
    <x:row r="213">
      <x:c r="A213" s="77" t="str">
        <x:v>Ciberseguridad</x:v>
      </x:c>
      <x:c r="B213" s="73" t="str">
        <x:v>SEC-02</x:v>
      </x:c>
      <x:c r="C213" s="73" t="str">
        <x:v>Gestión de vulnerabilidades y parches</x:v>
      </x:c>
      <x:c r="D213" s="73" t="str">
        <x:v>03 · Consolidación digital</x:v>
      </x:c>
      <x:c r="E213" s="73" t="str">
        <x:v>Detección</x:v>
      </x:c>
      <x:c r="F213" s="73" t="str">
        <x:v>SEC2-003</x:v>
      </x:c>
      <x:c r="G213" s="73" t="str">
        <x:v>Escaneo de vulnerabilidades</x:v>
      </x:c>
      <x:c r="H213" s="73" t="str">
        <x:v>Entorno</x:v>
      </x:c>
      <x:c r="I213" s="85" t="n">
        <x:v>2</x:v>
      </x:c>
      <x:c r="J213" s="73" t="str">
        <x:v>Sí</x:v>
      </x:c>
      <x:c r="K213" s="73" t="str">
        <x:v>No</x:v>
      </x:c>
      <x:c r="L213" s="85" t="n">
        <x:v>2</x:v>
      </x:c>
      <x:c r="M213" s="85" t="str">
        <x:v>Parcial</x:v>
      </x:c>
      <x:c r="N213" s="85" t="n">
        <x:v>0.9</x:v>
      </x:c>
      <x:c r="O213" s="85" t="n">
        <x:f>L213*N213</x:f>
        <x:v>1.8</x:v>
      </x:c>
      <x:c r="P213" s="85" t="str">
        <x:v>Alta</x:v>
      </x:c>
      <x:c r="Q213" s="85" t="n">
        <x:v>1</x:v>
      </x:c>
      <x:c r="R213" s="85" t="n">
        <x:v>1.45</x:v>
      </x:c>
      <x:c r="S213" s="85" t="n">
        <x:v>1.8</x:v>
      </x:c>
      <x:c r="T213" s="85" t="n">
        <x:f>IF(J213="Sí",I213*O213*Q213,0)</x:f>
        <x:v>3.6</x:v>
      </x:c>
      <x:c r="U213" s="85" t="n">
        <x:f>IF(J213="Sí",I213*O213*R213,0)</x:f>
        <x:v>5.22</x:v>
      </x:c>
      <x:c r="V213" s="85" t="n">
        <x:f>IF(J213="Sí",I213*O213*S213,0)</x:f>
        <x:v>6.48</x:v>
      </x:c>
      <x:c r="W213" s="73"/>
      <x:c r="X213" s="73" t="str">
        <x:v>Resultado de escaneo</x:v>
      </x:c>
      <x:c r="Y213" s="73" t="str">
        <x:v>Hallazgos técnicos y evidencia</x:v>
      </x:c>
      <x:c r="Z213" s="73"/>
      <x:c r="AA213" s="73" t="str">
        <x:v>Preliminar</x:v>
      </x:c>
      <x:c r="AB213" s="78" t="str">
        <x:v>Estimación técnica ISM · Validar</x:v>
      </x:c>
    </x:row>
    <x:row r="214">
      <x:c r="A214" s="77" t="str">
        <x:v>Ciberseguridad</x:v>
      </x:c>
      <x:c r="B214" s="73" t="str">
        <x:v>SEC-02</x:v>
      </x:c>
      <x:c r="C214" s="73" t="str">
        <x:v>Gestión de vulnerabilidades y parches</x:v>
      </x:c>
      <x:c r="D214" s="73" t="str">
        <x:v>03 · Consolidación digital</x:v>
      </x:c>
      <x:c r="E214" s="73" t="str">
        <x:v>Análisis</x:v>
      </x:c>
      <x:c r="F214" s="73" t="str">
        <x:v>SEC2-004</x:v>
      </x:c>
      <x:c r="G214" s="73" t="str">
        <x:v>Validación y descarte de falsos positivos</x:v>
      </x:c>
      <x:c r="H214" s="73" t="str">
        <x:v>Hallazgo</x:v>
      </x:c>
      <x:c r="I214" s="85" t="n">
        <x:v>10</x:v>
      </x:c>
      <x:c r="J214" s="73" t="str">
        <x:v>Sí</x:v>
      </x:c>
      <x:c r="K214" s="73" t="str">
        <x:v>Sí</x:v>
      </x:c>
      <x:c r="L214" s="85" t="n">
        <x:v>0.2</x:v>
      </x:c>
      <x:c r="M214" s="85" t="str">
        <x:v>Parcial</x:v>
      </x:c>
      <x:c r="N214" s="85" t="n">
        <x:v>0.9</x:v>
      </x:c>
      <x:c r="O214" s="85" t="n">
        <x:f>L214*N214</x:f>
        <x:v>0.18000000000000002</x:v>
      </x:c>
      <x:c r="P214" s="85" t="str">
        <x:v>Alta</x:v>
      </x:c>
      <x:c r="Q214" s="85" t="n">
        <x:v>1</x:v>
      </x:c>
      <x:c r="R214" s="85" t="n">
        <x:v>1.45</x:v>
      </x:c>
      <x:c r="S214" s="85" t="n">
        <x:v>1.8</x:v>
      </x:c>
      <x:c r="T214" s="85" t="n">
        <x:f>IF(J214="Sí",I214*O214*Q214,0)</x:f>
        <x:v>1.8000000000000003</x:v>
      </x:c>
      <x:c r="U214" s="85" t="n">
        <x:f>IF(J214="Sí",I214*O214*R214,0)</x:f>
        <x:v>2.6100000000000003</x:v>
      </x:c>
      <x:c r="V214" s="85" t="n">
        <x:f>IF(J214="Sí",I214*O214*S214,0)</x:f>
        <x:v>3.2400000000000007</x:v>
      </x:c>
      <x:c r="W214" s="73"/>
      <x:c r="X214" s="73" t="str">
        <x:v>Hallazgos validados</x:v>
      </x:c>
      <x:c r="Y214" s="73" t="str">
        <x:v>Evidencia y aplicabilidad</x:v>
      </x:c>
      <x:c r="Z214" s="73"/>
      <x:c r="AA214" s="73" t="str">
        <x:v>Preliminar</x:v>
      </x:c>
      <x:c r="AB214" s="78" t="str">
        <x:v>Estimación técnica ISM · Validar</x:v>
      </x:c>
    </x:row>
    <x:row r="215">
      <x:c r="A215" s="77" t="str">
        <x:v>Ciberseguridad</x:v>
      </x:c>
      <x:c r="B215" s="73" t="str">
        <x:v>SEC-02</x:v>
      </x:c>
      <x:c r="C215" s="73" t="str">
        <x:v>Gestión de vulnerabilidades y parches</x:v>
      </x:c>
      <x:c r="D215" s="73" t="str">
        <x:v>03 · Consolidación digital</x:v>
      </x:c>
      <x:c r="E215" s="73" t="str">
        <x:v>Riesgo</x:v>
      </x:c>
      <x:c r="F215" s="73" t="str">
        <x:v>SEC2-005</x:v>
      </x:c>
      <x:c r="G215" s="73" t="str">
        <x:v>Priorización por criticidad e impacto</x:v>
      </x:c>
      <x:c r="H215" s="73" t="str">
        <x:v>Hallazgo</x:v>
      </x:c>
      <x:c r="I215" s="85" t="n">
        <x:v>10</x:v>
      </x:c>
      <x:c r="J215" s="73" t="str">
        <x:v>Sí</x:v>
      </x:c>
      <x:c r="K215" s="73" t="str">
        <x:v>Sí</x:v>
      </x:c>
      <x:c r="L215" s="85" t="n">
        <x:v>0.2</x:v>
      </x:c>
      <x:c r="M215" s="85" t="str">
        <x:v>Parcial</x:v>
      </x:c>
      <x:c r="N215" s="85" t="n">
        <x:v>0.9</x:v>
      </x:c>
      <x:c r="O215" s="85" t="n">
        <x:f>L215*N215</x:f>
        <x:v>0.18000000000000002</x:v>
      </x:c>
      <x:c r="P215" s="85" t="str">
        <x:v>Alta</x:v>
      </x:c>
      <x:c r="Q215" s="85" t="n">
        <x:v>1</x:v>
      </x:c>
      <x:c r="R215" s="85" t="n">
        <x:v>1.45</x:v>
      </x:c>
      <x:c r="S215" s="85" t="n">
        <x:v>1.8</x:v>
      </x:c>
      <x:c r="T215" s="85" t="n">
        <x:f>IF(J215="Sí",I215*O215*Q215,0)</x:f>
        <x:v>1.8000000000000003</x:v>
      </x:c>
      <x:c r="U215" s="85" t="n">
        <x:f>IF(J215="Sí",I215*O215*R215,0)</x:f>
        <x:v>2.6100000000000003</x:v>
      </x:c>
      <x:c r="V215" s="85" t="n">
        <x:f>IF(J215="Sí",I215*O215*S215,0)</x:f>
        <x:v>3.2400000000000007</x:v>
      </x:c>
      <x:c r="W215" s="73"/>
      <x:c r="X215" s="73" t="str">
        <x:v>Matriz de riesgo</x:v>
      </x:c>
      <x:c r="Y215" s="73" t="str">
        <x:v>Severidad, exposición e impacto</x:v>
      </x:c>
      <x:c r="Z215" s="73"/>
      <x:c r="AA215" s="73" t="str">
        <x:v>Preliminar</x:v>
      </x:c>
      <x:c r="AB215" s="78" t="str">
        <x:v>Estimación técnica ISM · Validar</x:v>
      </x:c>
    </x:row>
    <x:row r="216">
      <x:c r="A216" s="77" t="str">
        <x:v>Ciberseguridad</x:v>
      </x:c>
      <x:c r="B216" s="73" t="str">
        <x:v>SEC-02</x:v>
      </x:c>
      <x:c r="C216" s="73" t="str">
        <x:v>Gestión de vulnerabilidades y parches</x:v>
      </x:c>
      <x:c r="D216" s="73" t="str">
        <x:v>03 · Consolidación digital</x:v>
      </x:c>
      <x:c r="E216" s="73" t="str">
        <x:v>Planificación</x:v>
      </x:c>
      <x:c r="F216" s="73" t="str">
        <x:v>SEC2-006</x:v>
      </x:c>
      <x:c r="G216" s="73" t="str">
        <x:v>Plan de remediación y ventanas</x:v>
      </x:c>
      <x:c r="H216" s="73" t="str">
        <x:v>Proyecto</x:v>
      </x:c>
      <x:c r="I216" s="85" t="n">
        <x:v>1</x:v>
      </x:c>
      <x:c r="J216" s="73" t="str">
        <x:v>Sí</x:v>
      </x:c>
      <x:c r="K216" s="73" t="str">
        <x:v>Sí</x:v>
      </x:c>
      <x:c r="L216" s="85" t="n">
        <x:v>2</x:v>
      </x:c>
      <x:c r="M216" s="85" t="str">
        <x:v>Parcial</x:v>
      </x:c>
      <x:c r="N216" s="85" t="n">
        <x:v>0.9</x:v>
      </x:c>
      <x:c r="O216" s="85" t="n">
        <x:f>L216*N216</x:f>
        <x:v>1.8</x:v>
      </x:c>
      <x:c r="P216" s="85" t="str">
        <x:v>Alta</x:v>
      </x:c>
      <x:c r="Q216" s="85" t="n">
        <x:v>1</x:v>
      </x:c>
      <x:c r="R216" s="85" t="n">
        <x:v>1.45</x:v>
      </x:c>
      <x:c r="S216" s="85" t="n">
        <x:v>1.8</x:v>
      </x:c>
      <x:c r="T216" s="85" t="n">
        <x:f>IF(J216="Sí",I216*O216*Q216,0)</x:f>
        <x:v>1.8</x:v>
      </x:c>
      <x:c r="U216" s="85" t="n">
        <x:f>IF(J216="Sí",I216*O216*R216,0)</x:f>
        <x:v>2.61</x:v>
      </x:c>
      <x:c r="V216" s="85" t="n">
        <x:f>IF(J216="Sí",I216*O216*S216,0)</x:f>
        <x:v>3.24</x:v>
      </x:c>
      <x:c r="W216" s="73"/>
      <x:c r="X216" s="73" t="str">
        <x:v>Plan de remediación</x:v>
      </x:c>
      <x:c r="Y216" s="73" t="str">
        <x:v>Orden, responsables, riesgo y reversa</x:v>
      </x:c>
      <x:c r="Z216" s="73"/>
      <x:c r="AA216" s="73" t="str">
        <x:v>Preliminar</x:v>
      </x:c>
      <x:c r="AB216" s="78" t="str">
        <x:v>Estimación técnica ISM · Validar</x:v>
      </x:c>
    </x:row>
    <x:row r="217">
      <x:c r="A217" s="77" t="str">
        <x:v>Ciberseguridad</x:v>
      </x:c>
      <x:c r="B217" s="73" t="str">
        <x:v>SEC-02</x:v>
      </x:c>
      <x:c r="C217" s="73" t="str">
        <x:v>Gestión de vulnerabilidades y parches</x:v>
      </x:c>
      <x:c r="D217" s="73" t="str">
        <x:v>03 · Consolidación digital</x:v>
      </x:c>
      <x:c r="E217" s="73" t="str">
        <x:v>Remediación</x:v>
      </x:c>
      <x:c r="F217" s="73" t="str">
        <x:v>SEC2-007</x:v>
      </x:c>
      <x:c r="G217" s="73" t="str">
        <x:v>Aplicación de parche estándar</x:v>
      </x:c>
      <x:c r="H217" s="73" t="str">
        <x:v>Activo</x:v>
      </x:c>
      <x:c r="I217" s="85" t="n">
        <x:v>4</x:v>
      </x:c>
      <x:c r="J217" s="73" t="str">
        <x:v>Sí</x:v>
      </x:c>
      <x:c r="K217" s="73" t="str">
        <x:v>No</x:v>
      </x:c>
      <x:c r="L217" s="85" t="n">
        <x:v>1</x:v>
      </x:c>
      <x:c r="M217" s="85" t="str">
        <x:v>Parcial</x:v>
      </x:c>
      <x:c r="N217" s="85" t="n">
        <x:v>0.9</x:v>
      </x:c>
      <x:c r="O217" s="85" t="n">
        <x:f>L217*N217</x:f>
        <x:v>0.9</x:v>
      </x:c>
      <x:c r="P217" s="85" t="str">
        <x:v>Alta</x:v>
      </x:c>
      <x:c r="Q217" s="85" t="n">
        <x:v>1</x:v>
      </x:c>
      <x:c r="R217" s="85" t="n">
        <x:v>1.45</x:v>
      </x:c>
      <x:c r="S217" s="85" t="n">
        <x:v>1.8</x:v>
      </x:c>
      <x:c r="T217" s="85" t="n">
        <x:f>IF(J217="Sí",I217*O217*Q217,0)</x:f>
        <x:v>3.6</x:v>
      </x:c>
      <x:c r="U217" s="85" t="n">
        <x:f>IF(J217="Sí",I217*O217*R217,0)</x:f>
        <x:v>5.22</x:v>
      </x:c>
      <x:c r="V217" s="85" t="n">
        <x:f>IF(J217="Sí",I217*O217*S217,0)</x:f>
        <x:v>6.48</x:v>
      </x:c>
      <x:c r="W217" s="73"/>
      <x:c r="X217" s="73" t="str">
        <x:v>Activos parchados</x:v>
      </x:c>
      <x:c r="Y217" s="73" t="str">
        <x:v>Respaldo, actualización y validación</x:v>
      </x:c>
      <x:c r="Z217" s="73"/>
      <x:c r="AA217" s="73" t="str">
        <x:v>Preliminar</x:v>
      </x:c>
      <x:c r="AB217" s="78" t="str">
        <x:v>Estimación técnica ISM · Validar</x:v>
      </x:c>
    </x:row>
    <x:row r="218">
      <x:c r="A218" s="77" t="str">
        <x:v>Ciberseguridad</x:v>
      </x:c>
      <x:c r="B218" s="73" t="str">
        <x:v>SEC-02</x:v>
      </x:c>
      <x:c r="C218" s="73" t="str">
        <x:v>Gestión de vulnerabilidades y parches</x:v>
      </x:c>
      <x:c r="D218" s="73" t="str">
        <x:v>03 · Consolidación digital</x:v>
      </x:c>
      <x:c r="E218" s="73" t="str">
        <x:v>Remediación</x:v>
      </x:c>
      <x:c r="F218" s="73" t="str">
        <x:v>SEC2-008</x:v>
      </x:c>
      <x:c r="G218" s="73" t="str">
        <x:v>Aplicación de mitigación de configuración</x:v>
      </x:c>
      <x:c r="H218" s="73" t="str">
        <x:v>Hallazgo</x:v>
      </x:c>
      <x:c r="I218" s="85" t="n">
        <x:v>3</x:v>
      </x:c>
      <x:c r="J218" s="73" t="str">
        <x:v>No</x:v>
      </x:c>
      <x:c r="K218" s="73" t="str">
        <x:v>No</x:v>
      </x:c>
      <x:c r="L218" s="85" t="n">
        <x:v>1</x:v>
      </x:c>
      <x:c r="M218" s="85" t="str">
        <x:v>Parcial</x:v>
      </x:c>
      <x:c r="N218" s="85" t="n">
        <x:v>0.9</x:v>
      </x:c>
      <x:c r="O218" s="85" t="n">
        <x:f>L218*N218</x:f>
        <x:v>0.9</x:v>
      </x:c>
      <x:c r="P218" s="85" t="str">
        <x:v>Alta</x:v>
      </x:c>
      <x:c r="Q218" s="85" t="n">
        <x:v>1</x:v>
      </x:c>
      <x:c r="R218" s="85" t="n">
        <x:v>1.45</x:v>
      </x:c>
      <x:c r="S218" s="85" t="n">
        <x:v>1.8</x:v>
      </x:c>
      <x:c r="T218" s="85" t="n">
        <x:f>IF(J218="Sí",I218*O218*Q218,0)</x:f>
        <x:v>0</x:v>
      </x:c>
      <x:c r="U218" s="85" t="n">
        <x:f>IF(J218="Sí",I218*O218*R218,0)</x:f>
        <x:v>0</x:v>
      </x:c>
      <x:c r="V218" s="85" t="n">
        <x:f>IF(J218="Sí",I218*O218*S218,0)</x:f>
        <x:v>0</x:v>
      </x:c>
      <x:c r="W218" s="73"/>
      <x:c r="X218" s="73" t="str">
        <x:v>Mitigación aplicada</x:v>
      </x:c>
      <x:c r="Y218" s="73" t="str">
        <x:v>Cambio compensatorio o configuración</x:v>
      </x:c>
      <x:c r="Z218" s="73"/>
      <x:c r="AA218" s="73" t="str">
        <x:v>Preliminar</x:v>
      </x:c>
      <x:c r="AB218" s="78" t="str">
        <x:v>Estimación técnica ISM · Validar</x:v>
      </x:c>
    </x:row>
    <x:row r="219">
      <x:c r="A219" s="77" t="str">
        <x:v>Ciberseguridad</x:v>
      </x:c>
      <x:c r="B219" s="73" t="str">
        <x:v>SEC-02</x:v>
      </x:c>
      <x:c r="C219" s="73" t="str">
        <x:v>Gestión de vulnerabilidades y parches</x:v>
      </x:c>
      <x:c r="D219" s="73" t="str">
        <x:v>03 · Consolidación digital</x:v>
      </x:c>
      <x:c r="E219" s="73" t="str">
        <x:v>Calidad</x:v>
      </x:c>
      <x:c r="F219" s="73" t="str">
        <x:v>SEC2-009</x:v>
      </x:c>
      <x:c r="G219" s="73" t="str">
        <x:v>Prueba funcional posterior</x:v>
      </x:c>
      <x:c r="H219" s="73" t="str">
        <x:v>Activo</x:v>
      </x:c>
      <x:c r="I219" s="85" t="n">
        <x:v>4</x:v>
      </x:c>
      <x:c r="J219" s="73" t="str">
        <x:v>Sí</x:v>
      </x:c>
      <x:c r="K219" s="73" t="str">
        <x:v>Sí</x:v>
      </x:c>
      <x:c r="L219" s="85" t="n">
        <x:v>0.5</x:v>
      </x:c>
      <x:c r="M219" s="85" t="str">
        <x:v>Parcial</x:v>
      </x:c>
      <x:c r="N219" s="85" t="n">
        <x:v>0.9</x:v>
      </x:c>
      <x:c r="O219" s="85" t="n">
        <x:f>L219*N219</x:f>
        <x:v>0.45</x:v>
      </x:c>
      <x:c r="P219" s="85" t="str">
        <x:v>Media</x:v>
      </x:c>
      <x:c r="Q219" s="85" t="n">
        <x:v>1</x:v>
      </x:c>
      <x:c r="R219" s="85" t="n">
        <x:v>1.3</x:v>
      </x:c>
      <x:c r="S219" s="85" t="n">
        <x:v>1.55</x:v>
      </x:c>
      <x:c r="T219" s="85" t="n">
        <x:f>IF(J219="Sí",I219*O219*Q219,0)</x:f>
        <x:v>1.8</x:v>
      </x:c>
      <x:c r="U219" s="85" t="n">
        <x:f>IF(J219="Sí",I219*O219*R219,0)</x:f>
        <x:v>2.3400000000000003</x:v>
      </x:c>
      <x:c r="V219" s="85" t="n">
        <x:f>IF(J219="Sí",I219*O219*S219,0)</x:f>
        <x:v>2.79</x:v>
      </x:c>
      <x:c r="W219" s="73"/>
      <x:c r="X219" s="73" t="str">
        <x:v>Operación validada</x:v>
      </x:c>
      <x:c r="Y219" s="73" t="str">
        <x:v>Funciones críticas después del parche</x:v>
      </x:c>
      <x:c r="Z219" s="73"/>
      <x:c r="AA219" s="73" t="str">
        <x:v>Preliminar</x:v>
      </x:c>
      <x:c r="AB219" s="78" t="str">
        <x:v>Estimación técnica ISM · Validar</x:v>
      </x:c>
    </x:row>
    <x:row r="220">
      <x:c r="A220" s="77" t="str">
        <x:v>Ciberseguridad</x:v>
      </x:c>
      <x:c r="B220" s="73" t="str">
        <x:v>SEC-02</x:v>
      </x:c>
      <x:c r="C220" s="73" t="str">
        <x:v>Gestión de vulnerabilidades y parches</x:v>
      </x:c>
      <x:c r="D220" s="73" t="str">
        <x:v>03 · Consolidación digital</x:v>
      </x:c>
      <x:c r="E220" s="73" t="str">
        <x:v>Revalidación</x:v>
      </x:c>
      <x:c r="F220" s="73" t="str">
        <x:v>SEC2-010</x:v>
      </x:c>
      <x:c r="G220" s="73" t="str">
        <x:v>Nuevo escaneo de verificación</x:v>
      </x:c>
      <x:c r="H220" s="73" t="str">
        <x:v>Entorno</x:v>
      </x:c>
      <x:c r="I220" s="85" t="n">
        <x:v>2</x:v>
      </x:c>
      <x:c r="J220" s="73" t="str">
        <x:v>Sí</x:v>
      </x:c>
      <x:c r="K220" s="73" t="str">
        <x:v>Sí</x:v>
      </x:c>
      <x:c r="L220" s="85" t="n">
        <x:v>1.5</x:v>
      </x:c>
      <x:c r="M220" s="85" t="str">
        <x:v>Parcial</x:v>
      </x:c>
      <x:c r="N220" s="85" t="n">
        <x:v>0.9</x:v>
      </x:c>
      <x:c r="O220" s="85" t="n">
        <x:f>L220*N220</x:f>
        <x:v>1.35</x:v>
      </x:c>
      <x:c r="P220" s="85" t="str">
        <x:v>Alta</x:v>
      </x:c>
      <x:c r="Q220" s="85" t="n">
        <x:v>1</x:v>
      </x:c>
      <x:c r="R220" s="85" t="n">
        <x:v>1.45</x:v>
      </x:c>
      <x:c r="S220" s="85" t="n">
        <x:v>1.8</x:v>
      </x:c>
      <x:c r="T220" s="85" t="n">
        <x:f>IF(J220="Sí",I220*O220*Q220,0)</x:f>
        <x:v>2.7</x:v>
      </x:c>
      <x:c r="U220" s="85" t="n">
        <x:f>IF(J220="Sí",I220*O220*R220,0)</x:f>
        <x:v>3.915</x:v>
      </x:c>
      <x:c r="V220" s="85" t="n">
        <x:f>IF(J220="Sí",I220*O220*S220,0)</x:f>
        <x:v>4.86</x:v>
      </x:c>
      <x:c r="W220" s="73"/>
      <x:c r="X220" s="73" t="str">
        <x:v>Hallazgos revalidados</x:v>
      </x:c>
      <x:c r="Y220" s="73" t="str">
        <x:v>Cierre o riesgo residual</x:v>
      </x:c>
      <x:c r="Z220" s="73"/>
      <x:c r="AA220" s="73" t="str">
        <x:v>Preliminar</x:v>
      </x:c>
      <x:c r="AB220" s="78" t="str">
        <x:v>Estimación técnica ISM · Validar</x:v>
      </x:c>
    </x:row>
    <x:row r="221">
      <x:c r="A221" s="77" t="str">
        <x:v>Ciberseguridad</x:v>
      </x:c>
      <x:c r="B221" s="73" t="str">
        <x:v>SEC-02</x:v>
      </x:c>
      <x:c r="C221" s="73" t="str">
        <x:v>Gestión de vulnerabilidades y parches</x:v>
      </x:c>
      <x:c r="D221" s="73" t="str">
        <x:v>03 · Consolidación digital</x:v>
      </x:c>
      <x:c r="E221" s="73" t="str">
        <x:v>Cierre</x:v>
      </x:c>
      <x:c r="F221" s="73" t="str">
        <x:v>SEC2-011</x:v>
      </x:c>
      <x:c r="G221" s="73" t="str">
        <x:v>Informe ejecutivo y técnico</x:v>
      </x:c>
      <x:c r="H221" s="73" t="str">
        <x:v>Proyecto</x:v>
      </x:c>
      <x:c r="I221" s="85" t="n">
        <x:v>1</x:v>
      </x:c>
      <x:c r="J221" s="73" t="str">
        <x:v>Sí</x:v>
      </x:c>
      <x:c r="K221" s="73" t="str">
        <x:v>Sí</x:v>
      </x:c>
      <x:c r="L221" s="85" t="n">
        <x:v>2</x:v>
      </x:c>
      <x:c r="M221" s="85" t="str">
        <x:v>Parcial</x:v>
      </x:c>
      <x:c r="N221" s="85" t="n">
        <x:v>0.9</x:v>
      </x:c>
      <x:c r="O221" s="85" t="n">
        <x:f>L221*N221</x:f>
        <x:v>1.8</x:v>
      </x:c>
      <x:c r="P221" s="85" t="str">
        <x:v>Media</x:v>
      </x:c>
      <x:c r="Q221" s="85" t="n">
        <x:v>1</x:v>
      </x:c>
      <x:c r="R221" s="85" t="n">
        <x:v>1.3</x:v>
      </x:c>
      <x:c r="S221" s="85" t="n">
        <x:v>1.55</x:v>
      </x:c>
      <x:c r="T221" s="85" t="n">
        <x:f>IF(J221="Sí",I221*O221*Q221,0)</x:f>
        <x:v>1.8</x:v>
      </x:c>
      <x:c r="U221" s="85" t="n">
        <x:f>IF(J221="Sí",I221*O221*R221,0)</x:f>
        <x:v>2.3400000000000003</x:v>
      </x:c>
      <x:c r="V221" s="85" t="n">
        <x:f>IF(J221="Sí",I221*O221*S221,0)</x:f>
        <x:v>2.79</x:v>
      </x:c>
      <x:c r="W221" s="73"/>
      <x:c r="X221" s="73" t="str">
        <x:v>Informe de vulnerabilidades</x:v>
      </x:c>
      <x:c r="Y221" s="73" t="str">
        <x:v>Estado, riesgo residual y recomendaciones</x:v>
      </x:c>
      <x:c r="Z221" s="73"/>
      <x:c r="AA221" s="73" t="str">
        <x:v>Preliminar</x:v>
      </x:c>
      <x:c r="AB221" s="78" t="str">
        <x:v>Estimación técnica ISM · Validar</x:v>
      </x:c>
    </x:row>
    <x:row r="222">
      <x:c r="A222" s="77" t="str">
        <x:v>Ciberseguridad</x:v>
      </x:c>
      <x:c r="B222" s="73" t="str">
        <x:v>SEC-03</x:v>
      </x:c>
      <x:c r="C222" s="73" t="str">
        <x:v>Identidad y control de accesos</x:v>
      </x:c>
      <x:c r="D222" s="73" t="str">
        <x:v>03 · Consolidación digital</x:v>
      </x:c>
      <x:c r="E222" s="73" t="str">
        <x:v>Diagnóstico</x:v>
      </x:c>
      <x:c r="F222" s="73" t="str">
        <x:v>SEC3-001</x:v>
      </x:c>
      <x:c r="G222" s="73" t="str">
        <x:v>Inventario de usuarios, roles y accesos</x:v>
      </x:c>
      <x:c r="H222" s="73" t="str">
        <x:v>Sistema</x:v>
      </x:c>
      <x:c r="I222" s="85" t="n">
        <x:v>2</x:v>
      </x:c>
      <x:c r="J222" s="73" t="str">
        <x:v>Sí</x:v>
      </x:c>
      <x:c r="K222" s="73" t="str">
        <x:v>Sí</x:v>
      </x:c>
      <x:c r="L222" s="85" t="n">
        <x:v>1.5</x:v>
      </x:c>
      <x:c r="M222" s="85" t="str">
        <x:v>Parcial</x:v>
      </x:c>
      <x:c r="N222" s="85" t="n">
        <x:v>0.9</x:v>
      </x:c>
      <x:c r="O222" s="85" t="n">
        <x:f>L222*N222</x:f>
        <x:v>1.35</x:v>
      </x:c>
      <x:c r="P222" s="85" t="str">
        <x:v>Alta</x:v>
      </x:c>
      <x:c r="Q222" s="85" t="n">
        <x:v>1</x:v>
      </x:c>
      <x:c r="R222" s="85" t="n">
        <x:v>1.45</x:v>
      </x:c>
      <x:c r="S222" s="85" t="n">
        <x:v>1.8</x:v>
      </x:c>
      <x:c r="T222" s="85" t="n">
        <x:f>IF(J222="Sí",I222*O222*Q222,0)</x:f>
        <x:v>2.7</x:v>
      </x:c>
      <x:c r="U222" s="85" t="n">
        <x:f>IF(J222="Sí",I222*O222*R222,0)</x:f>
        <x:v>3.915</x:v>
      </x:c>
      <x:c r="V222" s="85" t="n">
        <x:f>IF(J222="Sí",I222*O222*S222,0)</x:f>
        <x:v>4.86</x:v>
      </x:c>
      <x:c r="W222" s="73"/>
      <x:c r="X222" s="73" t="str">
        <x:v>Inventario de accesos</x:v>
      </x:c>
      <x:c r="Y222" s="73" t="str">
        <x:v>Usuarios, grupos, permisos y propietarios</x:v>
      </x:c>
      <x:c r="Z222" s="73"/>
      <x:c r="AA222" s="73" t="str">
        <x:v>Preliminar</x:v>
      </x:c>
      <x:c r="AB222" s="78" t="str">
        <x:v>Estimación técnica ISM · Validar</x:v>
      </x:c>
    </x:row>
    <x:row r="223">
      <x:c r="A223" s="77" t="str">
        <x:v>Ciberseguridad</x:v>
      </x:c>
      <x:c r="B223" s="73" t="str">
        <x:v>SEC-03</x:v>
      </x:c>
      <x:c r="C223" s="73" t="str">
        <x:v>Identidad y control de accesos</x:v>
      </x:c>
      <x:c r="D223" s="73" t="str">
        <x:v>03 · Consolidación digital</x:v>
      </x:c>
      <x:c r="E223" s="73" t="str">
        <x:v>Diseño</x:v>
      </x:c>
      <x:c r="F223" s="73" t="str">
        <x:v>SEC3-002</x:v>
      </x:c>
      <x:c r="G223" s="73" t="str">
        <x:v>Diseño de roles y segregación de funciones</x:v>
      </x:c>
      <x:c r="H223" s="73" t="str">
        <x:v>Rol</x:v>
      </x:c>
      <x:c r="I223" s="85" t="n">
        <x:v>4</x:v>
      </x:c>
      <x:c r="J223" s="73" t="str">
        <x:v>Sí</x:v>
      </x:c>
      <x:c r="K223" s="73" t="str">
        <x:v>Sí</x:v>
      </x:c>
      <x:c r="L223" s="85" t="n">
        <x:v>1</x:v>
      </x:c>
      <x:c r="M223" s="85" t="str">
        <x:v>Parcial</x:v>
      </x:c>
      <x:c r="N223" s="85" t="n">
        <x:v>0.9</x:v>
      </x:c>
      <x:c r="O223" s="85" t="n">
        <x:f>L223*N223</x:f>
        <x:v>0.9</x:v>
      </x:c>
      <x:c r="P223" s="85" t="str">
        <x:v>Alta</x:v>
      </x:c>
      <x:c r="Q223" s="85" t="n">
        <x:v>1</x:v>
      </x:c>
      <x:c r="R223" s="85" t="n">
        <x:v>1.45</x:v>
      </x:c>
      <x:c r="S223" s="85" t="n">
        <x:v>1.8</x:v>
      </x:c>
      <x:c r="T223" s="85" t="n">
        <x:f>IF(J223="Sí",I223*O223*Q223,0)</x:f>
        <x:v>3.6</x:v>
      </x:c>
      <x:c r="U223" s="85" t="n">
        <x:f>IF(J223="Sí",I223*O223*R223,0)</x:f>
        <x:v>5.22</x:v>
      </x:c>
      <x:c r="V223" s="85" t="n">
        <x:f>IF(J223="Sí",I223*O223*S223,0)</x:f>
        <x:v>6.48</x:v>
      </x:c>
      <x:c r="W223" s="73"/>
      <x:c r="X223" s="73" t="str">
        <x:v>Modelo RBAC</x:v>
      </x:c>
      <x:c r="Y223" s="73" t="str">
        <x:v>Responsabilidades, permisos y conflictos</x:v>
      </x:c>
      <x:c r="Z223" s="73"/>
      <x:c r="AA223" s="73" t="str">
        <x:v>Preliminar</x:v>
      </x:c>
      <x:c r="AB223" s="78" t="str">
        <x:v>Estimación técnica ISM · Validar</x:v>
      </x:c>
    </x:row>
    <x:row r="224">
      <x:c r="A224" s="77" t="str">
        <x:v>Ciberseguridad</x:v>
      </x:c>
      <x:c r="B224" s="73" t="str">
        <x:v>SEC-03</x:v>
      </x:c>
      <x:c r="C224" s="73" t="str">
        <x:v>Identidad y control de accesos</x:v>
      </x:c>
      <x:c r="D224" s="73" t="str">
        <x:v>03 · Consolidación digital</x:v>
      </x:c>
      <x:c r="E224" s="73" t="str">
        <x:v>Diseño</x:v>
      </x:c>
      <x:c r="F224" s="73" t="str">
        <x:v>SEC3-003</x:v>
      </x:c>
      <x:c r="G224" s="73" t="str">
        <x:v>Matriz de acceso por recurso</x:v>
      </x:c>
      <x:c r="H224" s="73" t="str">
        <x:v>Rol</x:v>
      </x:c>
      <x:c r="I224" s="85" t="n">
        <x:v>4</x:v>
      </x:c>
      <x:c r="J224" s="73" t="str">
        <x:v>Sí</x:v>
      </x:c>
      <x:c r="K224" s="73" t="str">
        <x:v>Sí</x:v>
      </x:c>
      <x:c r="L224" s="85" t="n">
        <x:v>1</x:v>
      </x:c>
      <x:c r="M224" s="85" t="str">
        <x:v>Parcial</x:v>
      </x:c>
      <x:c r="N224" s="85" t="n">
        <x:v>0.9</x:v>
      </x:c>
      <x:c r="O224" s="85" t="n">
        <x:f>L224*N224</x:f>
        <x:v>0.9</x:v>
      </x:c>
      <x:c r="P224" s="85" t="str">
        <x:v>Alta</x:v>
      </x:c>
      <x:c r="Q224" s="85" t="n">
        <x:v>1</x:v>
      </x:c>
      <x:c r="R224" s="85" t="n">
        <x:v>1.45</x:v>
      </x:c>
      <x:c r="S224" s="85" t="n">
        <x:v>1.8</x:v>
      </x:c>
      <x:c r="T224" s="85" t="n">
        <x:f>IF(J224="Sí",I224*O224*Q224,0)</x:f>
        <x:v>3.6</x:v>
      </x:c>
      <x:c r="U224" s="85" t="n">
        <x:f>IF(J224="Sí",I224*O224*R224,0)</x:f>
        <x:v>5.22</x:v>
      </x:c>
      <x:c r="V224" s="85" t="n">
        <x:f>IF(J224="Sí",I224*O224*S224,0)</x:f>
        <x:v>6.48</x:v>
      </x:c>
      <x:c r="W224" s="73"/>
      <x:c r="X224" s="73" t="str">
        <x:v>Matriz de permisos</x:v>
      </x:c>
      <x:c r="Y224" s="73" t="str">
        <x:v>Lectura, edición, aprobación y administración</x:v>
      </x:c>
      <x:c r="Z224" s="73"/>
      <x:c r="AA224" s="73" t="str">
        <x:v>Preliminar</x:v>
      </x:c>
      <x:c r="AB224" s="78" t="str">
        <x:v>Estimación técnica ISM · Validar</x:v>
      </x:c>
    </x:row>
    <x:row r="225">
      <x:c r="A225" s="77" t="str">
        <x:v>Ciberseguridad</x:v>
      </x:c>
      <x:c r="B225" s="73" t="str">
        <x:v>SEC-03</x:v>
      </x:c>
      <x:c r="C225" s="73" t="str">
        <x:v>Identidad y control de accesos</x:v>
      </x:c>
      <x:c r="D225" s="73" t="str">
        <x:v>03 · Consolidación digital</x:v>
      </x:c>
      <x:c r="E225" s="73" t="str">
        <x:v>Autenticación</x:v>
      </x:c>
      <x:c r="F225" s="73" t="str">
        <x:v>SEC3-004</x:v>
      </x:c>
      <x:c r="G225" s="73" t="str">
        <x:v>Configuración de autenticación multifactor</x:v>
      </x:c>
      <x:c r="H225" s="73" t="str">
        <x:v>Sistema</x:v>
      </x:c>
      <x:c r="I225" s="85" t="n">
        <x:v>1</x:v>
      </x:c>
      <x:c r="J225" s="73" t="str">
        <x:v>Sí</x:v>
      </x:c>
      <x:c r="K225" s="73" t="str">
        <x:v>No</x:v>
      </x:c>
      <x:c r="L225" s="85" t="n">
        <x:v>3</x:v>
      </x:c>
      <x:c r="M225" s="85" t="str">
        <x:v>Parcial</x:v>
      </x:c>
      <x:c r="N225" s="85" t="n">
        <x:v>0.9</x:v>
      </x:c>
      <x:c r="O225" s="85" t="n">
        <x:f>L225*N225</x:f>
        <x:v>2.7</x:v>
      </x:c>
      <x:c r="P225" s="85" t="str">
        <x:v>Alta</x:v>
      </x:c>
      <x:c r="Q225" s="85" t="n">
        <x:v>1</x:v>
      </x:c>
      <x:c r="R225" s="85" t="n">
        <x:v>1.45</x:v>
      </x:c>
      <x:c r="S225" s="85" t="n">
        <x:v>1.8</x:v>
      </x:c>
      <x:c r="T225" s="85" t="n">
        <x:f>IF(J225="Sí",I225*O225*Q225,0)</x:f>
        <x:v>2.7</x:v>
      </x:c>
      <x:c r="U225" s="85" t="n">
        <x:f>IF(J225="Sí",I225*O225*R225,0)</x:f>
        <x:v>3.915</x:v>
      </x:c>
      <x:c r="V225" s="85" t="n">
        <x:f>IF(J225="Sí",I225*O225*S225,0)</x:f>
        <x:v>4.86</x:v>
      </x:c>
      <x:c r="W225" s="73"/>
      <x:c r="X225" s="73" t="str">
        <x:v>MFA operativo</x:v>
      </x:c>
      <x:c r="Y225" s="73" t="str">
        <x:v>Enrolamiento, recuperación y excepción</x:v>
      </x:c>
      <x:c r="Z225" s="73"/>
      <x:c r="AA225" s="73" t="str">
        <x:v>Preliminar</x:v>
      </x:c>
      <x:c r="AB225" s="78" t="str">
        <x:v>Estimación técnica ISM · Validar</x:v>
      </x:c>
    </x:row>
    <x:row r="226">
      <x:c r="A226" s="77" t="str">
        <x:v>Ciberseguridad</x:v>
      </x:c>
      <x:c r="B226" s="73" t="str">
        <x:v>SEC-03</x:v>
      </x:c>
      <x:c r="C226" s="73" t="str">
        <x:v>Identidad y control de accesos</x:v>
      </x:c>
      <x:c r="D226" s="73" t="str">
        <x:v>03 · Consolidación digital</x:v>
      </x:c>
      <x:c r="E226" s="73" t="str">
        <x:v>Autenticación</x:v>
      </x:c>
      <x:c r="F226" s="73" t="str">
        <x:v>SEC3-005</x:v>
      </x:c>
      <x:c r="G226" s="73" t="str">
        <x:v>Política de contraseñas y sesión</x:v>
      </x:c>
      <x:c r="H226" s="73" t="str">
        <x:v>Sistema</x:v>
      </x:c>
      <x:c r="I226" s="85" t="n">
        <x:v>1</x:v>
      </x:c>
      <x:c r="J226" s="73" t="str">
        <x:v>Sí</x:v>
      </x:c>
      <x:c r="K226" s="73" t="str">
        <x:v>No</x:v>
      </x:c>
      <x:c r="L226" s="85" t="n">
        <x:v>1.5</x:v>
      </x:c>
      <x:c r="M226" s="85" t="str">
        <x:v>Parcial</x:v>
      </x:c>
      <x:c r="N226" s="85" t="n">
        <x:v>0.9</x:v>
      </x:c>
      <x:c r="O226" s="85" t="n">
        <x:f>L226*N226</x:f>
        <x:v>1.35</x:v>
      </x:c>
      <x:c r="P226" s="85" t="str">
        <x:v>Alta</x:v>
      </x:c>
      <x:c r="Q226" s="85" t="n">
        <x:v>1</x:v>
      </x:c>
      <x:c r="R226" s="85" t="n">
        <x:v>1.45</x:v>
      </x:c>
      <x:c r="S226" s="85" t="n">
        <x:v>1.8</x:v>
      </x:c>
      <x:c r="T226" s="85" t="n">
        <x:f>IF(J226="Sí",I226*O226*Q226,0)</x:f>
        <x:v>1.35</x:v>
      </x:c>
      <x:c r="U226" s="85" t="n">
        <x:f>IF(J226="Sí",I226*O226*R226,0)</x:f>
        <x:v>1.9575</x:v>
      </x:c>
      <x:c r="V226" s="85" t="n">
        <x:f>IF(J226="Sí",I226*O226*S226,0)</x:f>
        <x:v>2.43</x:v>
      </x:c>
      <x:c r="W226" s="73"/>
      <x:c r="X226" s="73" t="str">
        <x:v>Políticas aplicadas</x:v>
      </x:c>
      <x:c r="Y226" s="73" t="str">
        <x:v>Complejidad, bloqueo, duración y recuperación</x:v>
      </x:c>
      <x:c r="Z226" s="73"/>
      <x:c r="AA226" s="73" t="str">
        <x:v>Preliminar</x:v>
      </x:c>
      <x:c r="AB226" s="78" t="str">
        <x:v>Estimación técnica ISM · Validar</x:v>
      </x:c>
    </x:row>
    <x:row r="227">
      <x:c r="A227" s="77" t="str">
        <x:v>Ciberseguridad</x:v>
      </x:c>
      <x:c r="B227" s="73" t="str">
        <x:v>SEC-03</x:v>
      </x:c>
      <x:c r="C227" s="73" t="str">
        <x:v>Identidad y control de accesos</x:v>
      </x:c>
      <x:c r="D227" s="73" t="str">
        <x:v>03 · Consolidación digital</x:v>
      </x:c>
      <x:c r="E227" s="73" t="str">
        <x:v>Autorización</x:v>
      </x:c>
      <x:c r="F227" s="73" t="str">
        <x:v>SEC3-006</x:v>
      </x:c>
      <x:c r="G227" s="73" t="str">
        <x:v>Aplicación de mínimo privilegio</x:v>
      </x:c>
      <x:c r="H227" s="73" t="str">
        <x:v>Rol</x:v>
      </x:c>
      <x:c r="I227" s="85" t="n">
        <x:v>4</x:v>
      </x:c>
      <x:c r="J227" s="73" t="str">
        <x:v>Sí</x:v>
      </x:c>
      <x:c r="K227" s="73" t="str">
        <x:v>No</x:v>
      </x:c>
      <x:c r="L227" s="85" t="n">
        <x:v>1</x:v>
      </x:c>
      <x:c r="M227" s="85" t="str">
        <x:v>Parcial</x:v>
      </x:c>
      <x:c r="N227" s="85" t="n">
        <x:v>0.9</x:v>
      </x:c>
      <x:c r="O227" s="85" t="n">
        <x:f>L227*N227</x:f>
        <x:v>0.9</x:v>
      </x:c>
      <x:c r="P227" s="85" t="str">
        <x:v>Alta</x:v>
      </x:c>
      <x:c r="Q227" s="85" t="n">
        <x:v>1</x:v>
      </x:c>
      <x:c r="R227" s="85" t="n">
        <x:v>1.45</x:v>
      </x:c>
      <x:c r="S227" s="85" t="n">
        <x:v>1.8</x:v>
      </x:c>
      <x:c r="T227" s="85" t="n">
        <x:f>IF(J227="Sí",I227*O227*Q227,0)</x:f>
        <x:v>3.6</x:v>
      </x:c>
      <x:c r="U227" s="85" t="n">
        <x:f>IF(J227="Sí",I227*O227*R227,0)</x:f>
        <x:v>5.22</x:v>
      </x:c>
      <x:c r="V227" s="85" t="n">
        <x:f>IF(J227="Sí",I227*O227*S227,0)</x:f>
        <x:v>6.48</x:v>
      </x:c>
      <x:c r="W227" s="73"/>
      <x:c r="X227" s="73" t="str">
        <x:v>Permisos ajustados</x:v>
      </x:c>
      <x:c r="Y227" s="73" t="str">
        <x:v>Reducción de privilegios y accesos heredados</x:v>
      </x:c>
      <x:c r="Z227" s="73"/>
      <x:c r="AA227" s="73" t="str">
        <x:v>Preliminar</x:v>
      </x:c>
      <x:c r="AB227" s="78" t="str">
        <x:v>Estimación técnica ISM · Validar</x:v>
      </x:c>
    </x:row>
    <x:row r="228">
      <x:c r="A228" s="77" t="str">
        <x:v>Ciberseguridad</x:v>
      </x:c>
      <x:c r="B228" s="73" t="str">
        <x:v>SEC-03</x:v>
      </x:c>
      <x:c r="C228" s="73" t="str">
        <x:v>Identidad y control de accesos</x:v>
      </x:c>
      <x:c r="D228" s="73" t="str">
        <x:v>03 · Consolidación digital</x:v>
      </x:c>
      <x:c r="E228" s="73" t="str">
        <x:v>Ciclo de vida</x:v>
      </x:c>
      <x:c r="F228" s="73" t="str">
        <x:v>SEC3-007</x:v>
      </x:c>
      <x:c r="G228" s="73" t="str">
        <x:v>Proceso de alta, cambio y baja de usuarios</x:v>
      </x:c>
      <x:c r="H228" s="73" t="str">
        <x:v>Proceso</x:v>
      </x:c>
      <x:c r="I228" s="85" t="n">
        <x:v>1</x:v>
      </x:c>
      <x:c r="J228" s="73" t="str">
        <x:v>Sí</x:v>
      </x:c>
      <x:c r="K228" s="73" t="str">
        <x:v>Sí</x:v>
      </x:c>
      <x:c r="L228" s="85" t="n">
        <x:v>2</x:v>
      </x:c>
      <x:c r="M228" s="85" t="str">
        <x:v>Parcial</x:v>
      </x:c>
      <x:c r="N228" s="85" t="n">
        <x:v>0.9</x:v>
      </x:c>
      <x:c r="O228" s="85" t="n">
        <x:f>L228*N228</x:f>
        <x:v>1.8</x:v>
      </x:c>
      <x:c r="P228" s="85" t="str">
        <x:v>Media</x:v>
      </x:c>
      <x:c r="Q228" s="85" t="n">
        <x:v>1</x:v>
      </x:c>
      <x:c r="R228" s="85" t="n">
        <x:v>1.3</x:v>
      </x:c>
      <x:c r="S228" s="85" t="n">
        <x:v>1.55</x:v>
      </x:c>
      <x:c r="T228" s="85" t="n">
        <x:f>IF(J228="Sí",I228*O228*Q228,0)</x:f>
        <x:v>1.8</x:v>
      </x:c>
      <x:c r="U228" s="85" t="n">
        <x:f>IF(J228="Sí",I228*O228*R228,0)</x:f>
        <x:v>2.3400000000000003</x:v>
      </x:c>
      <x:c r="V228" s="85" t="n">
        <x:f>IF(J228="Sí",I228*O228*S228,0)</x:f>
        <x:v>2.79</x:v>
      </x:c>
      <x:c r="W228" s="73"/>
      <x:c r="X228" s="73" t="str">
        <x:v>Procedimiento JML</x:v>
      </x:c>
      <x:c r="Y228" s="73" t="str">
        <x:v>Solicitud, aprobación, ejecución y evidencia</x:v>
      </x:c>
      <x:c r="Z228" s="73"/>
      <x:c r="AA228" s="73" t="str">
        <x:v>Preliminar</x:v>
      </x:c>
      <x:c r="AB228" s="78" t="str">
        <x:v>Estimación técnica ISM · Validar</x:v>
      </x:c>
    </x:row>
    <x:row r="229">
      <x:c r="A229" s="77" t="str">
        <x:v>Ciberseguridad</x:v>
      </x:c>
      <x:c r="B229" s="73" t="str">
        <x:v>SEC-03</x:v>
      </x:c>
      <x:c r="C229" s="73" t="str">
        <x:v>Identidad y control de accesos</x:v>
      </x:c>
      <x:c r="D229" s="73" t="str">
        <x:v>03 · Consolidación digital</x:v>
      </x:c>
      <x:c r="E229" s="73" t="str">
        <x:v>Cuentas</x:v>
      </x:c>
      <x:c r="F229" s="73" t="str">
        <x:v>SEC3-008</x:v>
      </x:c>
      <x:c r="G229" s="73" t="str">
        <x:v>Control de cuentas de servicio</x:v>
      </x:c>
      <x:c r="H229" s="73" t="str">
        <x:v>Cuenta</x:v>
      </x:c>
      <x:c r="I229" s="85" t="n">
        <x:v>4</x:v>
      </x:c>
      <x:c r="J229" s="73" t="str">
        <x:v>No</x:v>
      </x:c>
      <x:c r="K229" s="73" t="str">
        <x:v>No</x:v>
      </x:c>
      <x:c r="L229" s="85" t="n">
        <x:v>0.5</x:v>
      </x:c>
      <x:c r="M229" s="85" t="str">
        <x:v>Parcial</x:v>
      </x:c>
      <x:c r="N229" s="85" t="n">
        <x:v>0.9</x:v>
      </x:c>
      <x:c r="O229" s="85" t="n">
        <x:f>L229*N229</x:f>
        <x:v>0.45</x:v>
      </x:c>
      <x:c r="P229" s="85" t="str">
        <x:v>Alta</x:v>
      </x:c>
      <x:c r="Q229" s="85" t="n">
        <x:v>1</x:v>
      </x:c>
      <x:c r="R229" s="85" t="n">
        <x:v>1.45</x:v>
      </x:c>
      <x:c r="S229" s="85" t="n">
        <x:v>1.8</x:v>
      </x:c>
      <x:c r="T229" s="85" t="n">
        <x:f>IF(J229="Sí",I229*O229*Q229,0)</x:f>
        <x:v>0</x:v>
      </x:c>
      <x:c r="U229" s="85" t="n">
        <x:f>IF(J229="Sí",I229*O229*R229,0)</x:f>
        <x:v>0</x:v>
      </x:c>
      <x:c r="V229" s="85" t="n">
        <x:f>IF(J229="Sí",I229*O229*S229,0)</x:f>
        <x:v>0</x:v>
      </x:c>
      <x:c r="W229" s="73"/>
      <x:c r="X229" s="73" t="str">
        <x:v>Cuentas controladas</x:v>
      </x:c>
      <x:c r="Y229" s="73" t="str">
        <x:v>Propietario, secreto, uso y rotación</x:v>
      </x:c>
      <x:c r="Z229" s="73"/>
      <x:c r="AA229" s="73" t="str">
        <x:v>Preliminar</x:v>
      </x:c>
      <x:c r="AB229" s="78" t="str">
        <x:v>Estimación técnica ISM · Validar</x:v>
      </x:c>
    </x:row>
    <x:row r="230">
      <x:c r="A230" s="77" t="str">
        <x:v>Ciberseguridad</x:v>
      </x:c>
      <x:c r="B230" s="73" t="str">
        <x:v>SEC-03</x:v>
      </x:c>
      <x:c r="C230" s="73" t="str">
        <x:v>Identidad y control de accesos</x:v>
      </x:c>
      <x:c r="D230" s="73" t="str">
        <x:v>03 · Consolidación digital</x:v>
      </x:c>
      <x:c r="E230" s="73" t="str">
        <x:v>Auditoría</x:v>
      </x:c>
      <x:c r="F230" s="73" t="str">
        <x:v>SEC3-009</x:v>
      </x:c>
      <x:c r="G230" s="73" t="str">
        <x:v>Registro de eventos de autenticación</x:v>
      </x:c>
      <x:c r="H230" s="73" t="str">
        <x:v>Sistema</x:v>
      </x:c>
      <x:c r="I230" s="85" t="n">
        <x:v>1</x:v>
      </x:c>
      <x:c r="J230" s="73" t="str">
        <x:v>Sí</x:v>
      </x:c>
      <x:c r="K230" s="73" t="str">
        <x:v>No</x:v>
      </x:c>
      <x:c r="L230" s="85" t="n">
        <x:v>1.5</x:v>
      </x:c>
      <x:c r="M230" s="85" t="str">
        <x:v>Parcial</x:v>
      </x:c>
      <x:c r="N230" s="85" t="n">
        <x:v>0.9</x:v>
      </x:c>
      <x:c r="O230" s="85" t="n">
        <x:f>L230*N230</x:f>
        <x:v>1.35</x:v>
      </x:c>
      <x:c r="P230" s="85" t="str">
        <x:v>Alta</x:v>
      </x:c>
      <x:c r="Q230" s="85" t="n">
        <x:v>1</x:v>
      </x:c>
      <x:c r="R230" s="85" t="n">
        <x:v>1.45</x:v>
      </x:c>
      <x:c r="S230" s="85" t="n">
        <x:v>1.8</x:v>
      </x:c>
      <x:c r="T230" s="85" t="n">
        <x:f>IF(J230="Sí",I230*O230*Q230,0)</x:f>
        <x:v>1.35</x:v>
      </x:c>
      <x:c r="U230" s="85" t="n">
        <x:f>IF(J230="Sí",I230*O230*R230,0)</x:f>
        <x:v>1.9575</x:v>
      </x:c>
      <x:c r="V230" s="85" t="n">
        <x:f>IF(J230="Sí",I230*O230*S230,0)</x:f>
        <x:v>2.43</x:v>
      </x:c>
      <x:c r="W230" s="73"/>
      <x:c r="X230" s="73" t="str">
        <x:v>Logs de acceso</x:v>
      </x:c>
      <x:c r="Y230" s="73" t="str">
        <x:v>Ingreso, fallo, bloqueo y cambios</x:v>
      </x:c>
      <x:c r="Z230" s="73"/>
      <x:c r="AA230" s="73" t="str">
        <x:v>Preliminar</x:v>
      </x:c>
      <x:c r="AB230" s="78" t="str">
        <x:v>Estimación técnica ISM · Validar</x:v>
      </x:c>
    </x:row>
    <x:row r="231">
      <x:c r="A231" s="77" t="str">
        <x:v>Ciberseguridad</x:v>
      </x:c>
      <x:c r="B231" s="73" t="str">
        <x:v>SEC-03</x:v>
      </x:c>
      <x:c r="C231" s="73" t="str">
        <x:v>Identidad y control de accesos</x:v>
      </x:c>
      <x:c r="D231" s="73" t="str">
        <x:v>03 · Consolidación digital</x:v>
      </x:c>
      <x:c r="E231" s="73" t="str">
        <x:v>Calidad</x:v>
      </x:c>
      <x:c r="F231" s="73" t="str">
        <x:v>SEC3-010</x:v>
      </x:c>
      <x:c r="G231" s="73" t="str">
        <x:v>Pruebas de acceso por rol</x:v>
      </x:c>
      <x:c r="H231" s="73" t="str">
        <x:v>Caso</x:v>
      </x:c>
      <x:c r="I231" s="85" t="n">
        <x:v>8</x:v>
      </x:c>
      <x:c r="J231" s="73" t="str">
        <x:v>Sí</x:v>
      </x:c>
      <x:c r="K231" s="73" t="str">
        <x:v>Sí</x:v>
      </x:c>
      <x:c r="L231" s="85" t="n">
        <x:v>0.5</x:v>
      </x:c>
      <x:c r="M231" s="85" t="str">
        <x:v>Parcial</x:v>
      </x:c>
      <x:c r="N231" s="85" t="n">
        <x:v>0.9</x:v>
      </x:c>
      <x:c r="O231" s="85" t="n">
        <x:f>L231*N231</x:f>
        <x:v>0.45</x:v>
      </x:c>
      <x:c r="P231" s="85" t="str">
        <x:v>Alta</x:v>
      </x:c>
      <x:c r="Q231" s="85" t="n">
        <x:v>1</x:v>
      </x:c>
      <x:c r="R231" s="85" t="n">
        <x:v>1.45</x:v>
      </x:c>
      <x:c r="S231" s="85" t="n">
        <x:v>1.8</x:v>
      </x:c>
      <x:c r="T231" s="85" t="n">
        <x:f>IF(J231="Sí",I231*O231*Q231,0)</x:f>
        <x:v>3.6</x:v>
      </x:c>
      <x:c r="U231" s="85" t="n">
        <x:f>IF(J231="Sí",I231*O231*R231,0)</x:f>
        <x:v>5.22</x:v>
      </x:c>
      <x:c r="V231" s="85" t="n">
        <x:f>IF(J231="Sí",I231*O231*S231,0)</x:f>
        <x:v>6.48</x:v>
      </x:c>
      <x:c r="W231" s="73"/>
      <x:c r="X231" s="73" t="str">
        <x:v>Casos de acceso</x:v>
      </x:c>
      <x:c r="Y231" s="73" t="str">
        <x:v>Permitidos, denegados y recuperación</x:v>
      </x:c>
      <x:c r="Z231" s="73"/>
      <x:c r="AA231" s="73" t="str">
        <x:v>Preliminar</x:v>
      </x:c>
      <x:c r="AB231" s="78" t="str">
        <x:v>Estimación técnica ISM · Validar</x:v>
      </x:c>
    </x:row>
    <x:row r="232">
      <x:c r="A232" s="77" t="str">
        <x:v>Ciberseguridad</x:v>
      </x:c>
      <x:c r="B232" s="73" t="str">
        <x:v>SEC-03</x:v>
      </x:c>
      <x:c r="C232" s="73" t="str">
        <x:v>Identidad y control de accesos</x:v>
      </x:c>
      <x:c r="D232" s="73" t="str">
        <x:v>03 · Consolidación digital</x:v>
      </x:c>
      <x:c r="E232" s="73" t="str">
        <x:v>Cierre</x:v>
      </x:c>
      <x:c r="F232" s="73" t="str">
        <x:v>SEC3-011</x:v>
      </x:c>
      <x:c r="G232" s="73" t="str">
        <x:v>Documentación y transferencia</x:v>
      </x:c>
      <x:c r="H232" s="73" t="str">
        <x:v>Proyecto</x:v>
      </x:c>
      <x:c r="I232" s="85" t="n">
        <x:v>1</x:v>
      </x:c>
      <x:c r="J232" s="73" t="str">
        <x:v>Sí</x:v>
      </x:c>
      <x:c r="K232" s="73" t="str">
        <x:v>Sí</x:v>
      </x:c>
      <x:c r="L232" s="85" t="n">
        <x:v>2</x:v>
      </x:c>
      <x:c r="M232" s="85" t="str">
        <x:v>Parcial</x:v>
      </x:c>
      <x:c r="N232" s="85" t="n">
        <x:v>0.9</x:v>
      </x:c>
      <x:c r="O232" s="85" t="n">
        <x:f>L232*N232</x:f>
        <x:v>1.8</x:v>
      </x:c>
      <x:c r="P232" s="85" t="str">
        <x:v>Media</x:v>
      </x:c>
      <x:c r="Q232" s="85" t="n">
        <x:v>1</x:v>
      </x:c>
      <x:c r="R232" s="85" t="n">
        <x:v>1.3</x:v>
      </x:c>
      <x:c r="S232" s="85" t="n">
        <x:v>1.55</x:v>
      </x:c>
      <x:c r="T232" s="85" t="n">
        <x:f>IF(J232="Sí",I232*O232*Q232,0)</x:f>
        <x:v>1.8</x:v>
      </x:c>
      <x:c r="U232" s="85" t="n">
        <x:f>IF(J232="Sí",I232*O232*R232,0)</x:f>
        <x:v>2.3400000000000003</x:v>
      </x:c>
      <x:c r="V232" s="85" t="n">
        <x:f>IF(J232="Sí",I232*O232*S232,0)</x:f>
        <x:v>2.79</x:v>
      </x:c>
      <x:c r="W232" s="73"/>
      <x:c r="X232" s="73" t="str">
        <x:v>Guía de administración</x:v>
      </x:c>
      <x:c r="Y232" s="73" t="str">
        <x:v>Roles, accesos y operación</x:v>
      </x:c>
      <x:c r="Z232" s="73"/>
      <x:c r="AA232" s="73" t="str">
        <x:v>Preliminar</x:v>
      </x:c>
      <x:c r="AB232" s="78" t="str">
        <x:v>Estimación técnica ISM · Validar</x:v>
      </x:c>
    </x:row>
    <x:row r="233">
      <x:c r="A233" s="77" t="str">
        <x:v>Ciberseguridad</x:v>
      </x:c>
      <x:c r="B233" s="73" t="str">
        <x:v>SEC-04</x:v>
      </x:c>
      <x:c r="C233" s="73" t="str">
        <x:v>Preparación para respuesta a incidentes</x:v>
      </x:c>
      <x:c r="D233" s="73" t="str">
        <x:v>04 · Evolución digital</x:v>
      </x:c>
      <x:c r="E233" s="73" t="str">
        <x:v>Escenarios</x:v>
      </x:c>
      <x:c r="F233" s="73" t="str">
        <x:v>SEC4-001</x:v>
      </x:c>
      <x:c r="G233" s="73" t="str">
        <x:v>Definición de escenarios prioritarios</x:v>
      </x:c>
      <x:c r="H233" s="73" t="str">
        <x:v>Escenario</x:v>
      </x:c>
      <x:c r="I233" s="85" t="n">
        <x:v>4</x:v>
      </x:c>
      <x:c r="J233" s="73" t="str">
        <x:v>Sí</x:v>
      </x:c>
      <x:c r="K233" s="73" t="str">
        <x:v>Sí</x:v>
      </x:c>
      <x:c r="L233" s="85" t="n">
        <x:v>0.75</x:v>
      </x:c>
      <x:c r="M233" s="85" t="str">
        <x:v>Parcial</x:v>
      </x:c>
      <x:c r="N233" s="85" t="n">
        <x:v>0.9</x:v>
      </x:c>
      <x:c r="O233" s="85" t="n">
        <x:f>L233*N233</x:f>
        <x:v>0.675</x:v>
      </x:c>
      <x:c r="P233" s="85" t="str">
        <x:v>Alta</x:v>
      </x:c>
      <x:c r="Q233" s="85" t="n">
        <x:v>1</x:v>
      </x:c>
      <x:c r="R233" s="85" t="n">
        <x:v>1.45</x:v>
      </x:c>
      <x:c r="S233" s="85" t="n">
        <x:v>1.8</x:v>
      </x:c>
      <x:c r="T233" s="85" t="n">
        <x:f>IF(J233="Sí",I233*O233*Q233,0)</x:f>
        <x:v>2.7</x:v>
      </x:c>
      <x:c r="U233" s="85" t="n">
        <x:f>IF(J233="Sí",I233*O233*R233,0)</x:f>
        <x:v>3.915</x:v>
      </x:c>
      <x:c r="V233" s="85" t="n">
        <x:f>IF(J233="Sí",I233*O233*S233,0)</x:f>
        <x:v>4.86</x:v>
      </x:c>
      <x:c r="W233" s="73"/>
      <x:c r="X233" s="73" t="str">
        <x:v>Catálogo de escenarios</x:v>
      </x:c>
      <x:c r="Y233" s="73" t="str">
        <x:v>Acceso, malware, fuga e indisponibilidad</x:v>
      </x:c>
      <x:c r="Z233" s="73"/>
      <x:c r="AA233" s="73" t="str">
        <x:v>Preliminar</x:v>
      </x:c>
      <x:c r="AB233" s="78" t="str">
        <x:v>Estimación técnica ISM · Validar</x:v>
      </x:c>
    </x:row>
    <x:row r="234">
      <x:c r="A234" s="77" t="str">
        <x:v>Ciberseguridad</x:v>
      </x:c>
      <x:c r="B234" s="73" t="str">
        <x:v>SEC-04</x:v>
      </x:c>
      <x:c r="C234" s="73" t="str">
        <x:v>Preparación para respuesta a incidentes</x:v>
      </x:c>
      <x:c r="D234" s="73" t="str">
        <x:v>04 · Evolución digital</x:v>
      </x:c>
      <x:c r="E234" s="73" t="str">
        <x:v>Clasificación</x:v>
      </x:c>
      <x:c r="F234" s="73" t="str">
        <x:v>SEC4-002</x:v>
      </x:c>
      <x:c r="G234" s="73" t="str">
        <x:v>Definición de severidades y criterios</x:v>
      </x:c>
      <x:c r="H234" s="73" t="str">
        <x:v>Proyecto</x:v>
      </x:c>
      <x:c r="I234" s="85" t="n">
        <x:v>1</x:v>
      </x:c>
      <x:c r="J234" s="73" t="str">
        <x:v>Sí</x:v>
      </x:c>
      <x:c r="K234" s="73" t="str">
        <x:v>Sí</x:v>
      </x:c>
      <x:c r="L234" s="85" t="n">
        <x:v>1.5</x:v>
      </x:c>
      <x:c r="M234" s="85" t="str">
        <x:v>Parcial</x:v>
      </x:c>
      <x:c r="N234" s="85" t="n">
        <x:v>0.9</x:v>
      </x:c>
      <x:c r="O234" s="85" t="n">
        <x:f>L234*N234</x:f>
        <x:v>1.35</x:v>
      </x:c>
      <x:c r="P234" s="85" t="str">
        <x:v>Alta</x:v>
      </x:c>
      <x:c r="Q234" s="85" t="n">
        <x:v>1</x:v>
      </x:c>
      <x:c r="R234" s="85" t="n">
        <x:v>1.45</x:v>
      </x:c>
      <x:c r="S234" s="85" t="n">
        <x:v>1.8</x:v>
      </x:c>
      <x:c r="T234" s="85" t="n">
        <x:f>IF(J234="Sí",I234*O234*Q234,0)</x:f>
        <x:v>1.35</x:v>
      </x:c>
      <x:c r="U234" s="85" t="n">
        <x:f>IF(J234="Sí",I234*O234*R234,0)</x:f>
        <x:v>1.9575</x:v>
      </x:c>
      <x:c r="V234" s="85" t="n">
        <x:f>IF(J234="Sí",I234*O234*S234,0)</x:f>
        <x:v>2.43</x:v>
      </x:c>
      <x:c r="W234" s="73"/>
      <x:c r="X234" s="73" t="str">
        <x:v>Matriz de severidad</x:v>
      </x:c>
      <x:c r="Y234" s="73" t="str">
        <x:v>Impacto, urgencia y escalamiento</x:v>
      </x:c>
      <x:c r="Z234" s="73"/>
      <x:c r="AA234" s="73" t="str">
        <x:v>Preliminar</x:v>
      </x:c>
      <x:c r="AB234" s="78" t="str">
        <x:v>Estimación técnica ISM · Validar</x:v>
      </x:c>
    </x:row>
    <x:row r="235">
      <x:c r="A235" s="77" t="str">
        <x:v>Ciberseguridad</x:v>
      </x:c>
      <x:c r="B235" s="73" t="str">
        <x:v>SEC-04</x:v>
      </x:c>
      <x:c r="C235" s="73" t="str">
        <x:v>Preparación para respuesta a incidentes</x:v>
      </x:c>
      <x:c r="D235" s="73" t="str">
        <x:v>04 · Evolución digital</x:v>
      </x:c>
      <x:c r="E235" s="73" t="str">
        <x:v>Organización</x:v>
      </x:c>
      <x:c r="F235" s="73" t="str">
        <x:v>SEC4-003</x:v>
      </x:c>
      <x:c r="G235" s="73" t="str">
        <x:v>Definición de roles y contactos</x:v>
      </x:c>
      <x:c r="H235" s="73" t="str">
        <x:v>Rol</x:v>
      </x:c>
      <x:c r="I235" s="85" t="n">
        <x:v>5</x:v>
      </x:c>
      <x:c r="J235" s="73" t="str">
        <x:v>Sí</x:v>
      </x:c>
      <x:c r="K235" s="73" t="str">
        <x:v>Sí</x:v>
      </x:c>
      <x:c r="L235" s="85" t="n">
        <x:v>0.5</x:v>
      </x:c>
      <x:c r="M235" s="85" t="str">
        <x:v>Parcial</x:v>
      </x:c>
      <x:c r="N235" s="85" t="n">
        <x:v>0.9</x:v>
      </x:c>
      <x:c r="O235" s="85" t="n">
        <x:f>L235*N235</x:f>
        <x:v>0.45</x:v>
      </x:c>
      <x:c r="P235" s="85" t="str">
        <x:v>Media</x:v>
      </x:c>
      <x:c r="Q235" s="85" t="n">
        <x:v>1</x:v>
      </x:c>
      <x:c r="R235" s="85" t="n">
        <x:v>1.3</x:v>
      </x:c>
      <x:c r="S235" s="85" t="n">
        <x:v>1.55</x:v>
      </x:c>
      <x:c r="T235" s="85" t="n">
        <x:f>IF(J235="Sí",I235*O235*Q235,0)</x:f>
        <x:v>2.25</x:v>
      </x:c>
      <x:c r="U235" s="85" t="n">
        <x:f>IF(J235="Sí",I235*O235*R235,0)</x:f>
        <x:v>2.9250000000000003</x:v>
      </x:c>
      <x:c r="V235" s="85" t="n">
        <x:f>IF(J235="Sí",I235*O235*S235,0)</x:f>
        <x:v>3.4875000000000003</x:v>
      </x:c>
      <x:c r="W235" s="73"/>
      <x:c r="X235" s="73" t="str">
        <x:v>Matriz RACI</x:v>
      </x:c>
      <x:c r="Y235" s="73" t="str">
        <x:v>Responsables, suplentes y contactos</x:v>
      </x:c>
      <x:c r="Z235" s="73"/>
      <x:c r="AA235" s="73" t="str">
        <x:v>Preliminar</x:v>
      </x:c>
      <x:c r="AB235" s="78" t="str">
        <x:v>Estimación técnica ISM · Validar</x:v>
      </x:c>
    </x:row>
    <x:row r="236">
      <x:c r="A236" s="77" t="str">
        <x:v>Ciberseguridad</x:v>
      </x:c>
      <x:c r="B236" s="73" t="str">
        <x:v>SEC-04</x:v>
      </x:c>
      <x:c r="C236" s="73" t="str">
        <x:v>Preparación para respuesta a incidentes</x:v>
      </x:c>
      <x:c r="D236" s="73" t="str">
        <x:v>04 · Evolución digital</x:v>
      </x:c>
      <x:c r="E236" s="73" t="str">
        <x:v>Procedimientos</x:v>
      </x:c>
      <x:c r="F236" s="73" t="str">
        <x:v>SEC4-004</x:v>
      </x:c>
      <x:c r="G236" s="73" t="str">
        <x:v>Playbook de detección y análisis</x:v>
      </x:c>
      <x:c r="H236" s="73" t="str">
        <x:v>Escenario</x:v>
      </x:c>
      <x:c r="I236" s="85" t="n">
        <x:v>2</x:v>
      </x:c>
      <x:c r="J236" s="73" t="str">
        <x:v>Sí</x:v>
      </x:c>
      <x:c r="K236" s="73" t="str">
        <x:v>No</x:v>
      </x:c>
      <x:c r="L236" s="85" t="n">
        <x:v>1.5</x:v>
      </x:c>
      <x:c r="M236" s="85" t="str">
        <x:v>Parcial</x:v>
      </x:c>
      <x:c r="N236" s="85" t="n">
        <x:v>0.9</x:v>
      </x:c>
      <x:c r="O236" s="85" t="n">
        <x:f>L236*N236</x:f>
        <x:v>1.35</x:v>
      </x:c>
      <x:c r="P236" s="85" t="str">
        <x:v>Alta</x:v>
      </x:c>
      <x:c r="Q236" s="85" t="n">
        <x:v>1</x:v>
      </x:c>
      <x:c r="R236" s="85" t="n">
        <x:v>1.45</x:v>
      </x:c>
      <x:c r="S236" s="85" t="n">
        <x:v>1.8</x:v>
      </x:c>
      <x:c r="T236" s="85" t="n">
        <x:f>IF(J236="Sí",I236*O236*Q236,0)</x:f>
        <x:v>2.7</x:v>
      </x:c>
      <x:c r="U236" s="85" t="n">
        <x:f>IF(J236="Sí",I236*O236*R236,0)</x:f>
        <x:v>3.915</x:v>
      </x:c>
      <x:c r="V236" s="85" t="n">
        <x:f>IF(J236="Sí",I236*O236*S236,0)</x:f>
        <x:v>4.86</x:v>
      </x:c>
      <x:c r="W236" s="73"/>
      <x:c r="X236" s="73" t="str">
        <x:v>Playbooks de análisis</x:v>
      </x:c>
      <x:c r="Y236" s="73" t="str">
        <x:v>Evidencia, validación y clasificación</x:v>
      </x:c>
      <x:c r="Z236" s="73"/>
      <x:c r="AA236" s="73" t="str">
        <x:v>Preliminar</x:v>
      </x:c>
      <x:c r="AB236" s="78" t="str">
        <x:v>Estimación técnica ISM · Validar</x:v>
      </x:c>
    </x:row>
    <x:row r="237">
      <x:c r="A237" s="77" t="str">
        <x:v>Ciberseguridad</x:v>
      </x:c>
      <x:c r="B237" s="73" t="str">
        <x:v>SEC-04</x:v>
      </x:c>
      <x:c r="C237" s="73" t="str">
        <x:v>Preparación para respuesta a incidentes</x:v>
      </x:c>
      <x:c r="D237" s="73" t="str">
        <x:v>04 · Evolución digital</x:v>
      </x:c>
      <x:c r="E237" s="73" t="str">
        <x:v>Procedimientos</x:v>
      </x:c>
      <x:c r="F237" s="73" t="str">
        <x:v>SEC4-005</x:v>
      </x:c>
      <x:c r="G237" s="73" t="str">
        <x:v>Playbook de contención y erradicación</x:v>
      </x:c>
      <x:c r="H237" s="73" t="str">
        <x:v>Escenario</x:v>
      </x:c>
      <x:c r="I237" s="85" t="n">
        <x:v>2</x:v>
      </x:c>
      <x:c r="J237" s="73" t="str">
        <x:v>Sí</x:v>
      </x:c>
      <x:c r="K237" s="73" t="str">
        <x:v>No</x:v>
      </x:c>
      <x:c r="L237" s="85" t="n">
        <x:v>2</x:v>
      </x:c>
      <x:c r="M237" s="85" t="str">
        <x:v>Parcial</x:v>
      </x:c>
      <x:c r="N237" s="85" t="n">
        <x:v>0.9</x:v>
      </x:c>
      <x:c r="O237" s="85" t="n">
        <x:f>L237*N237</x:f>
        <x:v>1.8</x:v>
      </x:c>
      <x:c r="P237" s="85" t="str">
        <x:v>Alta</x:v>
      </x:c>
      <x:c r="Q237" s="85" t="n">
        <x:v>1</x:v>
      </x:c>
      <x:c r="R237" s="85" t="n">
        <x:v>1.45</x:v>
      </x:c>
      <x:c r="S237" s="85" t="n">
        <x:v>1.8</x:v>
      </x:c>
      <x:c r="T237" s="85" t="n">
        <x:f>IF(J237="Sí",I237*O237*Q237,0)</x:f>
        <x:v>3.6</x:v>
      </x:c>
      <x:c r="U237" s="85" t="n">
        <x:f>IF(J237="Sí",I237*O237*R237,0)</x:f>
        <x:v>5.22</x:v>
      </x:c>
      <x:c r="V237" s="85" t="n">
        <x:f>IF(J237="Sí",I237*O237*S237,0)</x:f>
        <x:v>6.48</x:v>
      </x:c>
      <x:c r="W237" s="73"/>
      <x:c r="X237" s="73" t="str">
        <x:v>Playbooks de contención</x:v>
      </x:c>
      <x:c r="Y237" s="73" t="str">
        <x:v>Aislamiento, bloqueo y limpieza</x:v>
      </x:c>
      <x:c r="Z237" s="73"/>
      <x:c r="AA237" s="73" t="str">
        <x:v>Preliminar</x:v>
      </x:c>
      <x:c r="AB237" s="78" t="str">
        <x:v>Estimación técnica ISM · Validar</x:v>
      </x:c>
    </x:row>
    <x:row r="238">
      <x:c r="A238" s="77" t="str">
        <x:v>Ciberseguridad</x:v>
      </x:c>
      <x:c r="B238" s="73" t="str">
        <x:v>SEC-04</x:v>
      </x:c>
      <x:c r="C238" s="73" t="str">
        <x:v>Preparación para respuesta a incidentes</x:v>
      </x:c>
      <x:c r="D238" s="73" t="str">
        <x:v>04 · Evolución digital</x:v>
      </x:c>
      <x:c r="E238" s="73" t="str">
        <x:v>Procedimientos</x:v>
      </x:c>
      <x:c r="F238" s="73" t="str">
        <x:v>SEC4-006</x:v>
      </x:c>
      <x:c r="G238" s="73" t="str">
        <x:v>Playbook de recuperación</x:v>
      </x:c>
      <x:c r="H238" s="73" t="str">
        <x:v>Escenario</x:v>
      </x:c>
      <x:c r="I238" s="85" t="n">
        <x:v>2</x:v>
      </x:c>
      <x:c r="J238" s="73" t="str">
        <x:v>Sí</x:v>
      </x:c>
      <x:c r="K238" s="73" t="str">
        <x:v>No</x:v>
      </x:c>
      <x:c r="L238" s="85" t="n">
        <x:v>1.5</x:v>
      </x:c>
      <x:c r="M238" s="85" t="str">
        <x:v>Parcial</x:v>
      </x:c>
      <x:c r="N238" s="85" t="n">
        <x:v>0.9</x:v>
      </x:c>
      <x:c r="O238" s="85" t="n">
        <x:f>L238*N238</x:f>
        <x:v>1.35</x:v>
      </x:c>
      <x:c r="P238" s="85" t="str">
        <x:v>Alta</x:v>
      </x:c>
      <x:c r="Q238" s="85" t="n">
        <x:v>1</x:v>
      </x:c>
      <x:c r="R238" s="85" t="n">
        <x:v>1.45</x:v>
      </x:c>
      <x:c r="S238" s="85" t="n">
        <x:v>1.8</x:v>
      </x:c>
      <x:c r="T238" s="85" t="n">
        <x:f>IF(J238="Sí",I238*O238*Q238,0)</x:f>
        <x:v>2.7</x:v>
      </x:c>
      <x:c r="U238" s="85" t="n">
        <x:f>IF(J238="Sí",I238*O238*R238,0)</x:f>
        <x:v>3.915</x:v>
      </x:c>
      <x:c r="V238" s="85" t="n">
        <x:f>IF(J238="Sí",I238*O238*S238,0)</x:f>
        <x:v>4.86</x:v>
      </x:c>
      <x:c r="W238" s="73"/>
      <x:c r="X238" s="73" t="str">
        <x:v>Playbooks de recuperación</x:v>
      </x:c>
      <x:c r="Y238" s="73" t="str">
        <x:v>Restauración, validación y retorno</x:v>
      </x:c>
      <x:c r="Z238" s="73"/>
      <x:c r="AA238" s="73" t="str">
        <x:v>Preliminar</x:v>
      </x:c>
      <x:c r="AB238" s="78" t="str">
        <x:v>Estimación técnica ISM · Validar</x:v>
      </x:c>
    </x:row>
    <x:row r="239">
      <x:c r="A239" s="77" t="str">
        <x:v>Ciberseguridad</x:v>
      </x:c>
      <x:c r="B239" s="73" t="str">
        <x:v>SEC-04</x:v>
      </x:c>
      <x:c r="C239" s="73" t="str">
        <x:v>Preparación para respuesta a incidentes</x:v>
      </x:c>
      <x:c r="D239" s="73" t="str">
        <x:v>04 · Evolución digital</x:v>
      </x:c>
      <x:c r="E239" s="73" t="str">
        <x:v>Comunicación</x:v>
      </x:c>
      <x:c r="F239" s="73" t="str">
        <x:v>SEC4-007</x:v>
      </x:c>
      <x:c r="G239" s="73" t="str">
        <x:v>Plan de comunicación de incidentes</x:v>
      </x:c>
      <x:c r="H239" s="73" t="str">
        <x:v>Proyecto</x:v>
      </x:c>
      <x:c r="I239" s="85" t="n">
        <x:v>1</x:v>
      </x:c>
      <x:c r="J239" s="73" t="str">
        <x:v>Sí</x:v>
      </x:c>
      <x:c r="K239" s="73" t="str">
        <x:v>Sí</x:v>
      </x:c>
      <x:c r="L239" s="85" t="n">
        <x:v>1.5</x:v>
      </x:c>
      <x:c r="M239" s="85" t="str">
        <x:v>Parcial</x:v>
      </x:c>
      <x:c r="N239" s="85" t="n">
        <x:v>0.9</x:v>
      </x:c>
      <x:c r="O239" s="85" t="n">
        <x:f>L239*N239</x:f>
        <x:v>1.35</x:v>
      </x:c>
      <x:c r="P239" s="85" t="str">
        <x:v>Media</x:v>
      </x:c>
      <x:c r="Q239" s="85" t="n">
        <x:v>1</x:v>
      </x:c>
      <x:c r="R239" s="85" t="n">
        <x:v>1.3</x:v>
      </x:c>
      <x:c r="S239" s="85" t="n">
        <x:v>1.55</x:v>
      </x:c>
      <x:c r="T239" s="85" t="n">
        <x:f>IF(J239="Sí",I239*O239*Q239,0)</x:f>
        <x:v>1.35</x:v>
      </x:c>
      <x:c r="U239" s="85" t="n">
        <x:f>IF(J239="Sí",I239*O239*R239,0)</x:f>
        <x:v>1.7550000000000001</x:v>
      </x:c>
      <x:c r="V239" s="85" t="n">
        <x:f>IF(J239="Sí",I239*O239*S239,0)</x:f>
        <x:v>2.0925000000000002</x:v>
      </x:c>
      <x:c r="W239" s="73"/>
      <x:c r="X239" s="73" t="str">
        <x:v>Plan de comunicación</x:v>
      </x:c>
      <x:c r="Y239" s="73" t="str">
        <x:v>Interna, cliente y terceros</x:v>
      </x:c>
      <x:c r="Z239" s="73"/>
      <x:c r="AA239" s="73" t="str">
        <x:v>Preliminar</x:v>
      </x:c>
      <x:c r="AB239" s="78" t="str">
        <x:v>Estimación técnica ISM · Validar</x:v>
      </x:c>
    </x:row>
    <x:row r="240">
      <x:c r="A240" s="77" t="str">
        <x:v>Ciberseguridad</x:v>
      </x:c>
      <x:c r="B240" s="73" t="str">
        <x:v>SEC-04</x:v>
      </x:c>
      <x:c r="C240" s="73" t="str">
        <x:v>Preparación para respuesta a incidentes</x:v>
      </x:c>
      <x:c r="D240" s="73" t="str">
        <x:v>04 · Evolución digital</x:v>
      </x:c>
      <x:c r="E240" s="73" t="str">
        <x:v>Evidencia</x:v>
      </x:c>
      <x:c r="F240" s="73" t="str">
        <x:v>SEC4-008</x:v>
      </x:c>
      <x:c r="G240" s="73" t="str">
        <x:v>Preparación de fuentes de evidencia</x:v>
      </x:c>
      <x:c r="H240" s="73" t="str">
        <x:v>Fuente</x:v>
      </x:c>
      <x:c r="I240" s="85" t="n">
        <x:v>4</x:v>
      </x:c>
      <x:c r="J240" s="73" t="str">
        <x:v>Sí</x:v>
      </x:c>
      <x:c r="K240" s="73" t="str">
        <x:v>No</x:v>
      </x:c>
      <x:c r="L240" s="85" t="n">
        <x:v>0.75</x:v>
      </x:c>
      <x:c r="M240" s="85" t="str">
        <x:v>Parcial</x:v>
      </x:c>
      <x:c r="N240" s="85" t="n">
        <x:v>0.9</x:v>
      </x:c>
      <x:c r="O240" s="85" t="n">
        <x:f>L240*N240</x:f>
        <x:v>0.675</x:v>
      </x:c>
      <x:c r="P240" s="85" t="str">
        <x:v>Alta</x:v>
      </x:c>
      <x:c r="Q240" s="85" t="n">
        <x:v>1</x:v>
      </x:c>
      <x:c r="R240" s="85" t="n">
        <x:v>1.45</x:v>
      </x:c>
      <x:c r="S240" s="85" t="n">
        <x:v>1.8</x:v>
      </x:c>
      <x:c r="T240" s="85" t="n">
        <x:f>IF(J240="Sí",I240*O240*Q240,0)</x:f>
        <x:v>2.7</x:v>
      </x:c>
      <x:c r="U240" s="85" t="n">
        <x:f>IF(J240="Sí",I240*O240*R240,0)</x:f>
        <x:v>3.915</x:v>
      </x:c>
      <x:c r="V240" s="85" t="n">
        <x:f>IF(J240="Sí",I240*O240*S240,0)</x:f>
        <x:v>4.86</x:v>
      </x:c>
      <x:c r="W240" s="73"/>
      <x:c r="X240" s="73" t="str">
        <x:v>Fuentes preparadas</x:v>
      </x:c>
      <x:c r="Y240" s="73" t="str">
        <x:v>Logs, respaldos y auditoría</x:v>
      </x:c>
      <x:c r="Z240" s="73"/>
      <x:c r="AA240" s="73" t="str">
        <x:v>Preliminar</x:v>
      </x:c>
      <x:c r="AB240" s="78" t="str">
        <x:v>Estimación técnica ISM · Validar</x:v>
      </x:c>
    </x:row>
    <x:row r="241">
      <x:c r="A241" s="77" t="str">
        <x:v>Ciberseguridad</x:v>
      </x:c>
      <x:c r="B241" s="73" t="str">
        <x:v>SEC-04</x:v>
      </x:c>
      <x:c r="C241" s="73" t="str">
        <x:v>Preparación para respuesta a incidentes</x:v>
      </x:c>
      <x:c r="D241" s="73" t="str">
        <x:v>04 · Evolución digital</x:v>
      </x:c>
      <x:c r="E241" s="73" t="str">
        <x:v>Simulación</x:v>
      </x:c>
      <x:c r="F241" s="73" t="str">
        <x:v>SEC4-009</x:v>
      </x:c>
      <x:c r="G241" s="73" t="str">
        <x:v>Diseño de ejercicio de mesa</x:v>
      </x:c>
      <x:c r="H241" s="73" t="str">
        <x:v>Ejercicio</x:v>
      </x:c>
      <x:c r="I241" s="85" t="n">
        <x:v>1</x:v>
      </x:c>
      <x:c r="J241" s="73" t="str">
        <x:v>Sí</x:v>
      </x:c>
      <x:c r="K241" s="73" t="str">
        <x:v>Sí</x:v>
      </x:c>
      <x:c r="L241" s="85" t="n">
        <x:v>2</x:v>
      </x:c>
      <x:c r="M241" s="85" t="str">
        <x:v>Parcial</x:v>
      </x:c>
      <x:c r="N241" s="85" t="n">
        <x:v>0.9</x:v>
      </x:c>
      <x:c r="O241" s="85" t="n">
        <x:f>L241*N241</x:f>
        <x:v>1.8</x:v>
      </x:c>
      <x:c r="P241" s="85" t="str">
        <x:v>Alta</x:v>
      </x:c>
      <x:c r="Q241" s="85" t="n">
        <x:v>1</x:v>
      </x:c>
      <x:c r="R241" s="85" t="n">
        <x:v>1.45</x:v>
      </x:c>
      <x:c r="S241" s="85" t="n">
        <x:v>1.8</x:v>
      </x:c>
      <x:c r="T241" s="85" t="n">
        <x:f>IF(J241="Sí",I241*O241*Q241,0)</x:f>
        <x:v>1.8</x:v>
      </x:c>
      <x:c r="U241" s="85" t="n">
        <x:f>IF(J241="Sí",I241*O241*R241,0)</x:f>
        <x:v>2.61</x:v>
      </x:c>
      <x:c r="V241" s="85" t="n">
        <x:f>IF(J241="Sí",I241*O241*S241,0)</x:f>
        <x:v>3.24</x:v>
      </x:c>
      <x:c r="W241" s="73"/>
      <x:c r="X241" s="73" t="str">
        <x:v>Guion de simulación</x:v>
      </x:c>
      <x:c r="Y241" s="73" t="str">
        <x:v>Escenario, decisiones y criterios</x:v>
      </x:c>
      <x:c r="Z241" s="73"/>
      <x:c r="AA241" s="73" t="str">
        <x:v>Preliminar</x:v>
      </x:c>
      <x:c r="AB241" s="78" t="str">
        <x:v>Estimación técnica ISM · Validar</x:v>
      </x:c>
    </x:row>
    <x:row r="242">
      <x:c r="A242" s="77" t="str">
        <x:v>Ciberseguridad</x:v>
      </x:c>
      <x:c r="B242" s="73" t="str">
        <x:v>SEC-04</x:v>
      </x:c>
      <x:c r="C242" s="73" t="str">
        <x:v>Preparación para respuesta a incidentes</x:v>
      </x:c>
      <x:c r="D242" s="73" t="str">
        <x:v>04 · Evolución digital</x:v>
      </x:c>
      <x:c r="E242" s="73" t="str">
        <x:v>Simulación</x:v>
      </x:c>
      <x:c r="F242" s="73" t="str">
        <x:v>SEC4-010</x:v>
      </x:c>
      <x:c r="G242" s="73" t="str">
        <x:v>Ejecución de ejercicio de mesa</x:v>
      </x:c>
      <x:c r="H242" s="73" t="str">
        <x:v>Ejercicio</x:v>
      </x:c>
      <x:c r="I242" s="85" t="n">
        <x:v>1</x:v>
      </x:c>
      <x:c r="J242" s="73" t="str">
        <x:v>Sí</x:v>
      </x:c>
      <x:c r="K242" s="73" t="str">
        <x:v>Sí</x:v>
      </x:c>
      <x:c r="L242" s="85" t="n">
        <x:v>3</x:v>
      </x:c>
      <x:c r="M242" s="85" t="str">
        <x:v>Parcial</x:v>
      </x:c>
      <x:c r="N242" s="85" t="n">
        <x:v>0.9</x:v>
      </x:c>
      <x:c r="O242" s="85" t="n">
        <x:f>L242*N242</x:f>
        <x:v>2.7</x:v>
      </x:c>
      <x:c r="P242" s="85" t="str">
        <x:v>Alta</x:v>
      </x:c>
      <x:c r="Q242" s="85" t="n">
        <x:v>1</x:v>
      </x:c>
      <x:c r="R242" s="85" t="n">
        <x:v>1.45</x:v>
      </x:c>
      <x:c r="S242" s="85" t="n">
        <x:v>1.8</x:v>
      </x:c>
      <x:c r="T242" s="85" t="n">
        <x:f>IF(J242="Sí",I242*O242*Q242,0)</x:f>
        <x:v>2.7</x:v>
      </x:c>
      <x:c r="U242" s="85" t="n">
        <x:f>IF(J242="Sí",I242*O242*R242,0)</x:f>
        <x:v>3.915</x:v>
      </x:c>
      <x:c r="V242" s="85" t="n">
        <x:f>IF(J242="Sí",I242*O242*S242,0)</x:f>
        <x:v>4.86</x:v>
      </x:c>
      <x:c r="W242" s="73"/>
      <x:c r="X242" s="73" t="str">
        <x:v>Simulación ejecutada</x:v>
      </x:c>
      <x:c r="Y242" s="73" t="str">
        <x:v>Tiempos, coordinación y evidencia</x:v>
      </x:c>
      <x:c r="Z242" s="73"/>
      <x:c r="AA242" s="73" t="str">
        <x:v>Preliminar</x:v>
      </x:c>
      <x:c r="AB242" s="78" t="str">
        <x:v>Estimación técnica ISM · Validar</x:v>
      </x:c>
    </x:row>
    <x:row r="243">
      <x:c r="A243" s="77" t="str">
        <x:v>Ciberseguridad</x:v>
      </x:c>
      <x:c r="B243" s="73" t="str">
        <x:v>SEC-04</x:v>
      </x:c>
      <x:c r="C243" s="73" t="str">
        <x:v>Preparación para respuesta a incidentes</x:v>
      </x:c>
      <x:c r="D243" s="73" t="str">
        <x:v>04 · Evolución digital</x:v>
      </x:c>
      <x:c r="E243" s="73" t="str">
        <x:v>Mejora</x:v>
      </x:c>
      <x:c r="F243" s="73" t="str">
        <x:v>SEC4-011</x:v>
      </x:c>
      <x:c r="G243" s="73" t="str">
        <x:v>Informe de brechas y plan de mejora</x:v>
      </x:c>
      <x:c r="H243" s="73" t="str">
        <x:v>Proyecto</x:v>
      </x:c>
      <x:c r="I243" s="85" t="n">
        <x:v>1</x:v>
      </x:c>
      <x:c r="J243" s="73" t="str">
        <x:v>Sí</x:v>
      </x:c>
      <x:c r="K243" s="73" t="str">
        <x:v>Sí</x:v>
      </x:c>
      <x:c r="L243" s="85" t="n">
        <x:v>2</x:v>
      </x:c>
      <x:c r="M243" s="85" t="str">
        <x:v>Parcial</x:v>
      </x:c>
      <x:c r="N243" s="85" t="n">
        <x:v>0.9</x:v>
      </x:c>
      <x:c r="O243" s="85" t="n">
        <x:f>L243*N243</x:f>
        <x:v>1.8</x:v>
      </x:c>
      <x:c r="P243" s="85" t="str">
        <x:v>Media</x:v>
      </x:c>
      <x:c r="Q243" s="85" t="n">
        <x:v>1</x:v>
      </x:c>
      <x:c r="R243" s="85" t="n">
        <x:v>1.3</x:v>
      </x:c>
      <x:c r="S243" s="85" t="n">
        <x:v>1.55</x:v>
      </x:c>
      <x:c r="T243" s="85" t="n">
        <x:f>IF(J243="Sí",I243*O243*Q243,0)</x:f>
        <x:v>1.8</x:v>
      </x:c>
      <x:c r="U243" s="85" t="n">
        <x:f>IF(J243="Sí",I243*O243*R243,0)</x:f>
        <x:v>2.3400000000000003</x:v>
      </x:c>
      <x:c r="V243" s="85" t="n">
        <x:f>IF(J243="Sí",I243*O243*S243,0)</x:f>
        <x:v>2.79</x:v>
      </x:c>
      <x:c r="W243" s="73"/>
      <x:c r="X243" s="73" t="str">
        <x:v>Plan de mejora</x:v>
      </x:c>
      <x:c r="Y243" s="73" t="str">
        <x:v>Hallazgos, acciones y responsables</x:v>
      </x:c>
      <x:c r="Z243" s="73"/>
      <x:c r="AA243" s="73" t="str">
        <x:v>Preliminar</x:v>
      </x:c>
      <x:c r="AB243" s="78" t="str">
        <x:v>Estimación técnica ISM · Validar</x:v>
      </x:c>
    </x:row>
    <x:row r="244">
      <x:c r="A244" s="77" t="str">
        <x:v>Soporte y Gestión</x:v>
      </x:c>
      <x:c r="B244" s="73" t="str">
        <x:v>SUP-01</x:v>
      </x:c>
      <x:c r="C244" s="73" t="str">
        <x:v>Implementación de mesa de ayuda</x:v>
      </x:c>
      <x:c r="D244" s="73" t="str">
        <x:v>02 · Optimización digital</x:v>
      </x:c>
      <x:c r="E244" s="73" t="str">
        <x:v>Diseño</x:v>
      </x:c>
      <x:c r="F244" s="73" t="str">
        <x:v>SUP1-001</x:v>
      </x:c>
      <x:c r="G244" s="73" t="str">
        <x:v>Definición del catálogo de atención</x:v>
      </x:c>
      <x:c r="H244" s="73" t="str">
        <x:v>Servicio</x:v>
      </x:c>
      <x:c r="I244" s="85" t="n">
        <x:v>6</x:v>
      </x:c>
      <x:c r="J244" s="73" t="str">
        <x:v>Sí</x:v>
      </x:c>
      <x:c r="K244" s="73" t="str">
        <x:v>Sí</x:v>
      </x:c>
      <x:c r="L244" s="85" t="n">
        <x:v>0.5</x:v>
      </x:c>
      <x:c r="M244" s="85" t="str">
        <x:v>Parcial</x:v>
      </x:c>
      <x:c r="N244" s="85" t="n">
        <x:v>0.88</x:v>
      </x:c>
      <x:c r="O244" s="85" t="n">
        <x:f>L244*N244</x:f>
        <x:v>0.44</x:v>
      </x:c>
      <x:c r="P244" s="85" t="str">
        <x:v>Media</x:v>
      </x:c>
      <x:c r="Q244" s="85" t="n">
        <x:v>1</x:v>
      </x:c>
      <x:c r="R244" s="85" t="n">
        <x:v>1.3</x:v>
      </x:c>
      <x:c r="S244" s="85" t="n">
        <x:v>1.55</x:v>
      </x:c>
      <x:c r="T244" s="85" t="n">
        <x:f>IF(J244="Sí",I244*O244*Q244,0)</x:f>
        <x:v>2.64</x:v>
      </x:c>
      <x:c r="U244" s="85" t="n">
        <x:f>IF(J244="Sí",I244*O244*R244,0)</x:f>
        <x:v>3.4320000000000004</x:v>
      </x:c>
      <x:c r="V244" s="85" t="n">
        <x:f>IF(J244="Sí",I244*O244*S244,0)</x:f>
        <x:v>4.0920000000000005</x:v>
      </x:c>
      <x:c r="W244" s="73"/>
      <x:c r="X244" s="73" t="str">
        <x:v>Catálogo de atención</x:v>
      </x:c>
      <x:c r="Y244" s="73" t="str">
        <x:v>Servicios, solicitudes y exclusiones</x:v>
      </x:c>
      <x:c r="Z244" s="73"/>
      <x:c r="AA244" s="73" t="str">
        <x:v>Preliminar</x:v>
      </x:c>
      <x:c r="AB244" s="78" t="str">
        <x:v>Estimación técnica ISM · Validar</x:v>
      </x:c>
    </x:row>
    <x:row r="245">
      <x:c r="A245" s="77" t="str">
        <x:v>Soporte y Gestión</x:v>
      </x:c>
      <x:c r="B245" s="73" t="str">
        <x:v>SUP-01</x:v>
      </x:c>
      <x:c r="C245" s="73" t="str">
        <x:v>Implementación de mesa de ayuda</x:v>
      </x:c>
      <x:c r="D245" s="73" t="str">
        <x:v>02 · Optimización digital</x:v>
      </x:c>
      <x:c r="E245" s="73" t="str">
        <x:v>Diseño</x:v>
      </x:c>
      <x:c r="F245" s="73" t="str">
        <x:v>SUP1-002</x:v>
      </x:c>
      <x:c r="G245" s="73" t="str">
        <x:v>Definición de canales de ingreso</x:v>
      </x:c>
      <x:c r="H245" s="73" t="str">
        <x:v>Canal</x:v>
      </x:c>
      <x:c r="I245" s="85" t="n">
        <x:v>2</x:v>
      </x:c>
      <x:c r="J245" s="73" t="str">
        <x:v>Sí</x:v>
      </x:c>
      <x:c r="K245" s="73" t="str">
        <x:v>Sí</x:v>
      </x:c>
      <x:c r="L245" s="85" t="n">
        <x:v>0.75</x:v>
      </x:c>
      <x:c r="M245" s="85" t="str">
        <x:v>Parcial</x:v>
      </x:c>
      <x:c r="N245" s="85" t="n">
        <x:v>0.88</x:v>
      </x:c>
      <x:c r="O245" s="85" t="n">
        <x:f>L245*N245</x:f>
        <x:v>0.66</x:v>
      </x:c>
      <x:c r="P245" s="85" t="str">
        <x:v>Media</x:v>
      </x:c>
      <x:c r="Q245" s="85" t="n">
        <x:v>1</x:v>
      </x:c>
      <x:c r="R245" s="85" t="n">
        <x:v>1.3</x:v>
      </x:c>
      <x:c r="S245" s="85" t="n">
        <x:v>1.55</x:v>
      </x:c>
      <x:c r="T245" s="85" t="n">
        <x:f>IF(J245="Sí",I245*O245*Q245,0)</x:f>
        <x:v>1.32</x:v>
      </x:c>
      <x:c r="U245" s="85" t="n">
        <x:f>IF(J245="Sí",I245*O245*R245,0)</x:f>
        <x:v>1.7160000000000002</x:v>
      </x:c>
      <x:c r="V245" s="85" t="n">
        <x:f>IF(J245="Sí",I245*O245*S245,0)</x:f>
        <x:v>2.0460000000000003</x:v>
      </x:c>
      <x:c r="W245" s="73"/>
      <x:c r="X245" s="73" t="str">
        <x:v>Canales definidos</x:v>
      </x:c>
      <x:c r="Y245" s="73" t="str">
        <x:v>Formulario, correo o portal</x:v>
      </x:c>
      <x:c r="Z245" s="73"/>
      <x:c r="AA245" s="73" t="str">
        <x:v>Preliminar</x:v>
      </x:c>
      <x:c r="AB245" s="78" t="str">
        <x:v>Estimación técnica ISM · Validar</x:v>
      </x:c>
    </x:row>
    <x:row r="246">
      <x:c r="A246" s="77" t="str">
        <x:v>Soporte y Gestión</x:v>
      </x:c>
      <x:c r="B246" s="73" t="str">
        <x:v>SUP-01</x:v>
      </x:c>
      <x:c r="C246" s="73" t="str">
        <x:v>Implementación de mesa de ayuda</x:v>
      </x:c>
      <x:c r="D246" s="73" t="str">
        <x:v>02 · Optimización digital</x:v>
      </x:c>
      <x:c r="E246" s="73" t="str">
        <x:v>Proceso</x:v>
      </x:c>
      <x:c r="F246" s="73" t="str">
        <x:v>SUP1-003</x:v>
      </x:c>
      <x:c r="G246" s="73" t="str">
        <x:v>Parametrización del flujo básico de tickets</x:v>
      </x:c>
      <x:c r="H246" s="73" t="str">
        <x:v>Proyecto</x:v>
      </x:c>
      <x:c r="I246" s="85" t="n">
        <x:v>1</x:v>
      </x:c>
      <x:c r="J246" s="73" t="str">
        <x:v>Sí</x:v>
      </x:c>
      <x:c r="K246" s="73" t="str">
        <x:v>Sí</x:v>
      </x:c>
      <x:c r="L246" s="85" t="n">
        <x:v>2.5</x:v>
      </x:c>
      <x:c r="M246" s="85" t="str">
        <x:v>Parcial</x:v>
      </x:c>
      <x:c r="N246" s="85" t="n">
        <x:v>0.88</x:v>
      </x:c>
      <x:c r="O246" s="85" t="n">
        <x:f>L246*N246</x:f>
        <x:v>2.2</x:v>
      </x:c>
      <x:c r="P246" s="85" t="str">
        <x:v>Alta</x:v>
      </x:c>
      <x:c r="Q246" s="85" t="n">
        <x:v>1</x:v>
      </x:c>
      <x:c r="R246" s="85" t="n">
        <x:v>1.45</x:v>
      </x:c>
      <x:c r="S246" s="85" t="n">
        <x:v>1.8</x:v>
      </x:c>
      <x:c r="T246" s="85" t="n">
        <x:f>IF(J246="Sí",I246*O246*Q246,0)</x:f>
        <x:v>2.2</x:v>
      </x:c>
      <x:c r="U246" s="85" t="n">
        <x:f>IF(J246="Sí",I246*O246*R246,0)</x:f>
        <x:v>3.19</x:v>
      </x:c>
      <x:c r="V246" s="85" t="n">
        <x:f>IF(J246="Sí",I246*O246*S246,0)</x:f>
        <x:v>3.9600000000000004</x:v>
      </x:c>
      <x:c r="W246" s="73"/>
      <x:c r="X246" s="73" t="str">
        <x:v>Flujo de tickets</x:v>
      </x:c>
      <x:c r="Y246" s="73" t="str">
        <x:v>Configuración operativa de estados, asignación y cierre sobre una definición básica.</x:v>
      </x:c>
      <x:c r="Z246" s="73" t="str">
        <x:v>El diseño formal de procesos ITSM se cotiza en SUP-02.</x:v>
      </x:c>
      <x:c r="AA246" s="73" t="str">
        <x:v>Preliminar</x:v>
      </x:c>
      <x:c r="AB246" s="78" t="str">
        <x:v>Estimación técnica ISM · Validar</x:v>
      </x:c>
    </x:row>
    <x:row r="247">
      <x:c r="A247" s="77" t="str">
        <x:v>Soporte y Gestión</x:v>
      </x:c>
      <x:c r="B247" s="73" t="str">
        <x:v>SUP-01</x:v>
      </x:c>
      <x:c r="C247" s="73" t="str">
        <x:v>Implementación de mesa de ayuda</x:v>
      </x:c>
      <x:c r="D247" s="73" t="str">
        <x:v>02 · Optimización digital</x:v>
      </x:c>
      <x:c r="E247" s="73" t="str">
        <x:v>Proceso</x:v>
      </x:c>
      <x:c r="F247" s="73" t="str">
        <x:v>SUP1-004</x:v>
      </x:c>
      <x:c r="G247" s="73" t="str">
        <x:v>Parametrización de prioridades y severidades</x:v>
      </x:c>
      <x:c r="H247" s="73" t="str">
        <x:v>Nivel</x:v>
      </x:c>
      <x:c r="I247" s="85" t="n">
        <x:v>4</x:v>
      </x:c>
      <x:c r="J247" s="73" t="str">
        <x:v>Sí</x:v>
      </x:c>
      <x:c r="K247" s="73" t="str">
        <x:v>Sí</x:v>
      </x:c>
      <x:c r="L247" s="85" t="n">
        <x:v>0.5</x:v>
      </x:c>
      <x:c r="M247" s="85" t="str">
        <x:v>Parcial</x:v>
      </x:c>
      <x:c r="N247" s="85" t="n">
        <x:v>0.88</x:v>
      </x:c>
      <x:c r="O247" s="85" t="n">
        <x:f>L247*N247</x:f>
        <x:v>0.44</x:v>
      </x:c>
      <x:c r="P247" s="85" t="str">
        <x:v>Alta</x:v>
      </x:c>
      <x:c r="Q247" s="85" t="n">
        <x:v>1</x:v>
      </x:c>
      <x:c r="R247" s="85" t="n">
        <x:v>1.45</x:v>
      </x:c>
      <x:c r="S247" s="85" t="n">
        <x:v>1.8</x:v>
      </x:c>
      <x:c r="T247" s="85" t="n">
        <x:f>IF(J247="Sí",I247*O247*Q247,0)</x:f>
        <x:v>1.76</x:v>
      </x:c>
      <x:c r="U247" s="85" t="n">
        <x:f>IF(J247="Sí",I247*O247*R247,0)</x:f>
        <x:v>2.552</x:v>
      </x:c>
      <x:c r="V247" s="85" t="n">
        <x:f>IF(J247="Sí",I247*O247*S247,0)</x:f>
        <x:v>3.168</x:v>
      </x:c>
      <x:c r="W247" s="73"/>
      <x:c r="X247" s="73" t="str">
        <x:v>Matriz de prioridad</x:v>
      </x:c>
      <x:c r="Y247" s="73" t="str">
        <x:v>Configuración en la herramienta de niveles previamente acordados.</x:v>
      </x:c>
      <x:c r="Z247" s="73" t="str">
        <x:v>La definición metodológica completa se cotiza en SUP-02.</x:v>
      </x:c>
      <x:c r="AA247" s="73" t="str">
        <x:v>Preliminar</x:v>
      </x:c>
      <x:c r="AB247" s="78" t="str">
        <x:v>Estimación técnica ISM · Validar</x:v>
      </x:c>
    </x:row>
    <x:row r="248">
      <x:c r="A248" s="77" t="str">
        <x:v>Soporte y Gestión</x:v>
      </x:c>
      <x:c r="B248" s="73" t="str">
        <x:v>SUP-01</x:v>
      </x:c>
      <x:c r="C248" s="73" t="str">
        <x:v>Implementación de mesa de ayuda</x:v>
      </x:c>
      <x:c r="D248" s="73" t="str">
        <x:v>02 · Optimización digital</x:v>
      </x:c>
      <x:c r="E248" s="73" t="str">
        <x:v>SLA</x:v>
      </x:c>
      <x:c r="F248" s="73" t="str">
        <x:v>SUP1-005</x:v>
      </x:c>
      <x:c r="G248" s="73" t="str">
        <x:v>Parametrización de SLA definidos</x:v>
      </x:c>
      <x:c r="H248" s="73" t="str">
        <x:v>Servicio</x:v>
      </x:c>
      <x:c r="I248" s="85" t="n">
        <x:v>6</x:v>
      </x:c>
      <x:c r="J248" s="73" t="str">
        <x:v>Sí</x:v>
      </x:c>
      <x:c r="K248" s="73" t="str">
        <x:v>Sí</x:v>
      </x:c>
      <x:c r="L248" s="85" t="n">
        <x:v>0.5</x:v>
      </x:c>
      <x:c r="M248" s="85" t="str">
        <x:v>Parcial</x:v>
      </x:c>
      <x:c r="N248" s="85" t="n">
        <x:v>0.88</x:v>
      </x:c>
      <x:c r="O248" s="85" t="n">
        <x:f>L248*N248</x:f>
        <x:v>0.44</x:v>
      </x:c>
      <x:c r="P248" s="85" t="str">
        <x:v>Alta</x:v>
      </x:c>
      <x:c r="Q248" s="85" t="n">
        <x:v>1</x:v>
      </x:c>
      <x:c r="R248" s="85" t="n">
        <x:v>1.45</x:v>
      </x:c>
      <x:c r="S248" s="85" t="n">
        <x:v>1.8</x:v>
      </x:c>
      <x:c r="T248" s="85" t="n">
        <x:f>IF(J248="Sí",I248*O248*Q248,0)</x:f>
        <x:v>2.64</x:v>
      </x:c>
      <x:c r="U248" s="85" t="n">
        <x:f>IF(J248="Sí",I248*O248*R248,0)</x:f>
        <x:v>3.828</x:v>
      </x:c>
      <x:c r="V248" s="85" t="n">
        <x:f>IF(J248="Sí",I248*O248*S248,0)</x:f>
        <x:v>4.752000000000001</x:v>
      </x:c>
      <x:c r="W248" s="73"/>
      <x:c r="X248" s="73" t="str">
        <x:v>Matriz SLA</x:v>
      </x:c>
      <x:c r="Y248" s="73" t="str">
        <x:v>Configuración de tiempos de respuesta, resolución y cobertura en la herramienta.</x:v>
      </x:c>
      <x:c r="Z248" s="73" t="str">
        <x:v>La definición y gobierno formal de SLA se cotizan en SUP-02.</x:v>
      </x:c>
      <x:c r="AA248" s="73" t="str">
        <x:v>Preliminar</x:v>
      </x:c>
      <x:c r="AB248" s="78" t="str">
        <x:v>Estimación técnica ISM · Validar</x:v>
      </x:c>
    </x:row>
    <x:row r="249">
      <x:c r="A249" s="77" t="str">
        <x:v>Soporte y Gestión</x:v>
      </x:c>
      <x:c r="B249" s="73" t="str">
        <x:v>SUP-01</x:v>
      </x:c>
      <x:c r="C249" s="73" t="str">
        <x:v>Implementación de mesa de ayuda</x:v>
      </x:c>
      <x:c r="D249" s="73" t="str">
        <x:v>02 · Optimización digital</x:v>
      </x:c>
      <x:c r="E249" s="73" t="str">
        <x:v>Configuración</x:v>
      </x:c>
      <x:c r="F249" s="73" t="str">
        <x:v>SUP1-006</x:v>
      </x:c>
      <x:c r="G249" s="73" t="str">
        <x:v>Configuración de campos y formularios</x:v>
      </x:c>
      <x:c r="H249" s="73" t="str">
        <x:v>Formulario</x:v>
      </x:c>
      <x:c r="I249" s="85" t="n">
        <x:v>3</x:v>
      </x:c>
      <x:c r="J249" s="73" t="str">
        <x:v>Sí</x:v>
      </x:c>
      <x:c r="K249" s="73" t="str">
        <x:v>No</x:v>
      </x:c>
      <x:c r="L249" s="85" t="n">
        <x:v>1</x:v>
      </x:c>
      <x:c r="M249" s="85" t="str">
        <x:v>Parcial</x:v>
      </x:c>
      <x:c r="N249" s="85" t="n">
        <x:v>0.88</x:v>
      </x:c>
      <x:c r="O249" s="85" t="n">
        <x:f>L249*N249</x:f>
        <x:v>0.88</x:v>
      </x:c>
      <x:c r="P249" s="85" t="str">
        <x:v>Media</x:v>
      </x:c>
      <x:c r="Q249" s="85" t="n">
        <x:v>1</x:v>
      </x:c>
      <x:c r="R249" s="85" t="n">
        <x:v>1.3</x:v>
      </x:c>
      <x:c r="S249" s="85" t="n">
        <x:v>1.55</x:v>
      </x:c>
      <x:c r="T249" s="85" t="n">
        <x:f>IF(J249="Sí",I249*O249*Q249,0)</x:f>
        <x:v>2.64</x:v>
      </x:c>
      <x:c r="U249" s="85" t="n">
        <x:f>IF(J249="Sí",I249*O249*R249,0)</x:f>
        <x:v>3.4320000000000004</x:v>
      </x:c>
      <x:c r="V249" s="85" t="n">
        <x:f>IF(J249="Sí",I249*O249*S249,0)</x:f>
        <x:v>4.0920000000000005</x:v>
      </x:c>
      <x:c r="W249" s="73"/>
      <x:c r="X249" s="73" t="str">
        <x:v>Formularios operativos</x:v>
      </x:c>
      <x:c r="Y249" s="73" t="str">
        <x:v>Campos, validaciones y clasificación</x:v>
      </x:c>
      <x:c r="Z249" s="73"/>
      <x:c r="AA249" s="73" t="str">
        <x:v>Preliminar</x:v>
      </x:c>
      <x:c r="AB249" s="78" t="str">
        <x:v>Estimación técnica ISM · Validar</x:v>
      </x:c>
    </x:row>
    <x:row r="250">
      <x:c r="A250" s="77" t="str">
        <x:v>Soporte y Gestión</x:v>
      </x:c>
      <x:c r="B250" s="73" t="str">
        <x:v>SUP-01</x:v>
      </x:c>
      <x:c r="C250" s="73" t="str">
        <x:v>Implementación de mesa de ayuda</x:v>
      </x:c>
      <x:c r="D250" s="73" t="str">
        <x:v>02 · Optimización digital</x:v>
      </x:c>
      <x:c r="E250" s="73" t="str">
        <x:v>Configuración</x:v>
      </x:c>
      <x:c r="F250" s="73" t="str">
        <x:v>SUP1-007</x:v>
      </x:c>
      <x:c r="G250" s="73" t="str">
        <x:v>Configuración de estados y automatizaciones</x:v>
      </x:c>
      <x:c r="H250" s="73" t="str">
        <x:v>Flujo</x:v>
      </x:c>
      <x:c r="I250" s="85" t="n">
        <x:v>2</x:v>
      </x:c>
      <x:c r="J250" s="73" t="str">
        <x:v>Sí</x:v>
      </x:c>
      <x:c r="K250" s="73" t="str">
        <x:v>No</x:v>
      </x:c>
      <x:c r="L250" s="85" t="n">
        <x:v>1.5</x:v>
      </x:c>
      <x:c r="M250" s="85" t="str">
        <x:v>Parcial</x:v>
      </x:c>
      <x:c r="N250" s="85" t="n">
        <x:v>0.88</x:v>
      </x:c>
      <x:c r="O250" s="85" t="n">
        <x:f>L250*N250</x:f>
        <x:v>1.32</x:v>
      </x:c>
      <x:c r="P250" s="85" t="str">
        <x:v>Alta</x:v>
      </x:c>
      <x:c r="Q250" s="85" t="n">
        <x:v>1</x:v>
      </x:c>
      <x:c r="R250" s="85" t="n">
        <x:v>1.45</x:v>
      </x:c>
      <x:c r="S250" s="85" t="n">
        <x:v>1.8</x:v>
      </x:c>
      <x:c r="T250" s="85" t="n">
        <x:f>IF(J250="Sí",I250*O250*Q250,0)</x:f>
        <x:v>2.64</x:v>
      </x:c>
      <x:c r="U250" s="85" t="n">
        <x:f>IF(J250="Sí",I250*O250*R250,0)</x:f>
        <x:v>3.828</x:v>
      </x:c>
      <x:c r="V250" s="85" t="n">
        <x:f>IF(J250="Sí",I250*O250*S250,0)</x:f>
        <x:v>4.752000000000001</x:v>
      </x:c>
      <x:c r="W250" s="73"/>
      <x:c r="X250" s="73" t="str">
        <x:v>Flujos configurados</x:v>
      </x:c>
      <x:c r="Y250" s="73" t="str">
        <x:v>Asignación, notificación y escalamiento</x:v>
      </x:c>
      <x:c r="Z250" s="73"/>
      <x:c r="AA250" s="73" t="str">
        <x:v>Preliminar</x:v>
      </x:c>
      <x:c r="AB250" s="78" t="str">
        <x:v>Estimación técnica ISM · Validar</x:v>
      </x:c>
    </x:row>
    <x:row r="251">
      <x:c r="A251" s="77" t="str">
        <x:v>Soporte y Gestión</x:v>
      </x:c>
      <x:c r="B251" s="73" t="str">
        <x:v>SUP-01</x:v>
      </x:c>
      <x:c r="C251" s="73" t="str">
        <x:v>Implementación de mesa de ayuda</x:v>
      </x:c>
      <x:c r="D251" s="73" t="str">
        <x:v>02 · Optimización digital</x:v>
      </x:c>
      <x:c r="E251" s="73" t="str">
        <x:v>Configuración</x:v>
      </x:c>
      <x:c r="F251" s="73" t="str">
        <x:v>SUP1-008</x:v>
      </x:c>
      <x:c r="G251" s="73" t="str">
        <x:v>Configuración de usuarios y permisos</x:v>
      </x:c>
      <x:c r="H251" s="73" t="str">
        <x:v>Rol</x:v>
      </x:c>
      <x:c r="I251" s="85" t="n">
        <x:v>3</x:v>
      </x:c>
      <x:c r="J251" s="73" t="str">
        <x:v>Sí</x:v>
      </x:c>
      <x:c r="K251" s="73" t="str">
        <x:v>No</x:v>
      </x:c>
      <x:c r="L251" s="85" t="n">
        <x:v>0.75</x:v>
      </x:c>
      <x:c r="M251" s="85" t="str">
        <x:v>Parcial</x:v>
      </x:c>
      <x:c r="N251" s="85" t="n">
        <x:v>0.88</x:v>
      </x:c>
      <x:c r="O251" s="85" t="n">
        <x:f>L251*N251</x:f>
        <x:v>0.66</x:v>
      </x:c>
      <x:c r="P251" s="85" t="str">
        <x:v>Alta</x:v>
      </x:c>
      <x:c r="Q251" s="85" t="n">
        <x:v>1</x:v>
      </x:c>
      <x:c r="R251" s="85" t="n">
        <x:v>1.45</x:v>
      </x:c>
      <x:c r="S251" s="85" t="n">
        <x:v>1.8</x:v>
      </x:c>
      <x:c r="T251" s="85" t="n">
        <x:f>IF(J251="Sí",I251*O251*Q251,0)</x:f>
        <x:v>1.98</x:v>
      </x:c>
      <x:c r="U251" s="85" t="n">
        <x:f>IF(J251="Sí",I251*O251*R251,0)</x:f>
        <x:v>2.871</x:v>
      </x:c>
      <x:c r="V251" s="85" t="n">
        <x:f>IF(J251="Sí",I251*O251*S251,0)</x:f>
        <x:v>3.564</x:v>
      </x:c>
      <x:c r="W251" s="73"/>
      <x:c r="X251" s="73" t="str">
        <x:v>Accesos configurados</x:v>
      </x:c>
      <x:c r="Y251" s="73" t="str">
        <x:v>Agentes, administradores y solicitantes</x:v>
      </x:c>
      <x:c r="Z251" s="73"/>
      <x:c r="AA251" s="73" t="str">
        <x:v>Preliminar</x:v>
      </x:c>
      <x:c r="AB251" s="78" t="str">
        <x:v>Estimación técnica ISM · Validar</x:v>
      </x:c>
    </x:row>
    <x:row r="252">
      <x:c r="A252" s="77" t="str">
        <x:v>Soporte y Gestión</x:v>
      </x:c>
      <x:c r="B252" s="73" t="str">
        <x:v>SUP-01</x:v>
      </x:c>
      <x:c r="C252" s="73" t="str">
        <x:v>Implementación de mesa de ayuda</x:v>
      </x:c>
      <x:c r="D252" s="73" t="str">
        <x:v>02 · Optimización digital</x:v>
      </x:c>
      <x:c r="E252" s="73" t="str">
        <x:v>Comunicación</x:v>
      </x:c>
      <x:c r="F252" s="73" t="str">
        <x:v>SUP1-009</x:v>
      </x:c>
      <x:c r="G252" s="73" t="str">
        <x:v>Plantillas de comunicación</x:v>
      </x:c>
      <x:c r="H252" s="73" t="str">
        <x:v>Plantilla</x:v>
      </x:c>
      <x:c r="I252" s="85" t="n">
        <x:v>5</x:v>
      </x:c>
      <x:c r="J252" s="73" t="str">
        <x:v>Sí</x:v>
      </x:c>
      <x:c r="K252" s="73" t="str">
        <x:v>No</x:v>
      </x:c>
      <x:c r="L252" s="85" t="n">
        <x:v>0.5</x:v>
      </x:c>
      <x:c r="M252" s="85" t="str">
        <x:v>Parcial</x:v>
      </x:c>
      <x:c r="N252" s="85" t="n">
        <x:v>0.88</x:v>
      </x:c>
      <x:c r="O252" s="85" t="n">
        <x:f>L252*N252</x:f>
        <x:v>0.44</x:v>
      </x:c>
      <x:c r="P252" s="85" t="str">
        <x:v>Baja</x:v>
      </x:c>
      <x:c r="Q252" s="85" t="n">
        <x:v>1</x:v>
      </x:c>
      <x:c r="R252" s="85" t="n">
        <x:v>1.15</x:v>
      </x:c>
      <x:c r="S252" s="85" t="n">
        <x:v>1.3</x:v>
      </x:c>
      <x:c r="T252" s="85" t="n">
        <x:f>IF(J252="Sí",I252*O252*Q252,0)</x:f>
        <x:v>2.2</x:v>
      </x:c>
      <x:c r="U252" s="85" t="n">
        <x:f>IF(J252="Sí",I252*O252*R252,0)</x:f>
        <x:v>2.53</x:v>
      </x:c>
      <x:c r="V252" s="85" t="n">
        <x:f>IF(J252="Sí",I252*O252*S252,0)</x:f>
        <x:v>2.8600000000000003</x:v>
      </x:c>
      <x:c r="W252" s="73"/>
      <x:c r="X252" s="73" t="str">
        <x:v>Plantillas</x:v>
      </x:c>
      <x:c r="Y252" s="73" t="str">
        <x:v>Recepción, actualización y cierre</x:v>
      </x:c>
      <x:c r="Z252" s="73"/>
      <x:c r="AA252" s="73" t="str">
        <x:v>Preliminar</x:v>
      </x:c>
      <x:c r="AB252" s="78" t="str">
        <x:v>Estimación técnica ISM · Validar</x:v>
      </x:c>
    </x:row>
    <x:row r="253">
      <x:c r="A253" s="77" t="str">
        <x:v>Soporte y Gestión</x:v>
      </x:c>
      <x:c r="B253" s="73" t="str">
        <x:v>SUP-01</x:v>
      </x:c>
      <x:c r="C253" s="73" t="str">
        <x:v>Implementación de mesa de ayuda</x:v>
      </x:c>
      <x:c r="D253" s="73" t="str">
        <x:v>02 · Optimización digital</x:v>
      </x:c>
      <x:c r="E253" s="73" t="str">
        <x:v>Reportes</x:v>
      </x:c>
      <x:c r="F253" s="73" t="str">
        <x:v>SUP1-010</x:v>
      </x:c>
      <x:c r="G253" s="73" t="str">
        <x:v>Dashboard y reporte inicial de puesta en marcha</x:v>
      </x:c>
      <x:c r="H253" s="73" t="str">
        <x:v>Reporte</x:v>
      </x:c>
      <x:c r="I253" s="85" t="n">
        <x:v>1</x:v>
      </x:c>
      <x:c r="J253" s="73" t="str">
        <x:v>Sí</x:v>
      </x:c>
      <x:c r="K253" s="73" t="str">
        <x:v>No</x:v>
      </x:c>
      <x:c r="L253" s="85" t="n">
        <x:v>2</x:v>
      </x:c>
      <x:c r="M253" s="85" t="str">
        <x:v>Parcial</x:v>
      </x:c>
      <x:c r="N253" s="85" t="n">
        <x:v>0.88</x:v>
      </x:c>
      <x:c r="O253" s="85" t="n">
        <x:f>L253*N253</x:f>
        <x:v>1.76</x:v>
      </x:c>
      <x:c r="P253" s="85" t="str">
        <x:v>Media</x:v>
      </x:c>
      <x:c r="Q253" s="85" t="n">
        <x:v>1</x:v>
      </x:c>
      <x:c r="R253" s="85" t="n">
        <x:v>1.3</x:v>
      </x:c>
      <x:c r="S253" s="85" t="n">
        <x:v>1.55</x:v>
      </x:c>
      <x:c r="T253" s="85" t="n">
        <x:f>IF(J253="Sí",I253*O253*Q253,0)</x:f>
        <x:v>1.76</x:v>
      </x:c>
      <x:c r="U253" s="85" t="n">
        <x:f>IF(J253="Sí",I253*O253*R253,0)</x:f>
        <x:v>2.2880000000000003</x:v>
      </x:c>
      <x:c r="V253" s="85" t="n">
        <x:f>IF(J253="Sí",I253*O253*S253,0)</x:f>
        <x:v>2.728</x:v>
      </x:c>
      <x:c r="W253" s="73"/>
      <x:c r="X253" s="73" t="str">
        <x:v>Reporte operativo</x:v>
      </x:c>
      <x:c r="Y253" s="73" t="str">
        <x:v>Vista inicial de volumen, tiempos y estado para validar la operación.</x:v>
      </x:c>
      <x:c r="Z253" s="73" t="str">
        <x:v>La reportería operacional avanzada se contabiliza en SUP2-010.</x:v>
      </x:c>
      <x:c r="AA253" s="73" t="str">
        <x:v>Preliminar</x:v>
      </x:c>
      <x:c r="AB253" s="78" t="str">
        <x:v>Estimación técnica ISM · Validar</x:v>
      </x:c>
    </x:row>
    <x:row r="254">
      <x:c r="A254" s="77" t="str">
        <x:v>Soporte y Gestión</x:v>
      </x:c>
      <x:c r="B254" s="73" t="str">
        <x:v>SUP-01</x:v>
      </x:c>
      <x:c r="C254" s="73" t="str">
        <x:v>Implementación de mesa de ayuda</x:v>
      </x:c>
      <x:c r="D254" s="73" t="str">
        <x:v>02 · Optimización digital</x:v>
      </x:c>
      <x:c r="E254" s="73" t="str">
        <x:v>Calidad</x:v>
      </x:c>
      <x:c r="F254" s="73" t="str">
        <x:v>SUP1-011</x:v>
      </x:c>
      <x:c r="G254" s="73" t="str">
        <x:v>Piloto con casos de atención</x:v>
      </x:c>
      <x:c r="H254" s="73" t="str">
        <x:v>Caso</x:v>
      </x:c>
      <x:c r="I254" s="85" t="n">
        <x:v>6</x:v>
      </x:c>
      <x:c r="J254" s="73" t="str">
        <x:v>Sí</x:v>
      </x:c>
      <x:c r="K254" s="73" t="str">
        <x:v>Sí</x:v>
      </x:c>
      <x:c r="L254" s="85" t="n">
        <x:v>0.5</x:v>
      </x:c>
      <x:c r="M254" s="85" t="str">
        <x:v>Parcial</x:v>
      </x:c>
      <x:c r="N254" s="85" t="n">
        <x:v>0.88</x:v>
      </x:c>
      <x:c r="O254" s="85" t="n">
        <x:f>L254*N254</x:f>
        <x:v>0.44</x:v>
      </x:c>
      <x:c r="P254" s="85" t="str">
        <x:v>Media</x:v>
      </x:c>
      <x:c r="Q254" s="85" t="n">
        <x:v>1</x:v>
      </x:c>
      <x:c r="R254" s="85" t="n">
        <x:v>1.3</x:v>
      </x:c>
      <x:c r="S254" s="85" t="n">
        <x:v>1.55</x:v>
      </x:c>
      <x:c r="T254" s="85" t="n">
        <x:f>IF(J254="Sí",I254*O254*Q254,0)</x:f>
        <x:v>2.64</x:v>
      </x:c>
      <x:c r="U254" s="85" t="n">
        <x:f>IF(J254="Sí",I254*O254*R254,0)</x:f>
        <x:v>3.4320000000000004</x:v>
      </x:c>
      <x:c r="V254" s="85" t="n">
        <x:f>IF(J254="Sí",I254*O254*S254,0)</x:f>
        <x:v>4.0920000000000005</x:v>
      </x:c>
      <x:c r="W254" s="73"/>
      <x:c r="X254" s="73" t="str">
        <x:v>Piloto validado</x:v>
      </x:c>
      <x:c r="Y254" s="73" t="str">
        <x:v>Creación, asignación, atención y cierre</x:v>
      </x:c>
      <x:c r="Z254" s="73"/>
      <x:c r="AA254" s="73" t="str">
        <x:v>Preliminar</x:v>
      </x:c>
      <x:c r="AB254" s="78" t="str">
        <x:v>Estimación técnica ISM · Validar</x:v>
      </x:c>
    </x:row>
    <x:row r="255">
      <x:c r="A255" s="77" t="str">
        <x:v>Soporte y Gestión</x:v>
      </x:c>
      <x:c r="B255" s="73" t="str">
        <x:v>SUP-01</x:v>
      </x:c>
      <x:c r="C255" s="73" t="str">
        <x:v>Implementación de mesa de ayuda</x:v>
      </x:c>
      <x:c r="D255" s="73" t="str">
        <x:v>02 · Optimización digital</x:v>
      </x:c>
      <x:c r="E255" s="73" t="str">
        <x:v>Entrega</x:v>
      </x:c>
      <x:c r="F255" s="73" t="str">
        <x:v>SUP1-012</x:v>
      </x:c>
      <x:c r="G255" s="73" t="str">
        <x:v>Capacitación y documentación</x:v>
      </x:c>
      <x:c r="H255" s="73" t="str">
        <x:v>Sesión</x:v>
      </x:c>
      <x:c r="I255" s="85" t="n">
        <x:v>1</x:v>
      </x:c>
      <x:c r="J255" s="73" t="str">
        <x:v>Sí</x:v>
      </x:c>
      <x:c r="K255" s="73" t="str">
        <x:v>Sí</x:v>
      </x:c>
      <x:c r="L255" s="85" t="n">
        <x:v>2</x:v>
      </x:c>
      <x:c r="M255" s="85" t="str">
        <x:v>Parcial</x:v>
      </x:c>
      <x:c r="N255" s="85" t="n">
        <x:v>0.88</x:v>
      </x:c>
      <x:c r="O255" s="85" t="n">
        <x:f>L255*N255</x:f>
        <x:v>1.76</x:v>
      </x:c>
      <x:c r="P255" s="85" t="str">
        <x:v>Media</x:v>
      </x:c>
      <x:c r="Q255" s="85" t="n">
        <x:v>1</x:v>
      </x:c>
      <x:c r="R255" s="85" t="n">
        <x:v>1.3</x:v>
      </x:c>
      <x:c r="S255" s="85" t="n">
        <x:v>1.55</x:v>
      </x:c>
      <x:c r="T255" s="85" t="n">
        <x:f>IF(J255="Sí",I255*O255*Q255,0)</x:f>
        <x:v>1.76</x:v>
      </x:c>
      <x:c r="U255" s="85" t="n">
        <x:f>IF(J255="Sí",I255*O255*R255,0)</x:f>
        <x:v>2.2880000000000003</x:v>
      </x:c>
      <x:c r="V255" s="85" t="n">
        <x:f>IF(J255="Sí",I255*O255*S255,0)</x:f>
        <x:v>2.728</x:v>
      </x:c>
      <x:c r="W255" s="73"/>
      <x:c r="X255" s="73" t="str">
        <x:v>Mesa de ayuda entregada</x:v>
      </x:c>
      <x:c r="Y255" s="73" t="str">
        <x:v>Uso, administración y soporte</x:v>
      </x:c>
      <x:c r="Z255" s="73"/>
      <x:c r="AA255" s="73" t="str">
        <x:v>Preliminar</x:v>
      </x:c>
      <x:c r="AB255" s="78" t="str">
        <x:v>Estimación técnica ISM · Validar</x:v>
      </x:c>
    </x:row>
    <x:row r="256">
      <x:c r="A256" s="77" t="str">
        <x:v>Soporte y Gestión</x:v>
      </x:c>
      <x:c r="B256" s="73" t="str">
        <x:v>SUP-02</x:v>
      </x:c>
      <x:c r="C256" s="73" t="str">
        <x:v>Gestión de incidentes, solicitudes y cambios</x:v>
      </x:c>
      <x:c r="D256" s="73" t="str">
        <x:v>03 · Consolidación digital</x:v>
      </x:c>
      <x:c r="E256" s="73" t="str">
        <x:v>Gobierno</x:v>
      </x:c>
      <x:c r="F256" s="73" t="str">
        <x:v>SUP2-001</x:v>
      </x:c>
      <x:c r="G256" s="73" t="str">
        <x:v>Definición de alcance de procesos ITSM</x:v>
      </x:c>
      <x:c r="H256" s="73" t="str">
        <x:v>Proceso</x:v>
      </x:c>
      <x:c r="I256" s="85" t="n">
        <x:v>4</x:v>
      </x:c>
      <x:c r="J256" s="73" t="str">
        <x:v>Sí</x:v>
      </x:c>
      <x:c r="K256" s="73" t="str">
        <x:v>Sí</x:v>
      </x:c>
      <x:c r="L256" s="85" t="n">
        <x:v>0.75</x:v>
      </x:c>
      <x:c r="M256" s="85" t="str">
        <x:v>Parcial</x:v>
      </x:c>
      <x:c r="N256" s="85" t="n">
        <x:v>0.88</x:v>
      </x:c>
      <x:c r="O256" s="85" t="n">
        <x:f>L256*N256</x:f>
        <x:v>0.66</x:v>
      </x:c>
      <x:c r="P256" s="85" t="str">
        <x:v>Alta</x:v>
      </x:c>
      <x:c r="Q256" s="85" t="n">
        <x:v>1</x:v>
      </x:c>
      <x:c r="R256" s="85" t="n">
        <x:v>1.45</x:v>
      </x:c>
      <x:c r="S256" s="85" t="n">
        <x:v>1.8</x:v>
      </x:c>
      <x:c r="T256" s="85" t="n">
        <x:f>IF(J256="Sí",I256*O256*Q256,0)</x:f>
        <x:v>2.64</x:v>
      </x:c>
      <x:c r="U256" s="85" t="n">
        <x:f>IF(J256="Sí",I256*O256*R256,0)</x:f>
        <x:v>3.828</x:v>
      </x:c>
      <x:c r="V256" s="85" t="n">
        <x:f>IF(J256="Sí",I256*O256*S256,0)</x:f>
        <x:v>4.752000000000001</x:v>
      </x:c>
      <x:c r="W256" s="73"/>
      <x:c r="X256" s="73" t="str">
        <x:v>Alcance ITSM</x:v>
      </x:c>
      <x:c r="Y256" s="73" t="str">
        <x:v>Incidente, solicitud, problema y cambio</x:v>
      </x:c>
      <x:c r="Z256" s="73"/>
      <x:c r="AA256" s="73" t="str">
        <x:v>Preliminar</x:v>
      </x:c>
      <x:c r="AB256" s="78" t="str">
        <x:v>Estimación técnica ISM · Validar</x:v>
      </x:c>
    </x:row>
    <x:row r="257">
      <x:c r="A257" s="77" t="str">
        <x:v>Soporte y Gestión</x:v>
      </x:c>
      <x:c r="B257" s="73" t="str">
        <x:v>SUP-02</x:v>
      </x:c>
      <x:c r="C257" s="73" t="str">
        <x:v>Gestión de incidentes, solicitudes y cambios</x:v>
      </x:c>
      <x:c r="D257" s="73" t="str">
        <x:v>03 · Consolidación digital</x:v>
      </x:c>
      <x:c r="E257" s="73" t="str">
        <x:v>Proceso</x:v>
      </x:c>
      <x:c r="F257" s="73" t="str">
        <x:v>SUP2-002</x:v>
      </x:c>
      <x:c r="G257" s="73" t="str">
        <x:v>Diseño formal del proceso de incidentes</x:v>
      </x:c>
      <x:c r="H257" s="73" t="str">
        <x:v>Proceso</x:v>
      </x:c>
      <x:c r="I257" s="85" t="n">
        <x:v>1</x:v>
      </x:c>
      <x:c r="J257" s="73" t="str">
        <x:v>Sí</x:v>
      </x:c>
      <x:c r="K257" s="73" t="str">
        <x:v>Sí</x:v>
      </x:c>
      <x:c r="L257" s="85" t="n">
        <x:v>2</x:v>
      </x:c>
      <x:c r="M257" s="85" t="str">
        <x:v>Parcial</x:v>
      </x:c>
      <x:c r="N257" s="85" t="n">
        <x:v>0.88</x:v>
      </x:c>
      <x:c r="O257" s="85" t="n">
        <x:f>L257*N257</x:f>
        <x:v>1.76</x:v>
      </x:c>
      <x:c r="P257" s="85" t="str">
        <x:v>Alta</x:v>
      </x:c>
      <x:c r="Q257" s="85" t="n">
        <x:v>1</x:v>
      </x:c>
      <x:c r="R257" s="85" t="n">
        <x:v>1.45</x:v>
      </x:c>
      <x:c r="S257" s="85" t="n">
        <x:v>1.8</x:v>
      </x:c>
      <x:c r="T257" s="85" t="n">
        <x:f>IF(J257="Sí",I257*O257*Q257,0)</x:f>
        <x:v>1.76</x:v>
      </x:c>
      <x:c r="U257" s="85" t="n">
        <x:f>IF(J257="Sí",I257*O257*R257,0)</x:f>
        <x:v>2.552</x:v>
      </x:c>
      <x:c r="V257" s="85" t="n">
        <x:f>IF(J257="Sí",I257*O257*S257,0)</x:f>
        <x:v>3.168</x:v>
      </x:c>
      <x:c r="W257" s="73"/>
      <x:c r="X257" s="73" t="str">
        <x:v>Proceso de incidentes</x:v>
      </x:c>
      <x:c r="Y257" s="73" t="str">
        <x:v>Registro, clasificación, escalamiento y cierre</x:v>
      </x:c>
      <x:c r="Z257" s="73"/>
      <x:c r="AA257" s="73" t="str">
        <x:v>Preliminar</x:v>
      </x:c>
      <x:c r="AB257" s="78" t="str">
        <x:v>Estimación técnica ISM · Validar</x:v>
      </x:c>
    </x:row>
    <x:row r="258">
      <x:c r="A258" s="77" t="str">
        <x:v>Soporte y Gestión</x:v>
      </x:c>
      <x:c r="B258" s="73" t="str">
        <x:v>SUP-02</x:v>
      </x:c>
      <x:c r="C258" s="73" t="str">
        <x:v>Gestión de incidentes, solicitudes y cambios</x:v>
      </x:c>
      <x:c r="D258" s="73" t="str">
        <x:v>03 · Consolidación digital</x:v>
      </x:c>
      <x:c r="E258" s="73" t="str">
        <x:v>Proceso</x:v>
      </x:c>
      <x:c r="F258" s="73" t="str">
        <x:v>SUP2-003</x:v>
      </x:c>
      <x:c r="G258" s="73" t="str">
        <x:v>Diseño formal del proceso de solicitudes</x:v>
      </x:c>
      <x:c r="H258" s="73" t="str">
        <x:v>Proceso</x:v>
      </x:c>
      <x:c r="I258" s="85" t="n">
        <x:v>1</x:v>
      </x:c>
      <x:c r="J258" s="73" t="str">
        <x:v>Sí</x:v>
      </x:c>
      <x:c r="K258" s="73" t="str">
        <x:v>Sí</x:v>
      </x:c>
      <x:c r="L258" s="85" t="n">
        <x:v>1.5</x:v>
      </x:c>
      <x:c r="M258" s="85" t="str">
        <x:v>Parcial</x:v>
      </x:c>
      <x:c r="N258" s="85" t="n">
        <x:v>0.88</x:v>
      </x:c>
      <x:c r="O258" s="85" t="n">
        <x:f>L258*N258</x:f>
        <x:v>1.32</x:v>
      </x:c>
      <x:c r="P258" s="85" t="str">
        <x:v>Media</x:v>
      </x:c>
      <x:c r="Q258" s="85" t="n">
        <x:v>1</x:v>
      </x:c>
      <x:c r="R258" s="85" t="n">
        <x:v>1.3</x:v>
      </x:c>
      <x:c r="S258" s="85" t="n">
        <x:v>1.55</x:v>
      </x:c>
      <x:c r="T258" s="85" t="n">
        <x:f>IF(J258="Sí",I258*O258*Q258,0)</x:f>
        <x:v>1.32</x:v>
      </x:c>
      <x:c r="U258" s="85" t="n">
        <x:f>IF(J258="Sí",I258*O258*R258,0)</x:f>
        <x:v>1.7160000000000002</x:v>
      </x:c>
      <x:c r="V258" s="85" t="n">
        <x:f>IF(J258="Sí",I258*O258*S258,0)</x:f>
        <x:v>2.0460000000000003</x:v>
      </x:c>
      <x:c r="W258" s="73"/>
      <x:c r="X258" s="73" t="str">
        <x:v>Proceso de solicitudes</x:v>
      </x:c>
      <x:c r="Y258" s="73" t="str">
        <x:v>Catálogo, aprobación y entrega</x:v>
      </x:c>
      <x:c r="Z258" s="73"/>
      <x:c r="AA258" s="73" t="str">
        <x:v>Preliminar</x:v>
      </x:c>
      <x:c r="AB258" s="78" t="str">
        <x:v>Estimación técnica ISM · Validar</x:v>
      </x:c>
    </x:row>
    <x:row r="259">
      <x:c r="A259" s="77" t="str">
        <x:v>Soporte y Gestión</x:v>
      </x:c>
      <x:c r="B259" s="73" t="str">
        <x:v>SUP-02</x:v>
      </x:c>
      <x:c r="C259" s="73" t="str">
        <x:v>Gestión de incidentes, solicitudes y cambios</x:v>
      </x:c>
      <x:c r="D259" s="73" t="str">
        <x:v>03 · Consolidación digital</x:v>
      </x:c>
      <x:c r="E259" s="73" t="str">
        <x:v>Proceso</x:v>
      </x:c>
      <x:c r="F259" s="73" t="str">
        <x:v>SUP2-004</x:v>
      </x:c>
      <x:c r="G259" s="73" t="str">
        <x:v>Diseño formal del proceso de cambios</x:v>
      </x:c>
      <x:c r="H259" s="73" t="str">
        <x:v>Proceso</x:v>
      </x:c>
      <x:c r="I259" s="85" t="n">
        <x:v>1</x:v>
      </x:c>
      <x:c r="J259" s="73" t="str">
        <x:v>Sí</x:v>
      </x:c>
      <x:c r="K259" s="73" t="str">
        <x:v>Sí</x:v>
      </x:c>
      <x:c r="L259" s="85" t="n">
        <x:v>2</x:v>
      </x:c>
      <x:c r="M259" s="85" t="str">
        <x:v>Parcial</x:v>
      </x:c>
      <x:c r="N259" s="85" t="n">
        <x:v>0.88</x:v>
      </x:c>
      <x:c r="O259" s="85" t="n">
        <x:f>L259*N259</x:f>
        <x:v>1.76</x:v>
      </x:c>
      <x:c r="P259" s="85" t="str">
        <x:v>Alta</x:v>
      </x:c>
      <x:c r="Q259" s="85" t="n">
        <x:v>1</x:v>
      </x:c>
      <x:c r="R259" s="85" t="n">
        <x:v>1.45</x:v>
      </x:c>
      <x:c r="S259" s="85" t="n">
        <x:v>1.8</x:v>
      </x:c>
      <x:c r="T259" s="85" t="n">
        <x:f>IF(J259="Sí",I259*O259*Q259,0)</x:f>
        <x:v>1.76</x:v>
      </x:c>
      <x:c r="U259" s="85" t="n">
        <x:f>IF(J259="Sí",I259*O259*R259,0)</x:f>
        <x:v>2.552</x:v>
      </x:c>
      <x:c r="V259" s="85" t="n">
        <x:f>IF(J259="Sí",I259*O259*S259,0)</x:f>
        <x:v>3.168</x:v>
      </x:c>
      <x:c r="W259" s="73"/>
      <x:c r="X259" s="73" t="str">
        <x:v>Proceso de cambios</x:v>
      </x:c>
      <x:c r="Y259" s="73" t="str">
        <x:v>Riesgo, aprobación, reversa y validación</x:v>
      </x:c>
      <x:c r="Z259" s="73"/>
      <x:c r="AA259" s="73" t="str">
        <x:v>Preliminar</x:v>
      </x:c>
      <x:c r="AB259" s="78" t="str">
        <x:v>Estimación técnica ISM · Validar</x:v>
      </x:c>
    </x:row>
    <x:row r="260">
      <x:c r="A260" s="77" t="str">
        <x:v>Soporte y Gestión</x:v>
      </x:c>
      <x:c r="B260" s="73" t="str">
        <x:v>SUP-02</x:v>
      </x:c>
      <x:c r="C260" s="73" t="str">
        <x:v>Gestión de incidentes, solicitudes y cambios</x:v>
      </x:c>
      <x:c r="D260" s="73" t="str">
        <x:v>03 · Consolidación digital</x:v>
      </x:c>
      <x:c r="E260" s="73" t="str">
        <x:v>Proceso</x:v>
      </x:c>
      <x:c r="F260" s="73" t="str">
        <x:v>SUP2-005</x:v>
      </x:c>
      <x:c r="G260" s="73" t="str">
        <x:v>Diseño formal del proceso de problemas</x:v>
      </x:c>
      <x:c r="H260" s="73" t="str">
        <x:v>Proceso</x:v>
      </x:c>
      <x:c r="I260" s="85" t="n">
        <x:v>1</x:v>
      </x:c>
      <x:c r="J260" s="73" t="str">
        <x:v>No</x:v>
      </x:c>
      <x:c r="K260" s="73" t="str">
        <x:v>No</x:v>
      </x:c>
      <x:c r="L260" s="85" t="n">
        <x:v>1.5</x:v>
      </x:c>
      <x:c r="M260" s="85" t="str">
        <x:v>Parcial</x:v>
      </x:c>
      <x:c r="N260" s="85" t="n">
        <x:v>0.88</x:v>
      </x:c>
      <x:c r="O260" s="85" t="n">
        <x:f>L260*N260</x:f>
        <x:v>1.32</x:v>
      </x:c>
      <x:c r="P260" s="85" t="str">
        <x:v>Alta</x:v>
      </x:c>
      <x:c r="Q260" s="85" t="n">
        <x:v>1</x:v>
      </x:c>
      <x:c r="R260" s="85" t="n">
        <x:v>1.45</x:v>
      </x:c>
      <x:c r="S260" s="85" t="n">
        <x:v>1.8</x:v>
      </x:c>
      <x:c r="T260" s="85" t="n">
        <x:f>IF(J260="Sí",I260*O260*Q260,0)</x:f>
        <x:v>0</x:v>
      </x:c>
      <x:c r="U260" s="85" t="n">
        <x:f>IF(J260="Sí",I260*O260*R260,0)</x:f>
        <x:v>0</x:v>
      </x:c>
      <x:c r="V260" s="85" t="n">
        <x:f>IF(J260="Sí",I260*O260*S260,0)</x:f>
        <x:v>0</x:v>
      </x:c>
      <x:c r="W260" s="73"/>
      <x:c r="X260" s="73" t="str">
        <x:v>Proceso de problemas</x:v>
      </x:c>
      <x:c r="Y260" s="73" t="str">
        <x:v>Causa raíz y error conocido</x:v>
      </x:c>
      <x:c r="Z260" s="73"/>
      <x:c r="AA260" s="73" t="str">
        <x:v>Preliminar</x:v>
      </x:c>
      <x:c r="AB260" s="78" t="str">
        <x:v>Estimación técnica ISM · Validar</x:v>
      </x:c>
    </x:row>
    <x:row r="261">
      <x:c r="A261" s="77" t="str">
        <x:v>Soporte y Gestión</x:v>
      </x:c>
      <x:c r="B261" s="73" t="str">
        <x:v>SUP-02</x:v>
      </x:c>
      <x:c r="C261" s="73" t="str">
        <x:v>Gestión de incidentes, solicitudes y cambios</x:v>
      </x:c>
      <x:c r="D261" s="73" t="str">
        <x:v>03 · Consolidación digital</x:v>
      </x:c>
      <x:c r="E261" s="73" t="str">
        <x:v>Roles</x:v>
      </x:c>
      <x:c r="F261" s="73" t="str">
        <x:v>SUP2-006</x:v>
      </x:c>
      <x:c r="G261" s="73" t="str">
        <x:v>Definición de roles y responsabilidades</x:v>
      </x:c>
      <x:c r="H261" s="73" t="str">
        <x:v>Rol</x:v>
      </x:c>
      <x:c r="I261" s="85" t="n">
        <x:v>5</x:v>
      </x:c>
      <x:c r="J261" s="73" t="str">
        <x:v>Sí</x:v>
      </x:c>
      <x:c r="K261" s="73" t="str">
        <x:v>Sí</x:v>
      </x:c>
      <x:c r="L261" s="85" t="n">
        <x:v>0.5</x:v>
      </x:c>
      <x:c r="M261" s="85" t="str">
        <x:v>Parcial</x:v>
      </x:c>
      <x:c r="N261" s="85" t="n">
        <x:v>0.88</x:v>
      </x:c>
      <x:c r="O261" s="85" t="n">
        <x:f>L261*N261</x:f>
        <x:v>0.44</x:v>
      </x:c>
      <x:c r="P261" s="85" t="str">
        <x:v>Alta</x:v>
      </x:c>
      <x:c r="Q261" s="85" t="n">
        <x:v>1</x:v>
      </x:c>
      <x:c r="R261" s="85" t="n">
        <x:v>1.45</x:v>
      </x:c>
      <x:c r="S261" s="85" t="n">
        <x:v>1.8</x:v>
      </x:c>
      <x:c r="T261" s="85" t="n">
        <x:f>IF(J261="Sí",I261*O261*Q261,0)</x:f>
        <x:v>2.2</x:v>
      </x:c>
      <x:c r="U261" s="85" t="n">
        <x:f>IF(J261="Sí",I261*O261*R261,0)</x:f>
        <x:v>3.19</x:v>
      </x:c>
      <x:c r="V261" s="85" t="n">
        <x:f>IF(J261="Sí",I261*O261*S261,0)</x:f>
        <x:v>3.9600000000000004</x:v>
      </x:c>
      <x:c r="W261" s="73"/>
      <x:c r="X261" s="73" t="str">
        <x:v>Matriz RACI</x:v>
      </x:c>
      <x:c r="Y261" s="73" t="str">
        <x:v>Responsables y escalamiento</x:v>
      </x:c>
      <x:c r="Z261" s="73"/>
      <x:c r="AA261" s="73" t="str">
        <x:v>Preliminar</x:v>
      </x:c>
      <x:c r="AB261" s="78" t="str">
        <x:v>Estimación técnica ISM · Validar</x:v>
      </x:c>
    </x:row>
    <x:row r="262">
      <x:c r="A262" s="77" t="str">
        <x:v>Soporte y Gestión</x:v>
      </x:c>
      <x:c r="B262" s="73" t="str">
        <x:v>SUP-02</x:v>
      </x:c>
      <x:c r="C262" s="73" t="str">
        <x:v>Gestión de incidentes, solicitudes y cambios</x:v>
      </x:c>
      <x:c r="D262" s="73" t="str">
        <x:v>03 · Consolidación digital</x:v>
      </x:c>
      <x:c r="E262" s="73" t="str">
        <x:v>Herramienta</x:v>
      </x:c>
      <x:c r="F262" s="73" t="str">
        <x:v>SUP2-007</x:v>
      </x:c>
      <x:c r="G262" s="73" t="str">
        <x:v>Configuración de herramienta o tablero</x:v>
      </x:c>
      <x:c r="H262" s="73" t="str">
        <x:v>Proceso</x:v>
      </x:c>
      <x:c r="I262" s="85" t="n">
        <x:v>4</x:v>
      </x:c>
      <x:c r="J262" s="73" t="str">
        <x:v>Sí</x:v>
      </x:c>
      <x:c r="K262" s="73" t="str">
        <x:v>No</x:v>
      </x:c>
      <x:c r="L262" s="85" t="n">
        <x:v>1.5</x:v>
      </x:c>
      <x:c r="M262" s="85" t="str">
        <x:v>Parcial</x:v>
      </x:c>
      <x:c r="N262" s="85" t="n">
        <x:v>0.88</x:v>
      </x:c>
      <x:c r="O262" s="85" t="n">
        <x:f>L262*N262</x:f>
        <x:v>1.32</x:v>
      </x:c>
      <x:c r="P262" s="85" t="str">
        <x:v>Alta</x:v>
      </x:c>
      <x:c r="Q262" s="85" t="n">
        <x:v>1</x:v>
      </x:c>
      <x:c r="R262" s="85" t="n">
        <x:v>1.45</x:v>
      </x:c>
      <x:c r="S262" s="85" t="n">
        <x:v>1.8</x:v>
      </x:c>
      <x:c r="T262" s="85" t="n">
        <x:f>IF(J262="Sí",I262*O262*Q262,0)</x:f>
        <x:v>5.28</x:v>
      </x:c>
      <x:c r="U262" s="85" t="n">
        <x:f>IF(J262="Sí",I262*O262*R262,0)</x:f>
        <x:v>7.656</x:v>
      </x:c>
      <x:c r="V262" s="85" t="n">
        <x:f>IF(J262="Sí",I262*O262*S262,0)</x:f>
        <x:v>9.504000000000001</x:v>
      </x:c>
      <x:c r="W262" s="73"/>
      <x:c r="X262" s="73" t="str">
        <x:v>Herramienta configurada</x:v>
      </x:c>
      <x:c r="Y262" s="73" t="str">
        <x:v>Campos, vistas, estados y permisos</x:v>
      </x:c>
      <x:c r="Z262" s="73"/>
      <x:c r="AA262" s="73" t="str">
        <x:v>Preliminar</x:v>
      </x:c>
      <x:c r="AB262" s="78" t="str">
        <x:v>Estimación técnica ISM · Validar</x:v>
      </x:c>
    </x:row>
    <x:row r="263">
      <x:c r="A263" s="77" t="str">
        <x:v>Soporte y Gestión</x:v>
      </x:c>
      <x:c r="B263" s="73" t="str">
        <x:v>SUP-02</x:v>
      </x:c>
      <x:c r="C263" s="73" t="str">
        <x:v>Gestión de incidentes, solicitudes y cambios</x:v>
      </x:c>
      <x:c r="D263" s="73" t="str">
        <x:v>03 · Consolidación digital</x:v>
      </x:c>
      <x:c r="E263" s="73" t="str">
        <x:v>Automatización</x:v>
      </x:c>
      <x:c r="F263" s="73" t="str">
        <x:v>SUP2-008</x:v>
      </x:c>
      <x:c r="G263" s="73" t="str">
        <x:v>Automatización de asignación y escalamiento</x:v>
      </x:c>
      <x:c r="H263" s="73" t="str">
        <x:v>Regla</x:v>
      </x:c>
      <x:c r="I263" s="85" t="n">
        <x:v>5</x:v>
      </x:c>
      <x:c r="J263" s="73" t="str">
        <x:v>No</x:v>
      </x:c>
      <x:c r="K263" s="73" t="str">
        <x:v>No</x:v>
      </x:c>
      <x:c r="L263" s="85" t="n">
        <x:v>0.75</x:v>
      </x:c>
      <x:c r="M263" s="85" t="str">
        <x:v>Parcial</x:v>
      </x:c>
      <x:c r="N263" s="85" t="n">
        <x:v>0.88</x:v>
      </x:c>
      <x:c r="O263" s="85" t="n">
        <x:f>L263*N263</x:f>
        <x:v>0.66</x:v>
      </x:c>
      <x:c r="P263" s="85" t="str">
        <x:v>Alta</x:v>
      </x:c>
      <x:c r="Q263" s="85" t="n">
        <x:v>1</x:v>
      </x:c>
      <x:c r="R263" s="85" t="n">
        <x:v>1.45</x:v>
      </x:c>
      <x:c r="S263" s="85" t="n">
        <x:v>1.8</x:v>
      </x:c>
      <x:c r="T263" s="85" t="n">
        <x:f>IF(J263="Sí",I263*O263*Q263,0)</x:f>
        <x:v>0</x:v>
      </x:c>
      <x:c r="U263" s="85" t="n">
        <x:f>IF(J263="Sí",I263*O263*R263,0)</x:f>
        <x:v>0</x:v>
      </x:c>
      <x:c r="V263" s="85" t="n">
        <x:f>IF(J263="Sí",I263*O263*S263,0)</x:f>
        <x:v>0</x:v>
      </x:c>
      <x:c r="W263" s="73"/>
      <x:c r="X263" s="73" t="str">
        <x:v>Reglas automáticas</x:v>
      </x:c>
      <x:c r="Y263" s="73" t="str">
        <x:v>Condiciones, responsables y avisos</x:v>
      </x:c>
      <x:c r="Z263" s="73"/>
      <x:c r="AA263" s="73" t="str">
        <x:v>Preliminar</x:v>
      </x:c>
      <x:c r="AB263" s="78" t="str">
        <x:v>Estimación técnica ISM · Validar</x:v>
      </x:c>
    </x:row>
    <x:row r="264">
      <x:c r="A264" s="77" t="str">
        <x:v>Soporte y Gestión</x:v>
      </x:c>
      <x:c r="B264" s="73" t="str">
        <x:v>SUP-02</x:v>
      </x:c>
      <x:c r="C264" s="73" t="str">
        <x:v>Gestión de incidentes, solicitudes y cambios</x:v>
      </x:c>
      <x:c r="D264" s="73" t="str">
        <x:v>03 · Consolidación digital</x:v>
      </x:c>
      <x:c r="E264" s="73" t="str">
        <x:v>Indicadores</x:v>
      </x:c>
      <x:c r="F264" s="73" t="str">
        <x:v>SUP2-009</x:v>
      </x:c>
      <x:c r="G264" s="73" t="str">
        <x:v>Definición de indicadores de gestión</x:v>
      </x:c>
      <x:c r="H264" s="73" t="str">
        <x:v>Indicador</x:v>
      </x:c>
      <x:c r="I264" s="85" t="n">
        <x:v>6</x:v>
      </x:c>
      <x:c r="J264" s="73" t="str">
        <x:v>Sí</x:v>
      </x:c>
      <x:c r="K264" s="73" t="str">
        <x:v>Sí</x:v>
      </x:c>
      <x:c r="L264" s="85" t="n">
        <x:v>0.5</x:v>
      </x:c>
      <x:c r="M264" s="85" t="str">
        <x:v>Parcial</x:v>
      </x:c>
      <x:c r="N264" s="85" t="n">
        <x:v>0.88</x:v>
      </x:c>
      <x:c r="O264" s="85" t="n">
        <x:f>L264*N264</x:f>
        <x:v>0.44</x:v>
      </x:c>
      <x:c r="P264" s="85" t="str">
        <x:v>Media</x:v>
      </x:c>
      <x:c r="Q264" s="85" t="n">
        <x:v>1</x:v>
      </x:c>
      <x:c r="R264" s="85" t="n">
        <x:v>1.3</x:v>
      </x:c>
      <x:c r="S264" s="85" t="n">
        <x:v>1.55</x:v>
      </x:c>
      <x:c r="T264" s="85" t="n">
        <x:f>IF(J264="Sí",I264*O264*Q264,0)</x:f>
        <x:v>2.64</x:v>
      </x:c>
      <x:c r="U264" s="85" t="n">
        <x:f>IF(J264="Sí",I264*O264*R264,0)</x:f>
        <x:v>3.4320000000000004</x:v>
      </x:c>
      <x:c r="V264" s="85" t="n">
        <x:f>IF(J264="Sí",I264*O264*S264,0)</x:f>
        <x:v>4.0920000000000005</x:v>
      </x:c>
      <x:c r="W264" s="73"/>
      <x:c r="X264" s="73" t="str">
        <x:v>Catálogo de KPIs</x:v>
      </x:c>
      <x:c r="Y264" s="73" t="str">
        <x:v>Volumen, cumplimiento y tendencia</x:v>
      </x:c>
      <x:c r="Z264" s="73"/>
      <x:c r="AA264" s="73" t="str">
        <x:v>Preliminar</x:v>
      </x:c>
      <x:c r="AB264" s="78" t="str">
        <x:v>Estimación técnica ISM · Validar</x:v>
      </x:c>
    </x:row>
    <x:row r="265">
      <x:c r="A265" s="77" t="str">
        <x:v>Soporte y Gestión</x:v>
      </x:c>
      <x:c r="B265" s="73" t="str">
        <x:v>SUP-02</x:v>
      </x:c>
      <x:c r="C265" s="73" t="str">
        <x:v>Gestión de incidentes, solicitudes y cambios</x:v>
      </x:c>
      <x:c r="D265" s="73" t="str">
        <x:v>03 · Consolidación digital</x:v>
      </x:c>
      <x:c r="E265" s="73" t="str">
        <x:v>Reportes</x:v>
      </x:c>
      <x:c r="F265" s="73" t="str">
        <x:v>SUP2-010</x:v>
      </x:c>
      <x:c r="G265" s="73" t="str">
        <x:v>Configuración de reportes operacionales avanzados</x:v>
      </x:c>
      <x:c r="H265" s="73" t="str">
        <x:v>Reporte</x:v>
      </x:c>
      <x:c r="I265" s="85" t="n">
        <x:v>2</x:v>
      </x:c>
      <x:c r="J265" s="73" t="str">
        <x:v>Sí</x:v>
      </x:c>
      <x:c r="K265" s="73" t="str">
        <x:v>No</x:v>
      </x:c>
      <x:c r="L265" s="85" t="n">
        <x:v>1.5</x:v>
      </x:c>
      <x:c r="M265" s="85" t="str">
        <x:v>Parcial</x:v>
      </x:c>
      <x:c r="N265" s="85" t="n">
        <x:v>0.88</x:v>
      </x:c>
      <x:c r="O265" s="85" t="n">
        <x:f>L265*N265</x:f>
        <x:v>1.32</x:v>
      </x:c>
      <x:c r="P265" s="85" t="str">
        <x:v>Media</x:v>
      </x:c>
      <x:c r="Q265" s="85" t="n">
        <x:v>1</x:v>
      </x:c>
      <x:c r="R265" s="85" t="n">
        <x:v>1.3</x:v>
      </x:c>
      <x:c r="S265" s="85" t="n">
        <x:v>1.55</x:v>
      </x:c>
      <x:c r="T265" s="85" t="n">
        <x:f>IF(J265="Sí",I265*O265*Q265,0)</x:f>
        <x:v>2.64</x:v>
      </x:c>
      <x:c r="U265" s="85" t="n">
        <x:f>IF(J265="Sí",I265*O265*R265,0)</x:f>
        <x:v>3.4320000000000004</x:v>
      </x:c>
      <x:c r="V265" s="85" t="n">
        <x:f>IF(J265="Sí",I265*O265*S265,0)</x:f>
        <x:v>4.0920000000000005</x:v>
      </x:c>
      <x:c r="W265" s="73"/>
      <x:c r="X265" s="73" t="str">
        <x:v>Reportes ITSM</x:v>
      </x:c>
      <x:c r="Y265" s="73" t="str">
        <x:v>Reportes periódicos por estado, SLA, carga, tendencia y cumplimiento.</x:v>
      </x:c>
      <x:c r="Z265" s="73" t="str">
        <x:v>No vuelve a incluir el reporte inicial de puesta en marcha de SUP1-010.</x:v>
      </x:c>
      <x:c r="AA265" s="73" t="str">
        <x:v>Preliminar</x:v>
      </x:c>
      <x:c r="AB265" s="78" t="str">
        <x:v>Estimación técnica ISM · Validar</x:v>
      </x:c>
    </x:row>
    <x:row r="266">
      <x:c r="A266" s="77" t="str">
        <x:v>Soporte y Gestión</x:v>
      </x:c>
      <x:c r="B266" s="73" t="str">
        <x:v>SUP-02</x:v>
      </x:c>
      <x:c r="C266" s="73" t="str">
        <x:v>Gestión de incidentes, solicitudes y cambios</x:v>
      </x:c>
      <x:c r="D266" s="73" t="str">
        <x:v>03 · Consolidación digital</x:v>
      </x:c>
      <x:c r="E266" s="73" t="str">
        <x:v>Piloto</x:v>
      </x:c>
      <x:c r="F266" s="73" t="str">
        <x:v>SUP2-011</x:v>
      </x:c>
      <x:c r="G266" s="73" t="str">
        <x:v>Piloto con casos reales</x:v>
      </x:c>
      <x:c r="H266" s="73" t="str">
        <x:v>Caso</x:v>
      </x:c>
      <x:c r="I266" s="85" t="n">
        <x:v>8</x:v>
      </x:c>
      <x:c r="J266" s="73" t="str">
        <x:v>Sí</x:v>
      </x:c>
      <x:c r="K266" s="73" t="str">
        <x:v>Sí</x:v>
      </x:c>
      <x:c r="L266" s="85" t="n">
        <x:v>0.5</x:v>
      </x:c>
      <x:c r="M266" s="85" t="str">
        <x:v>Parcial</x:v>
      </x:c>
      <x:c r="N266" s="85" t="n">
        <x:v>0.88</x:v>
      </x:c>
      <x:c r="O266" s="85" t="n">
        <x:f>L266*N266</x:f>
        <x:v>0.44</x:v>
      </x:c>
      <x:c r="P266" s="85" t="str">
        <x:v>Alta</x:v>
      </x:c>
      <x:c r="Q266" s="85" t="n">
        <x:v>1</x:v>
      </x:c>
      <x:c r="R266" s="85" t="n">
        <x:v>1.45</x:v>
      </x:c>
      <x:c r="S266" s="85" t="n">
        <x:v>1.8</x:v>
      </x:c>
      <x:c r="T266" s="85" t="n">
        <x:f>IF(J266="Sí",I266*O266*Q266,0)</x:f>
        <x:v>3.52</x:v>
      </x:c>
      <x:c r="U266" s="85" t="n">
        <x:f>IF(J266="Sí",I266*O266*R266,0)</x:f>
        <x:v>5.104</x:v>
      </x:c>
      <x:c r="V266" s="85" t="n">
        <x:f>IF(J266="Sí",I266*O266*S266,0)</x:f>
        <x:v>6.336</x:v>
      </x:c>
      <x:c r="W266" s="73"/>
      <x:c r="X266" s="73" t="str">
        <x:v>Piloto ejecutado</x:v>
      </x:c>
      <x:c r="Y266" s="73" t="str">
        <x:v>Casos y retroalimentación</x:v>
      </x:c>
      <x:c r="Z266" s="73"/>
      <x:c r="AA266" s="73" t="str">
        <x:v>Preliminar</x:v>
      </x:c>
      <x:c r="AB266" s="78" t="str">
        <x:v>Estimación técnica ISM · Validar</x:v>
      </x:c>
    </x:row>
    <x:row r="267">
      <x:c r="A267" s="77" t="str">
        <x:v>Soporte y Gestión</x:v>
      </x:c>
      <x:c r="B267" s="73" t="str">
        <x:v>SUP-02</x:v>
      </x:c>
      <x:c r="C267" s="73" t="str">
        <x:v>Gestión de incidentes, solicitudes y cambios</x:v>
      </x:c>
      <x:c r="D267" s="73" t="str">
        <x:v>03 · Consolidación digital</x:v>
      </x:c>
      <x:c r="E267" s="73" t="str">
        <x:v>Cierre</x:v>
      </x:c>
      <x:c r="F267" s="73" t="str">
        <x:v>SUP2-012</x:v>
      </x:c>
      <x:c r="G267" s="73" t="str">
        <x:v>Ajustes y documentación final</x:v>
      </x:c>
      <x:c r="H267" s="73" t="str">
        <x:v>Proyecto</x:v>
      </x:c>
      <x:c r="I267" s="85" t="n">
        <x:v>1</x:v>
      </x:c>
      <x:c r="J267" s="73" t="str">
        <x:v>Sí</x:v>
      </x:c>
      <x:c r="K267" s="73" t="str">
        <x:v>Sí</x:v>
      </x:c>
      <x:c r="L267" s="85" t="n">
        <x:v>2</x:v>
      </x:c>
      <x:c r="M267" s="85" t="str">
        <x:v>Parcial</x:v>
      </x:c>
      <x:c r="N267" s="85" t="n">
        <x:v>0.88</x:v>
      </x:c>
      <x:c r="O267" s="85" t="n">
        <x:f>L267*N267</x:f>
        <x:v>1.76</x:v>
      </x:c>
      <x:c r="P267" s="85" t="str">
        <x:v>Media</x:v>
      </x:c>
      <x:c r="Q267" s="85" t="n">
        <x:v>1</x:v>
      </x:c>
      <x:c r="R267" s="85" t="n">
        <x:v>1.3</x:v>
      </x:c>
      <x:c r="S267" s="85" t="n">
        <x:v>1.55</x:v>
      </x:c>
      <x:c r="T267" s="85" t="n">
        <x:f>IF(J267="Sí",I267*O267*Q267,0)</x:f>
        <x:v>1.76</x:v>
      </x:c>
      <x:c r="U267" s="85" t="n">
        <x:f>IF(J267="Sí",I267*O267*R267,0)</x:f>
        <x:v>2.2880000000000003</x:v>
      </x:c>
      <x:c r="V267" s="85" t="n">
        <x:f>IF(J267="Sí",I267*O267*S267,0)</x:f>
        <x:v>2.728</x:v>
      </x:c>
      <x:c r="W267" s="73"/>
      <x:c r="X267" s="73" t="str">
        <x:v>Procesos entregados</x:v>
      </x:c>
      <x:c r="Y267" s="73" t="str">
        <x:v>Procedimientos y mejoras</x:v>
      </x:c>
      <x:c r="Z267" s="73"/>
      <x:c r="AA267" s="73" t="str">
        <x:v>Preliminar</x:v>
      </x:c>
      <x:c r="AB267" s="78" t="str">
        <x:v>Estimación técnica ISM · Validar</x:v>
      </x:c>
    </x:row>
    <x:row r="268">
      <x:c r="A268" s="77" t="str">
        <x:v>Soporte y Gestión</x:v>
      </x:c>
      <x:c r="B268" s="73" t="str">
        <x:v>SUP-03</x:v>
      </x:c>
      <x:c r="C268" s="73" t="str">
        <x:v>Bolsa mensual de soporte evolutivo</x:v>
      </x:c>
      <x:c r="D268" s="73" t="str">
        <x:v>03 · Consolidación digital</x:v>
      </x:c>
      <x:c r="E268" s="73" t="str">
        <x:v>Gestión</x:v>
      </x:c>
      <x:c r="F268" s="73" t="str">
        <x:v>SUP3-001</x:v>
      </x:c>
      <x:c r="G268" s="73" t="str">
        <x:v>Reunión de priorización y planificación</x:v>
      </x:c>
      <x:c r="H268" s="73" t="str">
        <x:v>Sesión</x:v>
      </x:c>
      <x:c r="I268" s="85" t="n">
        <x:v>4</x:v>
      </x:c>
      <x:c r="J268" s="73" t="str">
        <x:v>Sí</x:v>
      </x:c>
      <x:c r="K268" s="73" t="str">
        <x:v>Sí</x:v>
      </x:c>
      <x:c r="L268" s="85" t="n">
        <x:v>0.5</x:v>
      </x:c>
      <x:c r="M268" s="85" t="str">
        <x:v>Parcial</x:v>
      </x:c>
      <x:c r="N268" s="85" t="n">
        <x:v>0.88</x:v>
      </x:c>
      <x:c r="O268" s="85" t="n">
        <x:f>L268*N268</x:f>
        <x:v>0.44</x:v>
      </x:c>
      <x:c r="P268" s="85" t="str">
        <x:v>Media</x:v>
      </x:c>
      <x:c r="Q268" s="85" t="n">
        <x:v>1</x:v>
      </x:c>
      <x:c r="R268" s="85" t="n">
        <x:v>1.3</x:v>
      </x:c>
      <x:c r="S268" s="85" t="n">
        <x:v>1.55</x:v>
      </x:c>
      <x:c r="T268" s="85" t="n">
        <x:f>IF(J268="Sí",I268*O268*Q268,0)</x:f>
        <x:v>1.76</x:v>
      </x:c>
      <x:c r="U268" s="85" t="n">
        <x:f>IF(J268="Sí",I268*O268*R268,0)</x:f>
        <x:v>2.2880000000000003</x:v>
      </x:c>
      <x:c r="V268" s="85" t="n">
        <x:f>IF(J268="Sí",I268*O268*S268,0)</x:f>
        <x:v>2.728</x:v>
      </x:c>
      <x:c r="W268" s="73"/>
      <x:c r="X268" s="73" t="str">
        <x:v>Plan mensual</x:v>
      </x:c>
      <x:c r="Y268" s="73" t="str">
        <x:v>Prioridades, responsables y consumo</x:v>
      </x:c>
      <x:c r="Z268" s="73"/>
      <x:c r="AA268" s="73" t="str">
        <x:v>Preliminar</x:v>
      </x:c>
      <x:c r="AB268" s="78" t="str">
        <x:v>Estimación técnica ISM · Validar</x:v>
      </x:c>
    </x:row>
    <x:row r="269">
      <x:c r="A269" s="77" t="str">
        <x:v>Soporte y Gestión</x:v>
      </x:c>
      <x:c r="B269" s="73" t="str">
        <x:v>SUP-03</x:v>
      </x:c>
      <x:c r="C269" s="73" t="str">
        <x:v>Bolsa mensual de soporte evolutivo</x:v>
      </x:c>
      <x:c r="D269" s="73" t="str">
        <x:v>03 · Consolidación digital</x:v>
      </x:c>
      <x:c r="E269" s="73" t="str">
        <x:v>Gestión</x:v>
      </x:c>
      <x:c r="F269" s="73" t="str">
        <x:v>SUP3-002</x:v>
      </x:c>
      <x:c r="G269" s="73" t="str">
        <x:v>Triage de solicitudes e incidentes</x:v>
      </x:c>
      <x:c r="H269" s="73" t="str">
        <x:v>Ticket</x:v>
      </x:c>
      <x:c r="I269" s="85" t="n">
        <x:v>8</x:v>
      </x:c>
      <x:c r="J269" s="73" t="str">
        <x:v>Sí</x:v>
      </x:c>
      <x:c r="K269" s="73" t="str">
        <x:v>Sí</x:v>
      </x:c>
      <x:c r="L269" s="85" t="n">
        <x:v>0.25</x:v>
      </x:c>
      <x:c r="M269" s="85" t="str">
        <x:v>Parcial</x:v>
      </x:c>
      <x:c r="N269" s="85" t="n">
        <x:v>0.88</x:v>
      </x:c>
      <x:c r="O269" s="85" t="n">
        <x:f>L269*N269</x:f>
        <x:v>0.22</x:v>
      </x:c>
      <x:c r="P269" s="85" t="str">
        <x:v>Media</x:v>
      </x:c>
      <x:c r="Q269" s="85" t="n">
        <x:v>1</x:v>
      </x:c>
      <x:c r="R269" s="85" t="n">
        <x:v>1.3</x:v>
      </x:c>
      <x:c r="S269" s="85" t="n">
        <x:v>1.55</x:v>
      </x:c>
      <x:c r="T269" s="85" t="n">
        <x:f>IF(J269="Sí",I269*O269*Q269,0)</x:f>
        <x:v>1.76</x:v>
      </x:c>
      <x:c r="U269" s="85" t="n">
        <x:f>IF(J269="Sí",I269*O269*R269,0)</x:f>
        <x:v>2.2880000000000003</x:v>
      </x:c>
      <x:c r="V269" s="85" t="n">
        <x:f>IF(J269="Sí",I269*O269*S269,0)</x:f>
        <x:v>2.728</x:v>
      </x:c>
      <x:c r="W269" s="73"/>
      <x:c r="X269" s="73" t="str">
        <x:v>Tickets clasificados</x:v>
      </x:c>
      <x:c r="Y269" s="73" t="str">
        <x:v>Impacto, urgencia y estimación</x:v>
      </x:c>
      <x:c r="Z269" s="73"/>
      <x:c r="AA269" s="73" t="str">
        <x:v>Preliminar</x:v>
      </x:c>
      <x:c r="AB269" s="78" t="str">
        <x:v>Estimación técnica ISM · Validar</x:v>
      </x:c>
    </x:row>
    <x:row r="270">
      <x:c r="A270" s="77" t="str">
        <x:v>Soporte y Gestión</x:v>
      </x:c>
      <x:c r="B270" s="73" t="str">
        <x:v>SUP-03</x:v>
      </x:c>
      <x:c r="C270" s="73" t="str">
        <x:v>Bolsa mensual de soporte evolutivo</x:v>
      </x:c>
      <x:c r="D270" s="73" t="str">
        <x:v>03 · Consolidación digital</x:v>
      </x:c>
      <x:c r="E270" s="73" t="str">
        <x:v>Soporte</x:v>
      </x:c>
      <x:c r="F270" s="73" t="str">
        <x:v>SUP3-003</x:v>
      </x:c>
      <x:c r="G270" s="73" t="str">
        <x:v>Atención de incidente menor</x:v>
      </x:c>
      <x:c r="H270" s="73" t="str">
        <x:v>Ticket</x:v>
      </x:c>
      <x:c r="I270" s="85" t="n">
        <x:v>4</x:v>
      </x:c>
      <x:c r="J270" s="73" t="str">
        <x:v>Sí</x:v>
      </x:c>
      <x:c r="K270" s="73" t="str">
        <x:v>No</x:v>
      </x:c>
      <x:c r="L270" s="85" t="n">
        <x:v>1.5</x:v>
      </x:c>
      <x:c r="M270" s="85" t="str">
        <x:v>Parcial</x:v>
      </x:c>
      <x:c r="N270" s="85" t="n">
        <x:v>0.88</x:v>
      </x:c>
      <x:c r="O270" s="85" t="n">
        <x:f>L270*N270</x:f>
        <x:v>1.32</x:v>
      </x:c>
      <x:c r="P270" s="85" t="str">
        <x:v>Media</x:v>
      </x:c>
      <x:c r="Q270" s="85" t="n">
        <x:v>1</x:v>
      </x:c>
      <x:c r="R270" s="85" t="n">
        <x:v>1.3</x:v>
      </x:c>
      <x:c r="S270" s="85" t="n">
        <x:v>1.55</x:v>
      </x:c>
      <x:c r="T270" s="85" t="n">
        <x:f>IF(J270="Sí",I270*O270*Q270,0)</x:f>
        <x:v>5.28</x:v>
      </x:c>
      <x:c r="U270" s="85" t="n">
        <x:f>IF(J270="Sí",I270*O270*R270,0)</x:f>
        <x:v>6.864000000000001</x:v>
      </x:c>
      <x:c r="V270" s="85" t="n">
        <x:f>IF(J270="Sí",I270*O270*S270,0)</x:f>
        <x:v>8.184000000000001</x:v>
      </x:c>
      <x:c r="W270" s="73"/>
      <x:c r="X270" s="73" t="str">
        <x:v>Incidentes resueltos</x:v>
      </x:c>
      <x:c r="Y270" s="73" t="str">
        <x:v>Diagnóstico, corrección y cierre</x:v>
      </x:c>
      <x:c r="Z270" s="73"/>
      <x:c r="AA270" s="73" t="str">
        <x:v>Preliminar</x:v>
      </x:c>
      <x:c r="AB270" s="78" t="str">
        <x:v>Estimación técnica ISM · Validar</x:v>
      </x:c>
    </x:row>
    <x:row r="271">
      <x:c r="A271" s="77" t="str">
        <x:v>Soporte y Gestión</x:v>
      </x:c>
      <x:c r="B271" s="73" t="str">
        <x:v>SUP-03</x:v>
      </x:c>
      <x:c r="C271" s="73" t="str">
        <x:v>Bolsa mensual de soporte evolutivo</x:v>
      </x:c>
      <x:c r="D271" s="73" t="str">
        <x:v>03 · Consolidación digital</x:v>
      </x:c>
      <x:c r="E271" s="73" t="str">
        <x:v>Soporte</x:v>
      </x:c>
      <x:c r="F271" s="73" t="str">
        <x:v>SUP3-004</x:v>
      </x:c>
      <x:c r="G271" s="73" t="str">
        <x:v>Atención de solicitud operativa</x:v>
      </x:c>
      <x:c r="H271" s="73" t="str">
        <x:v>Ticket</x:v>
      </x:c>
      <x:c r="I271" s="85" t="n">
        <x:v>4</x:v>
      </x:c>
      <x:c r="J271" s="73" t="str">
        <x:v>Sí</x:v>
      </x:c>
      <x:c r="K271" s="73" t="str">
        <x:v>No</x:v>
      </x:c>
      <x:c r="L271" s="85" t="n">
        <x:v>1</x:v>
      </x:c>
      <x:c r="M271" s="85" t="str">
        <x:v>Parcial</x:v>
      </x:c>
      <x:c r="N271" s="85" t="n">
        <x:v>0.88</x:v>
      </x:c>
      <x:c r="O271" s="85" t="n">
        <x:f>L271*N271</x:f>
        <x:v>0.88</x:v>
      </x:c>
      <x:c r="P271" s="85" t="str">
        <x:v>Media</x:v>
      </x:c>
      <x:c r="Q271" s="85" t="n">
        <x:v>1</x:v>
      </x:c>
      <x:c r="R271" s="85" t="n">
        <x:v>1.3</x:v>
      </x:c>
      <x:c r="S271" s="85" t="n">
        <x:v>1.55</x:v>
      </x:c>
      <x:c r="T271" s="85" t="n">
        <x:f>IF(J271="Sí",I271*O271*Q271,0)</x:f>
        <x:v>3.52</x:v>
      </x:c>
      <x:c r="U271" s="85" t="n">
        <x:f>IF(J271="Sí",I271*O271*R271,0)</x:f>
        <x:v>4.5760000000000005</x:v>
      </x:c>
      <x:c r="V271" s="85" t="n">
        <x:f>IF(J271="Sí",I271*O271*S271,0)</x:f>
        <x:v>5.456</x:v>
      </x:c>
      <x:c r="W271" s="73"/>
      <x:c r="X271" s="73" t="str">
        <x:v>Solicitudes atendidas</x:v>
      </x:c>
      <x:c r="Y271" s="73" t="str">
        <x:v>Configuración o apoyo funcional</x:v>
      </x:c>
      <x:c r="Z271" s="73"/>
      <x:c r="AA271" s="73" t="str">
        <x:v>Preliminar</x:v>
      </x:c>
      <x:c r="AB271" s="78" t="str">
        <x:v>Estimación técnica ISM · Validar</x:v>
      </x:c>
    </x:row>
    <x:row r="272">
      <x:c r="A272" s="77" t="str">
        <x:v>Soporte y Gestión</x:v>
      </x:c>
      <x:c r="B272" s="73" t="str">
        <x:v>SUP-03</x:v>
      </x:c>
      <x:c r="C272" s="73" t="str">
        <x:v>Bolsa mensual de soporte evolutivo</x:v>
      </x:c>
      <x:c r="D272" s="73" t="str">
        <x:v>03 · Consolidación digital</x:v>
      </x:c>
      <x:c r="E272" s="73" t="str">
        <x:v>Evolución</x:v>
      </x:c>
      <x:c r="F272" s="73" t="str">
        <x:v>SUP3-005</x:v>
      </x:c>
      <x:c r="G272" s="73" t="str">
        <x:v>Cambio menor de aplicación</x:v>
      </x:c>
      <x:c r="H272" s="73" t="str">
        <x:v>Cambio</x:v>
      </x:c>
      <x:c r="I272" s="85" t="n">
        <x:v>2</x:v>
      </x:c>
      <x:c r="J272" s="73" t="str">
        <x:v>Sí</x:v>
      </x:c>
      <x:c r="K272" s="73" t="str">
        <x:v>No</x:v>
      </x:c>
      <x:c r="L272" s="85" t="n">
        <x:v>2</x:v>
      </x:c>
      <x:c r="M272" s="85" t="str">
        <x:v>Parcial</x:v>
      </x:c>
      <x:c r="N272" s="85" t="n">
        <x:v>0.88</x:v>
      </x:c>
      <x:c r="O272" s="85" t="n">
        <x:f>L272*N272</x:f>
        <x:v>1.76</x:v>
      </x:c>
      <x:c r="P272" s="85" t="str">
        <x:v>Alta</x:v>
      </x:c>
      <x:c r="Q272" s="85" t="n">
        <x:v>1</x:v>
      </x:c>
      <x:c r="R272" s="85" t="n">
        <x:v>1.45</x:v>
      </x:c>
      <x:c r="S272" s="85" t="n">
        <x:v>1.8</x:v>
      </x:c>
      <x:c r="T272" s="85" t="n">
        <x:f>IF(J272="Sí",I272*O272*Q272,0)</x:f>
        <x:v>3.52</x:v>
      </x:c>
      <x:c r="U272" s="85" t="n">
        <x:f>IF(J272="Sí",I272*O272*R272,0)</x:f>
        <x:v>5.104</x:v>
      </x:c>
      <x:c r="V272" s="85" t="n">
        <x:f>IF(J272="Sí",I272*O272*S272,0)</x:f>
        <x:v>6.336</x:v>
      </x:c>
      <x:c r="W272" s="73"/>
      <x:c r="X272" s="73" t="str">
        <x:v>Cambios menores</x:v>
      </x:c>
      <x:c r="Y272" s="73" t="str">
        <x:v>Ajuste acotado con pruebas</x:v>
      </x:c>
      <x:c r="Z272" s="73"/>
      <x:c r="AA272" s="73" t="str">
        <x:v>Preliminar</x:v>
      </x:c>
      <x:c r="AB272" s="78" t="str">
        <x:v>Estimación técnica ISM · Validar</x:v>
      </x:c>
    </x:row>
    <x:row r="273">
      <x:c r="A273" s="77" t="str">
        <x:v>Soporte y Gestión</x:v>
      </x:c>
      <x:c r="B273" s="73" t="str">
        <x:v>SUP-03</x:v>
      </x:c>
      <x:c r="C273" s="73" t="str">
        <x:v>Bolsa mensual de soporte evolutivo</x:v>
      </x:c>
      <x:c r="D273" s="73" t="str">
        <x:v>03 · Consolidación digital</x:v>
      </x:c>
      <x:c r="E273" s="73" t="str">
        <x:v>Prevención</x:v>
      </x:c>
      <x:c r="F273" s="73" t="str">
        <x:v>SUP3-006</x:v>
      </x:c>
      <x:c r="G273" s="73" t="str">
        <x:v>Revisión preventiva de logs y alertas</x:v>
      </x:c>
      <x:c r="H273" s="73" t="str">
        <x:v>Sesión</x:v>
      </x:c>
      <x:c r="I273" s="85" t="n">
        <x:v>4</x:v>
      </x:c>
      <x:c r="J273" s="73" t="str">
        <x:v>No</x:v>
      </x:c>
      <x:c r="K273" s="73" t="str">
        <x:v>No</x:v>
      </x:c>
      <x:c r="L273" s="85" t="n">
        <x:v>0.5</x:v>
      </x:c>
      <x:c r="M273" s="85" t="str">
        <x:v>Parcial</x:v>
      </x:c>
      <x:c r="N273" s="85" t="n">
        <x:v>0.88</x:v>
      </x:c>
      <x:c r="O273" s="85" t="n">
        <x:f>L273*N273</x:f>
        <x:v>0.44</x:v>
      </x:c>
      <x:c r="P273" s="85" t="str">
        <x:v>Media</x:v>
      </x:c>
      <x:c r="Q273" s="85" t="n">
        <x:v>1</x:v>
      </x:c>
      <x:c r="R273" s="85" t="n">
        <x:v>1.3</x:v>
      </x:c>
      <x:c r="S273" s="85" t="n">
        <x:v>1.55</x:v>
      </x:c>
      <x:c r="T273" s="85" t="n">
        <x:f>IF(J273="Sí",I273*O273*Q273,0)</x:f>
        <x:v>0</x:v>
      </x:c>
      <x:c r="U273" s="85" t="n">
        <x:f>IF(J273="Sí",I273*O273*R273,0)</x:f>
        <x:v>0</x:v>
      </x:c>
      <x:c r="V273" s="85" t="n">
        <x:f>IF(J273="Sí",I273*O273*S273,0)</x:f>
        <x:v>0</x:v>
      </x:c>
      <x:c r="W273" s="73"/>
      <x:c r="X273" s="73" t="str">
        <x:v>Revisión preventiva</x:v>
      </x:c>
      <x:c r="Y273" s="73" t="str">
        <x:v>Eventos y riesgos recurrentes</x:v>
      </x:c>
      <x:c r="Z273" s="73"/>
      <x:c r="AA273" s="73" t="str">
        <x:v>Preliminar</x:v>
      </x:c>
      <x:c r="AB273" s="78" t="str">
        <x:v>Estimación técnica ISM · Validar</x:v>
      </x:c>
    </x:row>
    <x:row r="274">
      <x:c r="A274" s="77" t="str">
        <x:v>Soporte y Gestión</x:v>
      </x:c>
      <x:c r="B274" s="73" t="str">
        <x:v>SUP-03</x:v>
      </x:c>
      <x:c r="C274" s="73" t="str">
        <x:v>Bolsa mensual de soporte evolutivo</x:v>
      </x:c>
      <x:c r="D274" s="73" t="str">
        <x:v>03 · Consolidación digital</x:v>
      </x:c>
      <x:c r="E274" s="73" t="str">
        <x:v>Documentación</x:v>
      </x:c>
      <x:c r="F274" s="73" t="str">
        <x:v>SUP3-007</x:v>
      </x:c>
      <x:c r="G274" s="73" t="str">
        <x:v>Actualización de documentación</x:v>
      </x:c>
      <x:c r="H274" s="73" t="str">
        <x:v>Documento</x:v>
      </x:c>
      <x:c r="I274" s="85" t="n">
        <x:v>1</x:v>
      </x:c>
      <x:c r="J274" s="73" t="str">
        <x:v>Sí</x:v>
      </x:c>
      <x:c r="K274" s="73" t="str">
        <x:v>No</x:v>
      </x:c>
      <x:c r="L274" s="85" t="n">
        <x:v>1</x:v>
      </x:c>
      <x:c r="M274" s="85" t="str">
        <x:v>Parcial</x:v>
      </x:c>
      <x:c r="N274" s="85" t="n">
        <x:v>0.88</x:v>
      </x:c>
      <x:c r="O274" s="85" t="n">
        <x:f>L274*N274</x:f>
        <x:v>0.88</x:v>
      </x:c>
      <x:c r="P274" s="85" t="str">
        <x:v>Baja</x:v>
      </x:c>
      <x:c r="Q274" s="85" t="n">
        <x:v>1</x:v>
      </x:c>
      <x:c r="R274" s="85" t="n">
        <x:v>1.15</x:v>
      </x:c>
      <x:c r="S274" s="85" t="n">
        <x:v>1.3</x:v>
      </x:c>
      <x:c r="T274" s="85" t="n">
        <x:f>IF(J274="Sí",I274*O274*Q274,0)</x:f>
        <x:v>0.88</x:v>
      </x:c>
      <x:c r="U274" s="85" t="n">
        <x:f>IF(J274="Sí",I274*O274*R274,0)</x:f>
        <x:v>1.012</x:v>
      </x:c>
      <x:c r="V274" s="85" t="n">
        <x:f>IF(J274="Sí",I274*O274*S274,0)</x:f>
        <x:v>1.1440000000000001</x:v>
      </x:c>
      <x:c r="W274" s="73"/>
      <x:c r="X274" s="73" t="str">
        <x:v>Documentación actualizada</x:v>
      </x:c>
      <x:c r="Y274" s="73" t="str">
        <x:v>Cambios y soluciones recurrentes</x:v>
      </x:c>
      <x:c r="Z274" s="73"/>
      <x:c r="AA274" s="73" t="str">
        <x:v>Preliminar</x:v>
      </x:c>
      <x:c r="AB274" s="78" t="str">
        <x:v>Estimación técnica ISM · Validar</x:v>
      </x:c>
    </x:row>
    <x:row r="275">
      <x:c r="A275" s="77" t="str">
        <x:v>Soporte y Gestión</x:v>
      </x:c>
      <x:c r="B275" s="73" t="str">
        <x:v>SUP-03</x:v>
      </x:c>
      <x:c r="C275" s="73" t="str">
        <x:v>Bolsa mensual de soporte evolutivo</x:v>
      </x:c>
      <x:c r="D275" s="73" t="str">
        <x:v>03 · Consolidación digital</x:v>
      </x:c>
      <x:c r="E275" s="73" t="str">
        <x:v>Reporte</x:v>
      </x:c>
      <x:c r="F275" s="73" t="str">
        <x:v>SUP3-008</x:v>
      </x:c>
      <x:c r="G275" s="73" t="str">
        <x:v>Reporte mensual de servicio</x:v>
      </x:c>
      <x:c r="H275" s="73" t="str">
        <x:v>Reporte</x:v>
      </x:c>
      <x:c r="I275" s="85" t="n">
        <x:v>1</x:v>
      </x:c>
      <x:c r="J275" s="73" t="str">
        <x:v>Sí</x:v>
      </x:c>
      <x:c r="K275" s="73" t="str">
        <x:v>Sí</x:v>
      </x:c>
      <x:c r="L275" s="85" t="n">
        <x:v>1.5</x:v>
      </x:c>
      <x:c r="M275" s="85" t="str">
        <x:v>Parcial</x:v>
      </x:c>
      <x:c r="N275" s="85" t="n">
        <x:v>0.88</x:v>
      </x:c>
      <x:c r="O275" s="85" t="n">
        <x:f>L275*N275</x:f>
        <x:v>1.32</x:v>
      </x:c>
      <x:c r="P275" s="85" t="str">
        <x:v>Media</x:v>
      </x:c>
      <x:c r="Q275" s="85" t="n">
        <x:v>1</x:v>
      </x:c>
      <x:c r="R275" s="85" t="n">
        <x:v>1.3</x:v>
      </x:c>
      <x:c r="S275" s="85" t="n">
        <x:v>1.55</x:v>
      </x:c>
      <x:c r="T275" s="85" t="n">
        <x:f>IF(J275="Sí",I275*O275*Q275,0)</x:f>
        <x:v>1.32</x:v>
      </x:c>
      <x:c r="U275" s="85" t="n">
        <x:f>IF(J275="Sí",I275*O275*R275,0)</x:f>
        <x:v>1.7160000000000002</x:v>
      </x:c>
      <x:c r="V275" s="85" t="n">
        <x:f>IF(J275="Sí",I275*O275*S275,0)</x:f>
        <x:v>2.0460000000000003</x:v>
      </x:c>
      <x:c r="W275" s="73"/>
      <x:c r="X275" s="73" t="str">
        <x:v>Reporte mensual</x:v>
      </x:c>
      <x:c r="Y275" s="73" t="str">
        <x:v>Consumo, cumplimiento y recomendaciones</x:v>
      </x:c>
      <x:c r="Z275" s="73"/>
      <x:c r="AA275" s="73" t="str">
        <x:v>Preliminar</x:v>
      </x:c>
      <x:c r="AB275" s="78" t="str">
        <x:v>Estimación técnica ISM · Validar</x:v>
      </x:c>
    </x:row>
    <x:row r="276">
      <x:c r="A276" s="77" t="str">
        <x:v>Soporte y Gestión</x:v>
      </x:c>
      <x:c r="B276" s="73" t="str">
        <x:v>SUP-03</x:v>
      </x:c>
      <x:c r="C276" s="73" t="str">
        <x:v>Bolsa mensual de soporte evolutivo</x:v>
      </x:c>
      <x:c r="D276" s="73" t="str">
        <x:v>03 · Consolidación digital</x:v>
      </x:c>
      <x:c r="E276" s="73" t="str">
        <x:v>Coordinación</x:v>
      </x:c>
      <x:c r="F276" s="73" t="str">
        <x:v>SUP3-009</x:v>
      </x:c>
      <x:c r="G276" s="73" t="str">
        <x:v>Gestión de pendientes y terceros</x:v>
      </x:c>
      <x:c r="H276" s="73" t="str">
        <x:v>Hora</x:v>
      </x:c>
      <x:c r="I276" s="85" t="n">
        <x:v>2</x:v>
      </x:c>
      <x:c r="J276" s="73" t="str">
        <x:v>Sí</x:v>
      </x:c>
      <x:c r="K276" s="73" t="str">
        <x:v>No</x:v>
      </x:c>
      <x:c r="L276" s="85" t="n">
        <x:v>1</x:v>
      </x:c>
      <x:c r="M276" s="85" t="str">
        <x:v>Parcial</x:v>
      </x:c>
      <x:c r="N276" s="85" t="n">
        <x:v>0.88</x:v>
      </x:c>
      <x:c r="O276" s="85" t="n">
        <x:f>L276*N276</x:f>
        <x:v>0.88</x:v>
      </x:c>
      <x:c r="P276" s="85" t="str">
        <x:v>Media</x:v>
      </x:c>
      <x:c r="Q276" s="85" t="n">
        <x:v>1</x:v>
      </x:c>
      <x:c r="R276" s="85" t="n">
        <x:v>1.3</x:v>
      </x:c>
      <x:c r="S276" s="85" t="n">
        <x:v>1.55</x:v>
      </x:c>
      <x:c r="T276" s="85" t="n">
        <x:f>IF(J276="Sí",I276*O276*Q276,0)</x:f>
        <x:v>1.76</x:v>
      </x:c>
      <x:c r="U276" s="85" t="n">
        <x:f>IF(J276="Sí",I276*O276*R276,0)</x:f>
        <x:v>2.2880000000000003</x:v>
      </x:c>
      <x:c r="V276" s="85" t="n">
        <x:f>IF(J276="Sí",I276*O276*S276,0)</x:f>
        <x:v>2.728</x:v>
      </x:c>
      <x:c r="W276" s="73"/>
      <x:c r="X276" s="73" t="str">
        <x:v>Seguimiento</x:v>
      </x:c>
      <x:c r="Y276" s="73" t="str">
        <x:v>Dependencias, accesos y coordinaciones</x:v>
      </x:c>
      <x:c r="Z276" s="73"/>
      <x:c r="AA276" s="73" t="str">
        <x:v>Preliminar</x:v>
      </x:c>
      <x:c r="AB276" s="78" t="str">
        <x:v>Estimación técnica ISM · Validar</x:v>
      </x:c>
    </x:row>
    <x:row r="277">
      <x:c r="A277" s="77" t="str">
        <x:v>Soporte y Gestión</x:v>
      </x:c>
      <x:c r="B277" s="73" t="str">
        <x:v>SUP-04</x:v>
      </x:c>
      <x:c r="C277" s="73" t="str">
        <x:v>Documentación y base de conocimiento</x:v>
      </x:c>
      <x:c r="D277" s="73" t="str">
        <x:v>02 · Optimización digital</x:v>
      </x:c>
      <x:c r="E277" s="73" t="str">
        <x:v>Inventario</x:v>
      </x:c>
      <x:c r="F277" s="73" t="str">
        <x:v>SUP4-001</x:v>
      </x:c>
      <x:c r="G277" s="73" t="str">
        <x:v>Inventario de procesos y documentos existentes</x:v>
      </x:c>
      <x:c r="H277" s="73" t="str">
        <x:v>Fuente</x:v>
      </x:c>
      <x:c r="I277" s="85" t="n">
        <x:v>6</x:v>
      </x:c>
      <x:c r="J277" s="73" t="str">
        <x:v>Sí</x:v>
      </x:c>
      <x:c r="K277" s="73" t="str">
        <x:v>Sí</x:v>
      </x:c>
      <x:c r="L277" s="85" t="n">
        <x:v>0.5</x:v>
      </x:c>
      <x:c r="M277" s="85" t="str">
        <x:v>Parcial</x:v>
      </x:c>
      <x:c r="N277" s="85" t="n">
        <x:v>0.88</x:v>
      </x:c>
      <x:c r="O277" s="85" t="n">
        <x:f>L277*N277</x:f>
        <x:v>0.44</x:v>
      </x:c>
      <x:c r="P277" s="85" t="str">
        <x:v>Media</x:v>
      </x:c>
      <x:c r="Q277" s="85" t="n">
        <x:v>1</x:v>
      </x:c>
      <x:c r="R277" s="85" t="n">
        <x:v>1.3</x:v>
      </x:c>
      <x:c r="S277" s="85" t="n">
        <x:v>1.55</x:v>
      </x:c>
      <x:c r="T277" s="85" t="n">
        <x:f>IF(J277="Sí",I277*O277*Q277,0)</x:f>
        <x:v>2.64</x:v>
      </x:c>
      <x:c r="U277" s="85" t="n">
        <x:f>IF(J277="Sí",I277*O277*R277,0)</x:f>
        <x:v>3.4320000000000004</x:v>
      </x:c>
      <x:c r="V277" s="85" t="n">
        <x:f>IF(J277="Sí",I277*O277*S277,0)</x:f>
        <x:v>4.0920000000000005</x:v>
      </x:c>
      <x:c r="W277" s="73"/>
      <x:c r="X277" s="73" t="str">
        <x:v>Inventario documental</x:v>
      </x:c>
      <x:c r="Y277" s="73" t="str">
        <x:v>Documentos, responsables y vigencia</x:v>
      </x:c>
      <x:c r="Z277" s="73"/>
      <x:c r="AA277" s="73" t="str">
        <x:v>Preliminar</x:v>
      </x:c>
      <x:c r="AB277" s="78" t="str">
        <x:v>Estimación técnica ISM · Validar</x:v>
      </x:c>
    </x:row>
    <x:row r="278">
      <x:c r="A278" s="77" t="str">
        <x:v>Soporte y Gestión</x:v>
      </x:c>
      <x:c r="B278" s="73" t="str">
        <x:v>SUP-04</x:v>
      </x:c>
      <x:c r="C278" s="73" t="str">
        <x:v>Documentación y base de conocimiento</x:v>
      </x:c>
      <x:c r="D278" s="73" t="str">
        <x:v>02 · Optimización digital</x:v>
      </x:c>
      <x:c r="E278" s="73" t="str">
        <x:v>Diseño</x:v>
      </x:c>
      <x:c r="F278" s="73" t="str">
        <x:v>SUP4-002</x:v>
      </x:c>
      <x:c r="G278" s="73" t="str">
        <x:v>Diseño de estructura documental</x:v>
      </x:c>
      <x:c r="H278" s="73" t="str">
        <x:v>Proyecto</x:v>
      </x:c>
      <x:c r="I278" s="85" t="n">
        <x:v>1</x:v>
      </x:c>
      <x:c r="J278" s="73" t="str">
        <x:v>Sí</x:v>
      </x:c>
      <x:c r="K278" s="73" t="str">
        <x:v>Sí</x:v>
      </x:c>
      <x:c r="L278" s="85" t="n">
        <x:v>1.5</x:v>
      </x:c>
      <x:c r="M278" s="85" t="str">
        <x:v>Parcial</x:v>
      </x:c>
      <x:c r="N278" s="85" t="n">
        <x:v>0.88</x:v>
      </x:c>
      <x:c r="O278" s="85" t="n">
        <x:f>L278*N278</x:f>
        <x:v>1.32</x:v>
      </x:c>
      <x:c r="P278" s="85" t="str">
        <x:v>Media</x:v>
      </x:c>
      <x:c r="Q278" s="85" t="n">
        <x:v>1</x:v>
      </x:c>
      <x:c r="R278" s="85" t="n">
        <x:v>1.3</x:v>
      </x:c>
      <x:c r="S278" s="85" t="n">
        <x:v>1.55</x:v>
      </x:c>
      <x:c r="T278" s="85" t="n">
        <x:f>IF(J278="Sí",I278*O278*Q278,0)</x:f>
        <x:v>1.32</x:v>
      </x:c>
      <x:c r="U278" s="85" t="n">
        <x:f>IF(J278="Sí",I278*O278*R278,0)</x:f>
        <x:v>1.7160000000000002</x:v>
      </x:c>
      <x:c r="V278" s="85" t="n">
        <x:f>IF(J278="Sí",I278*O278*S278,0)</x:f>
        <x:v>2.0460000000000003</x:v>
      </x:c>
      <x:c r="W278" s="73"/>
      <x:c r="X278" s="73" t="str">
        <x:v>Arquitectura documental</x:v>
      </x:c>
      <x:c r="Y278" s="73" t="str">
        <x:v>Categorías, nomenclatura y acceso</x:v>
      </x:c>
      <x:c r="Z278" s="73"/>
      <x:c r="AA278" s="73" t="str">
        <x:v>Preliminar</x:v>
      </x:c>
      <x:c r="AB278" s="78" t="str">
        <x:v>Estimación técnica ISM · Validar</x:v>
      </x:c>
    </x:row>
    <x:row r="279">
      <x:c r="A279" s="77" t="str">
        <x:v>Soporte y Gestión</x:v>
      </x:c>
      <x:c r="B279" s="73" t="str">
        <x:v>SUP-04</x:v>
      </x:c>
      <x:c r="C279" s="73" t="str">
        <x:v>Documentación y base de conocimiento</x:v>
      </x:c>
      <x:c r="D279" s="73" t="str">
        <x:v>02 · Optimización digital</x:v>
      </x:c>
      <x:c r="E279" s="73" t="str">
        <x:v>Gobierno</x:v>
      </x:c>
      <x:c r="F279" s="73" t="str">
        <x:v>SUP4-003</x:v>
      </x:c>
      <x:c r="G279" s="73" t="str">
        <x:v>Definición de control de versiones y aprobación</x:v>
      </x:c>
      <x:c r="H279" s="73" t="str">
        <x:v>Proyecto</x:v>
      </x:c>
      <x:c r="I279" s="85" t="n">
        <x:v>1</x:v>
      </x:c>
      <x:c r="J279" s="73" t="str">
        <x:v>Sí</x:v>
      </x:c>
      <x:c r="K279" s="73" t="str">
        <x:v>Sí</x:v>
      </x:c>
      <x:c r="L279" s="85" t="n">
        <x:v>1.5</x:v>
      </x:c>
      <x:c r="M279" s="85" t="str">
        <x:v>Parcial</x:v>
      </x:c>
      <x:c r="N279" s="85" t="n">
        <x:v>0.88</x:v>
      </x:c>
      <x:c r="O279" s="85" t="n">
        <x:f>L279*N279</x:f>
        <x:v>1.32</x:v>
      </x:c>
      <x:c r="P279" s="85" t="str">
        <x:v>Alta</x:v>
      </x:c>
      <x:c r="Q279" s="85" t="n">
        <x:v>1</x:v>
      </x:c>
      <x:c r="R279" s="85" t="n">
        <x:v>1.45</x:v>
      </x:c>
      <x:c r="S279" s="85" t="n">
        <x:v>1.8</x:v>
      </x:c>
      <x:c r="T279" s="85" t="n">
        <x:f>IF(J279="Sí",I279*O279*Q279,0)</x:f>
        <x:v>1.32</x:v>
      </x:c>
      <x:c r="U279" s="85" t="n">
        <x:f>IF(J279="Sí",I279*O279*R279,0)</x:f>
        <x:v>1.914</x:v>
      </x:c>
      <x:c r="V279" s="85" t="n">
        <x:f>IF(J279="Sí",I279*O279*S279,0)</x:f>
        <x:v>2.3760000000000003</x:v>
      </x:c>
      <x:c r="W279" s="73"/>
      <x:c r="X279" s="73" t="str">
        <x:v>Reglas documentales</x:v>
      </x:c>
      <x:c r="Y279" s="73" t="str">
        <x:v>Estados, responsables y publicación</x:v>
      </x:c>
      <x:c r="Z279" s="73"/>
      <x:c r="AA279" s="73" t="str">
        <x:v>Preliminar</x:v>
      </x:c>
      <x:c r="AB279" s="78" t="str">
        <x:v>Estimación técnica ISM · Validar</x:v>
      </x:c>
    </x:row>
    <x:row r="280">
      <x:c r="A280" s="77" t="str">
        <x:v>Soporte y Gestión</x:v>
      </x:c>
      <x:c r="B280" s="73" t="str">
        <x:v>SUP-04</x:v>
      </x:c>
      <x:c r="C280" s="73" t="str">
        <x:v>Documentación y base de conocimiento</x:v>
      </x:c>
      <x:c r="D280" s="73" t="str">
        <x:v>02 · Optimización digital</x:v>
      </x:c>
      <x:c r="E280" s="73" t="str">
        <x:v>Documentación</x:v>
      </x:c>
      <x:c r="F280" s="73" t="str">
        <x:v>SUP4-004</x:v>
      </x:c>
      <x:c r="G280" s="73" t="str">
        <x:v>Creación de manual de usuario</x:v>
      </x:c>
      <x:c r="H280" s="73" t="str">
        <x:v>Documento</x:v>
      </x:c>
      <x:c r="I280" s="85" t="n">
        <x:v>1</x:v>
      </x:c>
      <x:c r="J280" s="73" t="str">
        <x:v>Sí</x:v>
      </x:c>
      <x:c r="K280" s="73" t="str">
        <x:v>No</x:v>
      </x:c>
      <x:c r="L280" s="85" t="n">
        <x:v>4</x:v>
      </x:c>
      <x:c r="M280" s="85" t="str">
        <x:v>Parcial</x:v>
      </x:c>
      <x:c r="N280" s="85" t="n">
        <x:v>0.88</x:v>
      </x:c>
      <x:c r="O280" s="85" t="n">
        <x:f>L280*N280</x:f>
        <x:v>3.52</x:v>
      </x:c>
      <x:c r="P280" s="85" t="str">
        <x:v>Alta</x:v>
      </x:c>
      <x:c r="Q280" s="85" t="n">
        <x:v>1</x:v>
      </x:c>
      <x:c r="R280" s="85" t="n">
        <x:v>1.45</x:v>
      </x:c>
      <x:c r="S280" s="85" t="n">
        <x:v>1.8</x:v>
      </x:c>
      <x:c r="T280" s="85" t="n">
        <x:f>IF(J280="Sí",I280*O280*Q280,0)</x:f>
        <x:v>3.52</x:v>
      </x:c>
      <x:c r="U280" s="85" t="n">
        <x:f>IF(J280="Sí",I280*O280*R280,0)</x:f>
        <x:v>5.104</x:v>
      </x:c>
      <x:c r="V280" s="85" t="n">
        <x:f>IF(J280="Sí",I280*O280*S280,0)</x:f>
        <x:v>6.336</x:v>
      </x:c>
      <x:c r="W280" s="73"/>
      <x:c r="X280" s="73" t="str">
        <x:v>Manual de usuario</x:v>
      </x:c>
      <x:c r="Y280" s="73" t="str">
        <x:v>Flujos, pantallas y preguntas frecuentes</x:v>
      </x:c>
      <x:c r="Z280" s="73"/>
      <x:c r="AA280" s="73" t="str">
        <x:v>Preliminar</x:v>
      </x:c>
      <x:c r="AB280" s="78" t="str">
        <x:v>Estimación técnica ISM · Validar</x:v>
      </x:c>
    </x:row>
    <x:row r="281">
      <x:c r="A281" s="77" t="str">
        <x:v>Soporte y Gestión</x:v>
      </x:c>
      <x:c r="B281" s="73" t="str">
        <x:v>SUP-04</x:v>
      </x:c>
      <x:c r="C281" s="73" t="str">
        <x:v>Documentación y base de conocimiento</x:v>
      </x:c>
      <x:c r="D281" s="73" t="str">
        <x:v>02 · Optimización digital</x:v>
      </x:c>
      <x:c r="E281" s="73" t="str">
        <x:v>Documentación</x:v>
      </x:c>
      <x:c r="F281" s="73" t="str">
        <x:v>SUP4-005</x:v>
      </x:c>
      <x:c r="G281" s="73" t="str">
        <x:v>Creación de manual técnico</x:v>
      </x:c>
      <x:c r="H281" s="73" t="str">
        <x:v>Documento</x:v>
      </x:c>
      <x:c r="I281" s="85" t="n">
        <x:v>1</x:v>
      </x:c>
      <x:c r="J281" s="73" t="str">
        <x:v>No</x:v>
      </x:c>
      <x:c r="K281" s="73" t="str">
        <x:v>No</x:v>
      </x:c>
      <x:c r="L281" s="85" t="n">
        <x:v>4</x:v>
      </x:c>
      <x:c r="M281" s="85" t="str">
        <x:v>Parcial</x:v>
      </x:c>
      <x:c r="N281" s="85" t="n">
        <x:v>0.88</x:v>
      </x:c>
      <x:c r="O281" s="85" t="n">
        <x:f>L281*N281</x:f>
        <x:v>3.52</x:v>
      </x:c>
      <x:c r="P281" s="85" t="str">
        <x:v>Alta</x:v>
      </x:c>
      <x:c r="Q281" s="85" t="n">
        <x:v>1</x:v>
      </x:c>
      <x:c r="R281" s="85" t="n">
        <x:v>1.45</x:v>
      </x:c>
      <x:c r="S281" s="85" t="n">
        <x:v>1.8</x:v>
      </x:c>
      <x:c r="T281" s="85" t="n">
        <x:f>IF(J281="Sí",I281*O281*Q281,0)</x:f>
        <x:v>0</x:v>
      </x:c>
      <x:c r="U281" s="85" t="n">
        <x:f>IF(J281="Sí",I281*O281*R281,0)</x:f>
        <x:v>0</x:v>
      </x:c>
      <x:c r="V281" s="85" t="n">
        <x:f>IF(J281="Sí",I281*O281*S281,0)</x:f>
        <x:v>0</x:v>
      </x:c>
      <x:c r="W281" s="73"/>
      <x:c r="X281" s="73" t="str">
        <x:v>Manual técnico</x:v>
      </x:c>
      <x:c r="Y281" s="73" t="str">
        <x:v>Arquitectura, instalación y operación</x:v>
      </x:c>
      <x:c r="Z281" s="73"/>
      <x:c r="AA281" s="73" t="str">
        <x:v>Preliminar</x:v>
      </x:c>
      <x:c r="AB281" s="78" t="str">
        <x:v>Estimación técnica ISM · Validar</x:v>
      </x:c>
    </x:row>
    <x:row r="282">
      <x:c r="A282" s="77" t="str">
        <x:v>Soporte y Gestión</x:v>
      </x:c>
      <x:c r="B282" s="73" t="str">
        <x:v>SUP-04</x:v>
      </x:c>
      <x:c r="C282" s="73" t="str">
        <x:v>Documentación y base de conocimiento</x:v>
      </x:c>
      <x:c r="D282" s="73" t="str">
        <x:v>02 · Optimización digital</x:v>
      </x:c>
      <x:c r="E282" s="73" t="str">
        <x:v>Documentación</x:v>
      </x:c>
      <x:c r="F282" s="73" t="str">
        <x:v>SUP4-006</x:v>
      </x:c>
      <x:c r="G282" s="73" t="str">
        <x:v>Creación de procedimiento operativo</x:v>
      </x:c>
      <x:c r="H282" s="73" t="str">
        <x:v>Documento</x:v>
      </x:c>
      <x:c r="I282" s="85" t="n">
        <x:v>3</x:v>
      </x:c>
      <x:c r="J282" s="73" t="str">
        <x:v>Sí</x:v>
      </x:c>
      <x:c r="K282" s="73" t="str">
        <x:v>No</x:v>
      </x:c>
      <x:c r="L282" s="85" t="n">
        <x:v>2</x:v>
      </x:c>
      <x:c r="M282" s="85" t="str">
        <x:v>Parcial</x:v>
      </x:c>
      <x:c r="N282" s="85" t="n">
        <x:v>0.88</x:v>
      </x:c>
      <x:c r="O282" s="85" t="n">
        <x:f>L282*N282</x:f>
        <x:v>1.76</x:v>
      </x:c>
      <x:c r="P282" s="85" t="str">
        <x:v>Media</x:v>
      </x:c>
      <x:c r="Q282" s="85" t="n">
        <x:v>1</x:v>
      </x:c>
      <x:c r="R282" s="85" t="n">
        <x:v>1.3</x:v>
      </x:c>
      <x:c r="S282" s="85" t="n">
        <x:v>1.55</x:v>
      </x:c>
      <x:c r="T282" s="85" t="n">
        <x:f>IF(J282="Sí",I282*O282*Q282,0)</x:f>
        <x:v>5.28</x:v>
      </x:c>
      <x:c r="U282" s="85" t="n">
        <x:f>IF(J282="Sí",I282*O282*R282,0)</x:f>
        <x:v>6.864000000000001</x:v>
      </x:c>
      <x:c r="V282" s="85" t="n">
        <x:f>IF(J282="Sí",I282*O282*S282,0)</x:f>
        <x:v>8.184000000000001</x:v>
      </x:c>
      <x:c r="W282" s="73"/>
      <x:c r="X282" s="73" t="str">
        <x:v>Procedimientos</x:v>
      </x:c>
      <x:c r="Y282" s="73" t="str">
        <x:v>Objetivo, pasos, responsables y evidencia</x:v>
      </x:c>
      <x:c r="Z282" s="73"/>
      <x:c r="AA282" s="73" t="str">
        <x:v>Preliminar</x:v>
      </x:c>
      <x:c r="AB282" s="78" t="str">
        <x:v>Estimación técnica ISM · Validar</x:v>
      </x:c>
    </x:row>
    <x:row r="283">
      <x:c r="A283" s="77" t="str">
        <x:v>Soporte y Gestión</x:v>
      </x:c>
      <x:c r="B283" s="73" t="str">
        <x:v>SUP-04</x:v>
      </x:c>
      <x:c r="C283" s="73" t="str">
        <x:v>Documentación y base de conocimiento</x:v>
      </x:c>
      <x:c r="D283" s="73" t="str">
        <x:v>02 · Optimización digital</x:v>
      </x:c>
      <x:c r="E283" s="73" t="str">
        <x:v>Documentación</x:v>
      </x:c>
      <x:c r="F283" s="73" t="str">
        <x:v>SUP4-007</x:v>
      </x:c>
      <x:c r="G283" s="73" t="str">
        <x:v>Creación de runbook</x:v>
      </x:c>
      <x:c r="H283" s="73" t="str">
        <x:v>Documento</x:v>
      </x:c>
      <x:c r="I283" s="85" t="n">
        <x:v>2</x:v>
      </x:c>
      <x:c r="J283" s="73" t="str">
        <x:v>Sí</x:v>
      </x:c>
      <x:c r="K283" s="73" t="str">
        <x:v>No</x:v>
      </x:c>
      <x:c r="L283" s="85" t="n">
        <x:v>2.5</x:v>
      </x:c>
      <x:c r="M283" s="85" t="str">
        <x:v>Parcial</x:v>
      </x:c>
      <x:c r="N283" s="85" t="n">
        <x:v>0.88</x:v>
      </x:c>
      <x:c r="O283" s="85" t="n">
        <x:f>L283*N283</x:f>
        <x:v>2.2</x:v>
      </x:c>
      <x:c r="P283" s="85" t="str">
        <x:v>Alta</x:v>
      </x:c>
      <x:c r="Q283" s="85" t="n">
        <x:v>1</x:v>
      </x:c>
      <x:c r="R283" s="85" t="n">
        <x:v>1.45</x:v>
      </x:c>
      <x:c r="S283" s="85" t="n">
        <x:v>1.8</x:v>
      </x:c>
      <x:c r="T283" s="85" t="n">
        <x:f>IF(J283="Sí",I283*O283*Q283,0)</x:f>
        <x:v>4.4</x:v>
      </x:c>
      <x:c r="U283" s="85" t="n">
        <x:f>IF(J283="Sí",I283*O283*R283,0)</x:f>
        <x:v>6.38</x:v>
      </x:c>
      <x:c r="V283" s="85" t="n">
        <x:f>IF(J283="Sí",I283*O283*S283,0)</x:f>
        <x:v>7.920000000000001</x:v>
      </x:c>
      <x:c r="W283" s="73"/>
      <x:c r="X283" s="73" t="str">
        <x:v>Runbooks</x:v>
      </x:c>
      <x:c r="Y283" s="73" t="str">
        <x:v>Eventos frecuentes, diagnóstico y escalamiento</x:v>
      </x:c>
      <x:c r="Z283" s="73"/>
      <x:c r="AA283" s="73" t="str">
        <x:v>Preliminar</x:v>
      </x:c>
      <x:c r="AB283" s="78" t="str">
        <x:v>Estimación técnica ISM · Validar</x:v>
      </x:c>
    </x:row>
    <x:row r="284">
      <x:c r="A284" s="77" t="str">
        <x:v>Soporte y Gestión</x:v>
      </x:c>
      <x:c r="B284" s="73" t="str">
        <x:v>SUP-04</x:v>
      </x:c>
      <x:c r="C284" s="73" t="str">
        <x:v>Documentación y base de conocimiento</x:v>
      </x:c>
      <x:c r="D284" s="73" t="str">
        <x:v>02 · Optimización digital</x:v>
      </x:c>
      <x:c r="E284" s="73" t="str">
        <x:v>Contenido</x:v>
      </x:c>
      <x:c r="F284" s="73" t="str">
        <x:v>SUP4-008</x:v>
      </x:c>
      <x:c r="G284" s="73" t="str">
        <x:v>Creación de artículo de conocimiento</x:v>
      </x:c>
      <x:c r="H284" s="73" t="str">
        <x:v>Artículo</x:v>
      </x:c>
      <x:c r="I284" s="85" t="n">
        <x:v>5</x:v>
      </x:c>
      <x:c r="J284" s="73" t="str">
        <x:v>Sí</x:v>
      </x:c>
      <x:c r="K284" s="73" t="str">
        <x:v>No</x:v>
      </x:c>
      <x:c r="L284" s="85" t="n">
        <x:v>0.75</x:v>
      </x:c>
      <x:c r="M284" s="85" t="str">
        <x:v>Parcial</x:v>
      </x:c>
      <x:c r="N284" s="85" t="n">
        <x:v>0.88</x:v>
      </x:c>
      <x:c r="O284" s="85" t="n">
        <x:f>L284*N284</x:f>
        <x:v>0.66</x:v>
      </x:c>
      <x:c r="P284" s="85" t="str">
        <x:v>Media</x:v>
      </x:c>
      <x:c r="Q284" s="85" t="n">
        <x:v>1</x:v>
      </x:c>
      <x:c r="R284" s="85" t="n">
        <x:v>1.3</x:v>
      </x:c>
      <x:c r="S284" s="85" t="n">
        <x:v>1.55</x:v>
      </x:c>
      <x:c r="T284" s="85" t="n">
        <x:f>IF(J284="Sí",I284*O284*Q284,0)</x:f>
        <x:v>3.3000000000000003</x:v>
      </x:c>
      <x:c r="U284" s="85" t="n">
        <x:f>IF(J284="Sí",I284*O284*R284,0)</x:f>
        <x:v>4.290000000000001</x:v>
      </x:c>
      <x:c r="V284" s="85" t="n">
        <x:f>IF(J284="Sí",I284*O284*S284,0)</x:f>
        <x:v>5.115</x:v>
      </x:c>
      <x:c r="W284" s="73"/>
      <x:c r="X284" s="73" t="str">
        <x:v>Artículos</x:v>
      </x:c>
      <x:c r="Y284" s="73" t="str">
        <x:v>Problema, solución y palabras clave</x:v>
      </x:c>
      <x:c r="Z284" s="73"/>
      <x:c r="AA284" s="73" t="str">
        <x:v>Preliminar</x:v>
      </x:c>
      <x:c r="AB284" s="78" t="str">
        <x:v>Estimación técnica ISM · Validar</x:v>
      </x:c>
    </x:row>
    <x:row r="285">
      <x:c r="A285" s="77" t="str">
        <x:v>Soporte y Gestión</x:v>
      </x:c>
      <x:c r="B285" s="73" t="str">
        <x:v>SUP-04</x:v>
      </x:c>
      <x:c r="C285" s="73" t="str">
        <x:v>Documentación y base de conocimiento</x:v>
      </x:c>
      <x:c r="D285" s="73" t="str">
        <x:v>02 · Optimización digital</x:v>
      </x:c>
      <x:c r="E285" s="73" t="str">
        <x:v>Publicación</x:v>
      </x:c>
      <x:c r="F285" s="73" t="str">
        <x:v>SUP4-009</x:v>
      </x:c>
      <x:c r="G285" s="73" t="str">
        <x:v>Configuración de repositorio o portal</x:v>
      </x:c>
      <x:c r="H285" s="73" t="str">
        <x:v>Entorno</x:v>
      </x:c>
      <x:c r="I285" s="85" t="n">
        <x:v>1</x:v>
      </x:c>
      <x:c r="J285" s="73" t="str">
        <x:v>No</x:v>
      </x:c>
      <x:c r="K285" s="73" t="str">
        <x:v>No</x:v>
      </x:c>
      <x:c r="L285" s="85" t="n">
        <x:v>2</x:v>
      </x:c>
      <x:c r="M285" s="85" t="str">
        <x:v>Parcial</x:v>
      </x:c>
      <x:c r="N285" s="85" t="n">
        <x:v>0.88</x:v>
      </x:c>
      <x:c r="O285" s="85" t="n">
        <x:f>L285*N285</x:f>
        <x:v>1.76</x:v>
      </x:c>
      <x:c r="P285" s="85" t="str">
        <x:v>Media</x:v>
      </x:c>
      <x:c r="Q285" s="85" t="n">
        <x:v>1</x:v>
      </x:c>
      <x:c r="R285" s="85" t="n">
        <x:v>1.3</x:v>
      </x:c>
      <x:c r="S285" s="85" t="n">
        <x:v>1.55</x:v>
      </x:c>
      <x:c r="T285" s="85" t="n">
        <x:f>IF(J285="Sí",I285*O285*Q285,0)</x:f>
        <x:v>0</x:v>
      </x:c>
      <x:c r="U285" s="85" t="n">
        <x:f>IF(J285="Sí",I285*O285*R285,0)</x:f>
        <x:v>0</x:v>
      </x:c>
      <x:c r="V285" s="85" t="n">
        <x:f>IF(J285="Sí",I285*O285*S285,0)</x:f>
        <x:v>0</x:v>
      </x:c>
      <x:c r="W285" s="73"/>
      <x:c r="X285" s="73" t="str">
        <x:v>Base publicada</x:v>
      </x:c>
      <x:c r="Y285" s="73" t="str">
        <x:v>Estructura, permisos y búsqueda</x:v>
      </x:c>
      <x:c r="Z285" s="73"/>
      <x:c r="AA285" s="73" t="str">
        <x:v>Preliminar</x:v>
      </x:c>
      <x:c r="AB285" s="78" t="str">
        <x:v>Estimación técnica ISM · Validar</x:v>
      </x:c>
    </x:row>
    <x:row r="286">
      <x:c r="A286" s="77" t="str">
        <x:v>Soporte y Gestión</x:v>
      </x:c>
      <x:c r="B286" s="73" t="str">
        <x:v>SUP-04</x:v>
      </x:c>
      <x:c r="C286" s="73" t="str">
        <x:v>Documentación y base de conocimiento</x:v>
      </x:c>
      <x:c r="D286" s="73" t="str">
        <x:v>02 · Optimización digital</x:v>
      </x:c>
      <x:c r="E286" s="73" t="str">
        <x:v>Calidad</x:v>
      </x:c>
      <x:c r="F286" s="73" t="str">
        <x:v>SUP4-010</x:v>
      </x:c>
      <x:c r="G286" s="73" t="str">
        <x:v>Revisión técnica y funcional</x:v>
      </x:c>
      <x:c r="H286" s="73" t="str">
        <x:v>Documento</x:v>
      </x:c>
      <x:c r="I286" s="85" t="n">
        <x:v>5</x:v>
      </x:c>
      <x:c r="J286" s="73" t="str">
        <x:v>Sí</x:v>
      </x:c>
      <x:c r="K286" s="73" t="str">
        <x:v>Sí</x:v>
      </x:c>
      <x:c r="L286" s="85" t="n">
        <x:v>0.5</x:v>
      </x:c>
      <x:c r="M286" s="85" t="str">
        <x:v>Parcial</x:v>
      </x:c>
      <x:c r="N286" s="85" t="n">
        <x:v>0.88</x:v>
      </x:c>
      <x:c r="O286" s="85" t="n">
        <x:f>L286*N286</x:f>
        <x:v>0.44</x:v>
      </x:c>
      <x:c r="P286" s="85" t="str">
        <x:v>Media</x:v>
      </x:c>
      <x:c r="Q286" s="85" t="n">
        <x:v>1</x:v>
      </x:c>
      <x:c r="R286" s="85" t="n">
        <x:v>1.3</x:v>
      </x:c>
      <x:c r="S286" s="85" t="n">
        <x:v>1.55</x:v>
      </x:c>
      <x:c r="T286" s="85" t="n">
        <x:f>IF(J286="Sí",I286*O286*Q286,0)</x:f>
        <x:v>2.2</x:v>
      </x:c>
      <x:c r="U286" s="85" t="n">
        <x:f>IF(J286="Sí",I286*O286*R286,0)</x:f>
        <x:v>2.8600000000000003</x:v>
      </x:c>
      <x:c r="V286" s="85" t="n">
        <x:f>IF(J286="Sí",I286*O286*S286,0)</x:f>
        <x:v>3.4100000000000006</x:v>
      </x:c>
      <x:c r="W286" s="73"/>
      <x:c r="X286" s="73" t="str">
        <x:v>Documentos revisados</x:v>
      </x:c>
      <x:c r="Y286" s="73" t="str">
        <x:v>Exactitud, claridad y vigencia</x:v>
      </x:c>
      <x:c r="Z286" s="73"/>
      <x:c r="AA286" s="73" t="str">
        <x:v>Preliminar</x:v>
      </x:c>
      <x:c r="AB286" s="78" t="str">
        <x:v>Estimación técnica ISM · Validar</x:v>
      </x:c>
    </x:row>
    <x:row r="287">
      <x:c r="A287" s="80" t="str">
        <x:v>Soporte y Gestión</x:v>
      </x:c>
      <x:c r="B287" s="81" t="str">
        <x:v>SUP-04</x:v>
      </x:c>
      <x:c r="C287" s="81" t="str">
        <x:v>Documentación y base de conocimiento</x:v>
      </x:c>
      <x:c r="D287" s="81" t="str">
        <x:v>02 · Optimización digital</x:v>
      </x:c>
      <x:c r="E287" s="81" t="str">
        <x:v>Entrega</x:v>
      </x:c>
      <x:c r="F287" s="81" t="str">
        <x:v>SUP4-011</x:v>
      </x:c>
      <x:c r="G287" s="81" t="str">
        <x:v>Capacitación y transferencia</x:v>
      </x:c>
      <x:c r="H287" s="81" t="str">
        <x:v>Sesión</x:v>
      </x:c>
      <x:c r="I287" s="101" t="n">
        <x:v>1</x:v>
      </x:c>
      <x:c r="J287" s="81" t="str">
        <x:v>Sí</x:v>
      </x:c>
      <x:c r="K287" s="81" t="str">
        <x:v>Sí</x:v>
      </x:c>
      <x:c r="L287" s="101" t="n">
        <x:v>1.5</x:v>
      </x:c>
      <x:c r="M287" s="101" t="str">
        <x:v>Parcial</x:v>
      </x:c>
      <x:c r="N287" s="101" t="n">
        <x:v>0.88</x:v>
      </x:c>
      <x:c r="O287" s="101" t="n">
        <x:f>L287*N287</x:f>
        <x:v>1.32</x:v>
      </x:c>
      <x:c r="P287" s="101" t="str">
        <x:v>Media</x:v>
      </x:c>
      <x:c r="Q287" s="101" t="n">
        <x:v>1</x:v>
      </x:c>
      <x:c r="R287" s="101" t="n">
        <x:v>1.3</x:v>
      </x:c>
      <x:c r="S287" s="101" t="n">
        <x:v>1.55</x:v>
      </x:c>
      <x:c r="T287" s="101" t="n">
        <x:f>IF(J287="Sí",I287*O287*Q287,0)</x:f>
        <x:v>1.32</x:v>
      </x:c>
      <x:c r="U287" s="101" t="n">
        <x:f>IF(J287="Sí",I287*O287*R287,0)</x:f>
        <x:v>1.7160000000000002</x:v>
      </x:c>
      <x:c r="V287" s="101" t="n">
        <x:f>IF(J287="Sí",I287*O287*S287,0)</x:f>
        <x:v>2.0460000000000003</x:v>
      </x:c>
      <x:c r="W287" s="81"/>
      <x:c r="X287" s="81" t="str">
        <x:v>Transferencia realizada</x:v>
      </x:c>
      <x:c r="Y287" s="81" t="str">
        <x:v>Uso, mantenimiento y responsabilidades</x:v>
      </x:c>
      <x:c r="Z287" s="81"/>
      <x:c r="AA287" s="81" t="str">
        <x:v>Preliminar</x:v>
      </x:c>
      <x:c r="AB287" s="82" t="str">
        <x:v>Estimación técnica ISM · Validar</x:v>
      </x:c>
    </x:row>
  </x:sheetData>
  <x:mergeCells>
    <x:mergeCell ref="A1:AB1"/>
    <x:mergeCell ref="A2:AB2"/>
    <x:mergeCell ref="A3:AB3"/>
  </x:mergeCells>
  <x:conditionalFormatting sqref="AA6:AA287">
    <x:cfRule type="expression" dxfId="0" priority="1">
      <x:formula>AA6="Preliminar"</x:formula>
    </x:cfRule>
    <x:cfRule type="expression" dxfId="1" priority="2">
      <x:formula>AA6="Validado con proyecto"</x:formula>
    </x:cfRule>
    <x:cfRule type="expression" dxfId="2" priority="3">
      <x:formula>AA6="Aprobado"</x:formula>
    </x:cfRule>
  </x:conditionalFormatting>
  <x:conditionalFormatting sqref="T6:V287">
    <x:cfRule type="dataBar" priority="4">
      <x:dataBar>
        <x:cfvo type="min"/>
        <x:cfvo type="max"/>
        <x:color rgb="FF1F7AFC"/>
      </x:dataBar>
      <x:extLst>
        <x:ext xmlns:x14="http://schemas.microsoft.com/office/spreadsheetml/2009/9/main" uri="{B025F937-C7B1-47D3-B67F-A62EFF666E3E}">
          <x14:id>{335EDB3E-C16B-1977-494B-F6254121BD06}</x14:id>
        </x:ext>
      </x:extLst>
    </x:cfRule>
  </x:conditionalFormatting>
  <x:dataValidations count="6">
    <x:dataValidation type="list" sqref="H6:H287">
      <x:formula1>Diccionarios!$A$4:$A$52</x:formula1>
    </x:dataValidation>
    <x:dataValidation type="list" sqref="J6:K287">
      <x:formula1>Diccionarios!$B$4:$B$5</x:formula1>
    </x:dataValidation>
    <x:dataValidation type="list" sqref="M6:M287">
      <x:formula1>Diccionarios!$C$4:$C$6</x:formula1>
    </x:dataValidation>
    <x:dataValidation type="list" sqref="P6:P287">
      <x:formula1>Diccionarios!$D$4:$D$6</x:formula1>
    </x:dataValidation>
    <x:dataValidation type="list" sqref="AA6:AA287">
      <x:formula1>Diccionarios!$E$4:$E$7</x:formula1>
    </x:dataValidation>
    <x:dataValidation type="list" sqref="D6:D287">
      <x:formula1>Diccionarios!$F$4:$F$7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ef00c2a516429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335EDB3E-C16B-1977-494B-F6254121BD06}">
            <x14:dataBar gradient="1">
              <x14:cfvo type="min"/>
              <x14:cfvo type="max"/>
              <x14:fillColor rgb="FF1F7AFC"/>
            </x14:dataBar>
          </x14:cfRule>
          <xm:sqref>T6:V287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5" hidden="0" customWidth="1"/>
    <x:col min="5" max="5" width="18" hidden="0" customWidth="1"/>
    <x:col min="6" max="6" width="14" hidden="0" customWidth="1"/>
    <x:col min="7" max="7" width="42" hidden="0" customWidth="1"/>
    <x:col min="8" max="8" width="16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4" hidden="0" customWidth="1"/>
    <x:col min="24" max="24" width="28" hidden="0" customWidth="1"/>
    <x:col min="25" max="25" width="38" hidden="0" customWidth="1"/>
    <x:col min="26" max="26" width="32" hidden="0" customWidth="1"/>
    <x:col min="27" max="27" width="18" hidden="0" customWidth="1"/>
    <x:col min="28" max="28" width="30" hidden="0" customWidth="1"/>
  </x:cols>
  <x:sheetData>
    <x:row r="1">
      <x:c r="A1" s="5" t="str">
        <x:v>CATÁLOGO TÉCNICO · DESARROLLO E IMPLEMENTACIÓN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>
      <x:c r="A2" s="55" t="str">
        <x:v>Diseño, construcción, integración, publicación y aseguramiento de calidad de soluciones digitales.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</x:row>
    <x:row r="3">
      <x:c r="A3" s="103" t="str">
        <x:v>Servicios</x:v>
      </x:c>
      <x:c r="B3" s="104" t="n">
        <x:v>3</x:v>
      </x:c>
      <x:c r="C3" s="104" t="str">
        <x:v>Actividades</x:v>
      </x:c>
      <x:c r="D3" s="104" t="n">
        <x:v>78</x:v>
      </x:c>
      <x:c r="E3" s="104" t="str">
        <x:v>HH Inicial</x:v>
      </x:c>
      <x:c r="F3" s="109" t="n">
        <x:v>143.66250000000002</x:v>
      </x:c>
      <x:c r="G3" s="109" t="str">
        <x:v>HH Estándar</x:v>
      </x:c>
      <x:c r="H3" s="109" t="n">
        <x:v>201.09</x:v>
      </x:c>
      <x:c r="I3" s="109" t="str">
        <x:v>HH Avanzado</x:v>
      </x:c>
      <x:c r="J3" s="109" t="n">
        <x:v>246.55812499999996</x:v>
      </x:c>
      <x:c r="K3" s="104" t="str">
        <x:v>Estado</x:v>
      </x:c>
      <x:c r="L3" s="105" t="str">
        <x:v>Preliminar</x:v>
      </x:c>
    </x:row>
    <x:row r="5">
      <x:c r="A5" s="20" t="str">
        <x:v>Línea de servicio</x:v>
      </x:c>
      <x:c r="B5" s="21" t="str">
        <x:v>Código servicio</x:v>
      </x:c>
      <x:c r="C5" s="21" t="str">
        <x:v>Servicio / solución</x:v>
      </x:c>
      <x:c r="D5" s="21" t="str">
        <x:v>Madurez</x:v>
      </x:c>
      <x:c r="E5" s="21" t="str">
        <x:v>Fase</x:v>
      </x:c>
      <x:c r="F5" s="21" t="str">
        <x:v>Código actividad</x:v>
      </x:c>
      <x:c r="G5" s="21" t="str">
        <x:v>Actividad / entregable</x:v>
      </x:c>
      <x:c r="H5" s="21" t="str">
        <x:v>Unidad</x:v>
      </x:c>
      <x:c r="I5" s="21" t="str">
        <x:v>Cantidad base</x:v>
      </x:c>
      <x:c r="J5" s="21" t="str">
        <x:v>Incluida base</x:v>
      </x:c>
      <x:c r="K5" s="21" t="str">
        <x:v>Obligatoria</x:v>
      </x:c>
      <x:c r="L5" s="21" t="str">
        <x:v>HH unitarias desde cero</x:v>
      </x:c>
      <x:c r="M5" s="21" t="str">
        <x:v>Reutilización</x:v>
      </x:c>
      <x:c r="N5" s="21" t="str">
        <x:v>Factor reutilización ISM</x:v>
      </x:c>
      <x:c r="O5" s="21" t="str">
        <x:v>HH unitarias configurador</x:v>
      </x:c>
      <x:c r="P5" s="21" t="str">
        <x:v>Complejidad</x:v>
      </x:c>
      <x:c r="Q5" s="21" t="str">
        <x:v>Factor Inicial</x:v>
      </x:c>
      <x:c r="R5" s="21" t="str">
        <x:v>Factor Estándar</x:v>
      </x:c>
      <x:c r="S5" s="21" t="str">
        <x:v>Factor Avanzado</x:v>
      </x:c>
      <x:c r="T5" s="21" t="str">
        <x:v>HH Inicial</x:v>
      </x:c>
      <x:c r="U5" s="21" t="str">
        <x:v>HH Estándar</x:v>
      </x:c>
      <x:c r="V5" s="21" t="str">
        <x:v>HH Avanzado</x:v>
      </x:c>
      <x:c r="W5" s="21" t="str">
        <x:v>Dependencias</x:v>
      </x:c>
      <x:c r="X5" s="21" t="str">
        <x:v>Entregable verificable</x:v>
      </x:c>
      <x:c r="Y5" s="21" t="str">
        <x:v>Alcance / criterio</x:v>
      </x:c>
      <x:c r="Z5" s="21" t="str">
        <x:v>Exclusiones</x:v>
      </x:c>
      <x:c r="AA5" s="21" t="str">
        <x:v>Estado validación</x:v>
      </x:c>
      <x:c r="AB5" s="22" t="str">
        <x:v>Fuente / calibración</x:v>
      </x:c>
    </x:row>
    <x:row r="6">
      <x:c r="A6" s="74" t="str">
        <x:v>Desarrollo e Implementación</x:v>
      </x:c>
      <x:c r="B6" s="75" t="str">
        <x:v>WEB-01</x:v>
      </x:c>
      <x:c r="C6" s="75" t="str">
        <x:v>Sitio web profesional</x:v>
      </x:c>
      <x:c r="D6" s="75" t="str">
        <x:v>01 · Primeros pasos digitales</x:v>
      </x:c>
      <x:c r="E6" s="75" t="str">
        <x:v>Diagnóstico</x:v>
      </x:c>
      <x:c r="F6" s="75" t="str">
        <x:v>WEB-001</x:v>
      </x:c>
      <x:c r="G6" s="75" t="str">
        <x:v>Reunión inicial y levantamiento de objetivos</x:v>
      </x:c>
      <x:c r="H6" s="75" t="str">
        <x:v>Proyecto</x:v>
      </x:c>
      <x:c r="I6" s="84" t="n">
        <x:v>1</x:v>
      </x:c>
      <x:c r="J6" s="84" t="str">
        <x:v>Sí</x:v>
      </x:c>
      <x:c r="K6" s="84" t="str">
        <x:v>Sí</x:v>
      </x:c>
      <x:c r="L6" s="84" t="n">
        <x:v>1.5</x:v>
      </x:c>
      <x:c r="M6" s="84" t="str">
        <x:v>No</x:v>
      </x:c>
      <x:c r="N6" s="84" t="n">
        <x:v>1</x:v>
      </x:c>
      <x:c r="O6" s="84" t="n">
        <x:v>1.5</x:v>
      </x:c>
      <x:c r="P6" s="84" t="str">
        <x:v>Media</x:v>
      </x:c>
      <x:c r="Q6" s="84" t="n">
        <x:v>1</x:v>
      </x:c>
      <x:c r="R6" s="84" t="n">
        <x:v>1.3</x:v>
      </x:c>
      <x:c r="S6" s="84" t="n">
        <x:v>1.55</x:v>
      </x:c>
      <x:c r="T6" s="84" t="n">
        <x:v>1.5</x:v>
      </x:c>
      <x:c r="U6" s="84" t="n">
        <x:v>1.9500000000000002</x:v>
      </x:c>
      <x:c r="V6" s="84" t="n">
        <x:v>2.325</x:v>
      </x:c>
      <x:c r="W6" s="75"/>
      <x:c r="X6" s="75" t="str">
        <x:v>Brief de proyecto</x:v>
      </x:c>
      <x:c r="Y6" s="75" t="str">
        <x:v>Objetivos, público, oferta y resultados esperados</x:v>
      </x:c>
      <x:c r="Z6" s="75"/>
      <x:c r="AA6" s="75" t="str">
        <x:v>Preliminar</x:v>
      </x:c>
      <x:c r="AB6" s="76" t="str">
        <x:v>Estimación técnica ISM · Validar</x:v>
      </x:c>
    </x:row>
    <x:row r="7">
      <x:c r="A7" s="77" t="str">
        <x:v>Desarrollo e Implementación</x:v>
      </x:c>
      <x:c r="B7" s="73" t="str">
        <x:v>WEB-01</x:v>
      </x:c>
      <x:c r="C7" s="73" t="str">
        <x:v>Sitio web profesional</x:v>
      </x:c>
      <x:c r="D7" s="73" t="str">
        <x:v>01 · Primeros pasos digitales</x:v>
      </x:c>
      <x:c r="E7" s="73" t="str">
        <x:v>Diagnóstico</x:v>
      </x:c>
      <x:c r="F7" s="73" t="str">
        <x:v>WEB-002</x:v>
      </x:c>
      <x:c r="G7" s="73" t="str">
        <x:v>Inventario de contenidos y recursos disponibles</x:v>
      </x:c>
      <x:c r="H7" s="73" t="str">
        <x:v>Proyecto</x:v>
      </x:c>
      <x:c r="I7" s="85" t="n">
        <x:v>1</x:v>
      </x:c>
      <x:c r="J7" s="85" t="str">
        <x:v>Sí</x:v>
      </x:c>
      <x:c r="K7" s="85" t="str">
        <x:v>Sí</x:v>
      </x:c>
      <x:c r="L7" s="85" t="n">
        <x:v>1</x:v>
      </x:c>
      <x:c r="M7" s="85" t="str">
        <x:v>No</x:v>
      </x:c>
      <x:c r="N7" s="85" t="n">
        <x:v>1</x:v>
      </x:c>
      <x:c r="O7" s="85" t="n">
        <x:v>1</x:v>
      </x:c>
      <x:c r="P7" s="85" t="str">
        <x:v>Baja</x:v>
      </x:c>
      <x:c r="Q7" s="85" t="n">
        <x:v>1</x:v>
      </x:c>
      <x:c r="R7" s="85" t="n">
        <x:v>1.15</x:v>
      </x:c>
      <x:c r="S7" s="85" t="n">
        <x:v>1.3</x:v>
      </x:c>
      <x:c r="T7" s="85" t="n">
        <x:v>1</x:v>
      </x:c>
      <x:c r="U7" s="85" t="n">
        <x:v>1.15</x:v>
      </x:c>
      <x:c r="V7" s="85" t="n">
        <x:v>1.3</x:v>
      </x:c>
      <x:c r="W7" s="73"/>
      <x:c r="X7" s="73" t="str">
        <x:v>Inventario de contenidos</x:v>
      </x:c>
      <x:c r="Y7" s="73" t="str">
        <x:v>Textos, imágenes, documentos, accesos y recursos de marca</x:v>
      </x:c>
      <x:c r="Z7" s="73"/>
      <x:c r="AA7" s="73" t="str">
        <x:v>Preliminar</x:v>
      </x:c>
      <x:c r="AB7" s="78" t="str">
        <x:v>Estimación técnica ISM · Validar</x:v>
      </x:c>
    </x:row>
    <x:row r="8">
      <x:c r="A8" s="77" t="str">
        <x:v>Desarrollo e Implementación</x:v>
      </x:c>
      <x:c r="B8" s="73" t="str">
        <x:v>WEB-01</x:v>
      </x:c>
      <x:c r="C8" s="73" t="str">
        <x:v>Sitio web profesional</x:v>
      </x:c>
      <x:c r="D8" s="73" t="str">
        <x:v>01 · Primeros pasos digitales</x:v>
      </x:c>
      <x:c r="E8" s="73" t="str">
        <x:v>Arquitectura</x:v>
      </x:c>
      <x:c r="F8" s="73" t="str">
        <x:v>WEB-003</x:v>
      </x:c>
      <x:c r="G8" s="73" t="str">
        <x:v>Definición del mapa de navegación</x:v>
      </x:c>
      <x:c r="H8" s="73" t="str">
        <x:v>Proyecto</x:v>
      </x:c>
      <x:c r="I8" s="85" t="n">
        <x:v>1</x:v>
      </x:c>
      <x:c r="J8" s="85" t="str">
        <x:v>Sí</x:v>
      </x:c>
      <x:c r="K8" s="85" t="str">
        <x:v>Sí</x:v>
      </x:c>
      <x:c r="L8" s="85" t="n">
        <x:v>1</x:v>
      </x:c>
      <x:c r="M8" s="85" t="str">
        <x:v>Parcial</x:v>
      </x:c>
      <x:c r="N8" s="85" t="n">
        <x:v>0.8</x:v>
      </x:c>
      <x:c r="O8" s="85" t="n">
        <x:v>0.8</x:v>
      </x:c>
      <x:c r="P8" s="85" t="str">
        <x:v>Media</x:v>
      </x:c>
      <x:c r="Q8" s="85" t="n">
        <x:v>1</x:v>
      </x:c>
      <x:c r="R8" s="85" t="n">
        <x:v>1.3</x:v>
      </x:c>
      <x:c r="S8" s="85" t="n">
        <x:v>1.55</x:v>
      </x:c>
      <x:c r="T8" s="85" t="n">
        <x:v>0.8</x:v>
      </x:c>
      <x:c r="U8" s="85" t="n">
        <x:v>1.04</x:v>
      </x:c>
      <x:c r="V8" s="85" t="n">
        <x:v>1.2400000000000002</x:v>
      </x:c>
      <x:c r="W8" s="73"/>
      <x:c r="X8" s="73" t="str">
        <x:v>Sitemap aprobado</x:v>
      </x:c>
      <x:c r="Y8" s="73" t="str">
        <x:v>Estructura de páginas, jerarquía y rutas</x:v>
      </x:c>
      <x:c r="Z8" s="73" t="str">
        <x:v>No incluye redacción completa</x:v>
      </x:c>
      <x:c r="AA8" s="73" t="str">
        <x:v>Preliminar</x:v>
      </x:c>
      <x:c r="AB8" s="78" t="str">
        <x:v>Estimación técnica ISM · Validar</x:v>
      </x:c>
    </x:row>
    <x:row r="9">
      <x:c r="A9" s="77" t="str">
        <x:v>Desarrollo e Implementación</x:v>
      </x:c>
      <x:c r="B9" s="73" t="str">
        <x:v>WEB-01</x:v>
      </x:c>
      <x:c r="C9" s="73" t="str">
        <x:v>Sitio web profesional</x:v>
      </x:c>
      <x:c r="D9" s="73" t="str">
        <x:v>01 · Primeros pasos digitales</x:v>
      </x:c>
      <x:c r="E9" s="73" t="str">
        <x:v>Arquitectura</x:v>
      </x:c>
      <x:c r="F9" s="73" t="str">
        <x:v>WEB-004</x:v>
      </x:c>
      <x:c r="G9" s="73" t="str">
        <x:v>Wireframe general de la página principal</x:v>
      </x:c>
      <x:c r="H9" s="73" t="str">
        <x:v>Proyecto</x:v>
      </x:c>
      <x:c r="I9" s="85" t="n">
        <x:v>1</x:v>
      </x:c>
      <x:c r="J9" s="85" t="str">
        <x:v>Sí</x:v>
      </x:c>
      <x:c r="K9" s="85" t="str">
        <x:v>Sí</x:v>
      </x:c>
      <x:c r="L9" s="85" t="n">
        <x:v>1.5</x:v>
      </x:c>
      <x:c r="M9" s="85" t="str">
        <x:v>Parcial</x:v>
      </x:c>
      <x:c r="N9" s="85" t="n">
        <x:v>0.8</x:v>
      </x:c>
      <x:c r="O9" s="85" t="n">
        <x:v>1.2000000000000002</x:v>
      </x:c>
      <x:c r="P9" s="85" t="str">
        <x:v>Media</x:v>
      </x:c>
      <x:c r="Q9" s="85" t="n">
        <x:v>1</x:v>
      </x:c>
      <x:c r="R9" s="85" t="n">
        <x:v>1.3</x:v>
      </x:c>
      <x:c r="S9" s="85" t="n">
        <x:v>1.55</x:v>
      </x:c>
      <x:c r="T9" s="85" t="n">
        <x:v>1.2000000000000002</x:v>
      </x:c>
      <x:c r="U9" s="85" t="n">
        <x:v>1.5600000000000003</x:v>
      </x:c>
      <x:c r="V9" s="85" t="n">
        <x:v>1.8600000000000003</x:v>
      </x:c>
      <x:c r="W9" s="73"/>
      <x:c r="X9" s="73" t="str">
        <x:v>Wireframe</x:v>
      </x:c>
      <x:c r="Y9" s="73" t="str">
        <x:v>Orden de bloques, jerarquía y llamadas a la acción</x:v>
      </x:c>
      <x:c r="Z9" s="73" t="str">
        <x:v>No incluye prototipo de alta fidelidad</x:v>
      </x:c>
      <x:c r="AA9" s="73" t="str">
        <x:v>Preliminar</x:v>
      </x:c>
      <x:c r="AB9" s="78" t="str">
        <x:v>Estimación técnica ISM · Validar</x:v>
      </x:c>
    </x:row>
    <x:row r="10">
      <x:c r="A10" s="77" t="str">
        <x:v>Desarrollo e Implementación</x:v>
      </x:c>
      <x:c r="B10" s="73" t="str">
        <x:v>WEB-01</x:v>
      </x:c>
      <x:c r="C10" s="73" t="str">
        <x:v>Sitio web profesional</x:v>
      </x:c>
      <x:c r="D10" s="73" t="str">
        <x:v>01 · Primeros pasos digitales</x:v>
      </x:c>
      <x:c r="E10" s="73" t="str">
        <x:v>Preparación</x:v>
      </x:c>
      <x:c r="F10" s="73" t="str">
        <x:v>WEB-005</x:v>
      </x:c>
      <x:c r="G10" s="73" t="str">
        <x:v>Creación del proyecto, repositorio y estructura base</x:v>
      </x:c>
      <x:c r="H10" s="73" t="str">
        <x:v>Proyecto</x:v>
      </x:c>
      <x:c r="I10" s="85" t="n">
        <x:v>1</x:v>
      </x:c>
      <x:c r="J10" s="85" t="str">
        <x:v>Sí</x:v>
      </x:c>
      <x:c r="K10" s="85" t="str">
        <x:v>Sí</x:v>
      </x:c>
      <x:c r="L10" s="85" t="n">
        <x:v>1</x:v>
      </x:c>
      <x:c r="M10" s="85" t="str">
        <x:v>Alta</x:v>
      </x:c>
      <x:c r="N10" s="85" t="n">
        <x:v>0.55</x:v>
      </x:c>
      <x:c r="O10" s="85" t="n">
        <x:v>0.55</x:v>
      </x:c>
      <x:c r="P10" s="85" t="str">
        <x:v>Baja</x:v>
      </x:c>
      <x:c r="Q10" s="85" t="n">
        <x:v>1</x:v>
      </x:c>
      <x:c r="R10" s="85" t="n">
        <x:v>1.15</x:v>
      </x:c>
      <x:c r="S10" s="85" t="n">
        <x:v>1.3</x:v>
      </x:c>
      <x:c r="T10" s="85" t="n">
        <x:v>0.55</x:v>
      </x:c>
      <x:c r="U10" s="85" t="n">
        <x:v>0.6325</x:v>
      </x:c>
      <x:c r="V10" s="85" t="n">
        <x:v>0.7150000000000001</x:v>
      </x:c>
      <x:c r="W10" s="73"/>
      <x:c r="X10" s="73" t="str">
        <x:v>Repositorio inicial</x:v>
      </x:c>
      <x:c r="Y10" s="73" t="str">
        <x:v>Estructura técnica, control de versiones y configuración</x:v>
      </x:c>
      <x:c r="Z10" s="73"/>
      <x:c r="AA10" s="73" t="str">
        <x:v>Preliminar</x:v>
      </x:c>
      <x:c r="AB10" s="78" t="str">
        <x:v>Estimación técnica ISM · Validar</x:v>
      </x:c>
    </x:row>
    <x:row r="11">
      <x:c r="A11" s="77" t="str">
        <x:v>Desarrollo e Implementación</x:v>
      </x:c>
      <x:c r="B11" s="73" t="str">
        <x:v>WEB-01</x:v>
      </x:c>
      <x:c r="C11" s="73" t="str">
        <x:v>Sitio web profesional</x:v>
      </x:c>
      <x:c r="D11" s="73" t="str">
        <x:v>01 · Primeros pasos digitales</x:v>
      </x:c>
      <x:c r="E11" s="73" t="str">
        <x:v>Preparación</x:v>
      </x:c>
      <x:c r="F11" s="73" t="str">
        <x:v>WEB-006</x:v>
      </x:c>
      <x:c r="G11" s="73" t="str">
        <x:v>Configuración de estilos, tipografías y tokens de marca</x:v>
      </x:c>
      <x:c r="H11" s="73" t="str">
        <x:v>Proyecto</x:v>
      </x:c>
      <x:c r="I11" s="85" t="n">
        <x:v>1</x:v>
      </x:c>
      <x:c r="J11" s="85" t="str">
        <x:v>Sí</x:v>
      </x:c>
      <x:c r="K11" s="85" t="str">
        <x:v>Sí</x:v>
      </x:c>
      <x:c r="L11" s="85" t="n">
        <x:v>1.5</x:v>
      </x:c>
      <x:c r="M11" s="85" t="str">
        <x:v>Alta</x:v>
      </x:c>
      <x:c r="N11" s="85" t="n">
        <x:v>0.6</x:v>
      </x:c>
      <x:c r="O11" s="85" t="n">
        <x:v>0.8999999999999999</x:v>
      </x:c>
      <x:c r="P11" s="85" t="str">
        <x:v>Media</x:v>
      </x:c>
      <x:c r="Q11" s="85" t="n">
        <x:v>1</x:v>
      </x:c>
      <x:c r="R11" s="85" t="n">
        <x:v>1.3</x:v>
      </x:c>
      <x:c r="S11" s="85" t="n">
        <x:v>1.55</x:v>
      </x:c>
      <x:c r="T11" s="85" t="n">
        <x:v>0.8999999999999999</x:v>
      </x:c>
      <x:c r="U11" s="85" t="n">
        <x:v>1.17</x:v>
      </x:c>
      <x:c r="V11" s="85" t="n">
        <x:v>1.3949999999999998</x:v>
      </x:c>
      <x:c r="W11" s="73"/>
      <x:c r="X11" s="73" t="str">
        <x:v>Sistema visual base</x:v>
      </x:c>
      <x:c r="Y11" s="73" t="str">
        <x:v>Colores, tipografías, botones, espaciados y componentes</x:v>
      </x:c>
      <x:c r="Z11" s="73"/>
      <x:c r="AA11" s="73" t="str">
        <x:v>Preliminar</x:v>
      </x:c>
      <x:c r="AB11" s="78" t="str">
        <x:v>Estimación técnica ISM · Validar</x:v>
      </x:c>
    </x:row>
    <x:row r="12">
      <x:c r="A12" s="77" t="str">
        <x:v>Desarrollo e Implementación</x:v>
      </x:c>
      <x:c r="B12" s="73" t="str">
        <x:v>WEB-01</x:v>
      </x:c>
      <x:c r="C12" s="73" t="str">
        <x:v>Sitio web profesional</x:v>
      </x:c>
      <x:c r="D12" s="73" t="str">
        <x:v>01 · Primeros pasos digitales</x:v>
      </x:c>
      <x:c r="E12" s="73" t="str">
        <x:v>Interfaz</x:v>
      </x:c>
      <x:c r="F12" s="73" t="str">
        <x:v>WEB-007</x:v>
      </x:c>
      <x:c r="G12" s="73" t="str">
        <x:v>Desarrollo de navbar y menú móvil</x:v>
      </x:c>
      <x:c r="H12" s="73" t="str">
        <x:v>Componente</x:v>
      </x:c>
      <x:c r="I12" s="85" t="n">
        <x:v>1</x:v>
      </x:c>
      <x:c r="J12" s="85" t="str">
        <x:v>Sí</x:v>
      </x:c>
      <x:c r="K12" s="85" t="str">
        <x:v>Sí</x:v>
      </x:c>
      <x:c r="L12" s="85" t="n">
        <x:v>1.5</x:v>
      </x:c>
      <x:c r="M12" s="85" t="str">
        <x:v>Alta</x:v>
      </x:c>
      <x:c r="N12" s="85" t="n">
        <x:v>0.55</x:v>
      </x:c>
      <x:c r="O12" s="85" t="n">
        <x:v>0.8250000000000001</x:v>
      </x:c>
      <x:c r="P12" s="85" t="str">
        <x:v>Media</x:v>
      </x:c>
      <x:c r="Q12" s="85" t="n">
        <x:v>1</x:v>
      </x:c>
      <x:c r="R12" s="85" t="n">
        <x:v>1.3</x:v>
      </x:c>
      <x:c r="S12" s="85" t="n">
        <x:v>1.55</x:v>
      </x:c>
      <x:c r="T12" s="85" t="n">
        <x:v>0.8250000000000001</x:v>
      </x:c>
      <x:c r="U12" s="85" t="n">
        <x:v>1.0725000000000002</x:v>
      </x:c>
      <x:c r="V12" s="85" t="n">
        <x:v>1.27875</x:v>
      </x:c>
      <x:c r="W12" s="73"/>
      <x:c r="X12" s="73" t="str">
        <x:v>Navbar funcional</x:v>
      </x:c>
      <x:c r="Y12" s="73" t="str">
        <x:v>Navegación de escritorio, enlaces, estados y comportamiento del menú móvil.</x:v>
      </x:c>
      <x:c r="Z12" s="73" t="str">
        <x:v>El ajuste responsive transversal del resto del sitio se contabiliza en WEB-022.</x:v>
      </x:c>
      <x:c r="AA12" s="73" t="str">
        <x:v>Preliminar</x:v>
      </x:c>
      <x:c r="AB12" s="78" t="str">
        <x:v>Estimación técnica ISM · Validar</x:v>
      </x:c>
    </x:row>
    <x:row r="13">
      <x:c r="A13" s="77" t="str">
        <x:v>Desarrollo e Implementación</x:v>
      </x:c>
      <x:c r="B13" s="73" t="str">
        <x:v>WEB-01</x:v>
      </x:c>
      <x:c r="C13" s="73" t="str">
        <x:v>Sitio web profesional</x:v>
      </x:c>
      <x:c r="D13" s="73" t="str">
        <x:v>01 · Primeros pasos digitales</x:v>
      </x:c>
      <x:c r="E13" s="73" t="str">
        <x:v>Interfaz</x:v>
      </x:c>
      <x:c r="F13" s="73" t="str">
        <x:v>WEB-008</x:v>
      </x:c>
      <x:c r="G13" s="73" t="str">
        <x:v>Diseño y desarrollo del hero principal</x:v>
      </x:c>
      <x:c r="H13" s="73" t="str">
        <x:v>Componente</x:v>
      </x:c>
      <x:c r="I13" s="85" t="n">
        <x:v>1</x:v>
      </x:c>
      <x:c r="J13" s="85" t="str">
        <x:v>Sí</x:v>
      </x:c>
      <x:c r="K13" s="85" t="str">
        <x:v>Sí</x:v>
      </x:c>
      <x:c r="L13" s="85" t="n">
        <x:v>2</x:v>
      </x:c>
      <x:c r="M13" s="85" t="str">
        <x:v>Parcial</x:v>
      </x:c>
      <x:c r="N13" s="85" t="n">
        <x:v>0.75</x:v>
      </x:c>
      <x:c r="O13" s="85" t="n">
        <x:v>1.875</x:v>
      </x:c>
      <x:c r="P13" s="85" t="str">
        <x:v>Alta</x:v>
      </x:c>
      <x:c r="Q13" s="85" t="n">
        <x:v>1</x:v>
      </x:c>
      <x:c r="R13" s="85" t="n">
        <x:v>1.45</x:v>
      </x:c>
      <x:c r="S13" s="85" t="n">
        <x:v>1.8</x:v>
      </x:c>
      <x:c r="T13" s="85" t="n">
        <x:v>1.875</x:v>
      </x:c>
      <x:c r="U13" s="85" t="n">
        <x:v>2.71875</x:v>
      </x:c>
      <x:c r="V13" s="85" t="n">
        <x:v>3.375</x:v>
      </x:c>
      <x:c r="W13" s="73"/>
      <x:c r="X13" s="73" t="str">
        <x:v>Hero implementado</x:v>
      </x:c>
      <x:c r="Y13" s="73" t="str">
        <x:v>Titular, texto, llamada a la acción, imagen y composición visual del bloque principal.</x:v>
      </x:c>
      <x:c r="Z13" s="73" t="str">
        <x:v>La adaptación responsive transversal se contabiliza en WEB-022. No incluye sesión fotográfica.</x:v>
      </x:c>
      <x:c r="AA13" s="73" t="str">
        <x:v>Preliminar</x:v>
      </x:c>
      <x:c r="AB13" s="78" t="str">
        <x:v>Estimación técnica ISM · Validar</x:v>
      </x:c>
    </x:row>
    <x:row r="14">
      <x:c r="A14" s="77" t="str">
        <x:v>Desarrollo e Implementación</x:v>
      </x:c>
      <x:c r="B14" s="73" t="str">
        <x:v>WEB-01</x:v>
      </x:c>
      <x:c r="C14" s="73" t="str">
        <x:v>Sitio web profesional</x:v>
      </x:c>
      <x:c r="D14" s="73" t="str">
        <x:v>01 · Primeros pasos digitales</x:v>
      </x:c>
      <x:c r="E14" s="73" t="str">
        <x:v>Interfaz</x:v>
      </x:c>
      <x:c r="F14" s="73" t="str">
        <x:v>WEB-009</x:v>
      </x:c>
      <x:c r="G14" s="73" t="str">
        <x:v>Desarrollo de sección estándar de contenido</x:v>
      </x:c>
      <x:c r="H14" s="73" t="str">
        <x:v>Sección</x:v>
      </x:c>
      <x:c r="I14" s="85" t="n">
        <x:v>4</x:v>
      </x:c>
      <x:c r="J14" s="85" t="str">
        <x:v>Sí</x:v>
      </x:c>
      <x:c r="K14" s="85" t="str">
        <x:v>No</x:v>
      </x:c>
      <x:c r="L14" s="85" t="n">
        <x:v>1.25</x:v>
      </x:c>
      <x:c r="M14" s="85" t="str">
        <x:v>Alta</x:v>
      </x:c>
      <x:c r="N14" s="85" t="n">
        <x:v>0.6</x:v>
      </x:c>
      <x:c r="O14" s="85" t="n">
        <x:v>0.75</x:v>
      </x:c>
      <x:c r="P14" s="85" t="str">
        <x:v>Media</x:v>
      </x:c>
      <x:c r="Q14" s="85" t="n">
        <x:v>1</x:v>
      </x:c>
      <x:c r="R14" s="85" t="n">
        <x:v>1.3</x:v>
      </x:c>
      <x:c r="S14" s="85" t="n">
        <x:v>1.55</x:v>
      </x:c>
      <x:c r="T14" s="85" t="n">
        <x:v>3</x:v>
      </x:c>
      <x:c r="U14" s="85" t="n">
        <x:v>3.9000000000000004</x:v>
      </x:c>
      <x:c r="V14" s="85" t="n">
        <x:v>4.65</x:v>
      </x:c>
      <x:c r="W14" s="73"/>
      <x:c r="X14" s="73" t="str">
        <x:v>Secciones implementadas</x:v>
      </x:c>
      <x:c r="Y14" s="73" t="str">
        <x:v>Bloque de contenido con título, texto, imagen o tarjetas</x:v>
      </x:c>
      <x:c r="Z14" s="73"/>
      <x:c r="AA14" s="73" t="str">
        <x:v>Preliminar</x:v>
      </x:c>
      <x:c r="AB14" s="78" t="str">
        <x:v>Estimación técnica ISM · Validar</x:v>
      </x:c>
    </x:row>
    <x:row r="15">
      <x:c r="A15" s="77" t="str">
        <x:v>Desarrollo e Implementación</x:v>
      </x:c>
      <x:c r="B15" s="73" t="str">
        <x:v>WEB-01</x:v>
      </x:c>
      <x:c r="C15" s="73" t="str">
        <x:v>Sitio web profesional</x:v>
      </x:c>
      <x:c r="D15" s="73" t="str">
        <x:v>01 · Primeros pasos digitales</x:v>
      </x:c>
      <x:c r="E15" s="73" t="str">
        <x:v>Interfaz</x:v>
      </x:c>
      <x:c r="F15" s="73" t="str">
        <x:v>WEB-010</x:v>
      </x:c>
      <x:c r="G15" s="73" t="str">
        <x:v>Desarrollo de sección de servicios con tarjetas</x:v>
      </x:c>
      <x:c r="H15" s="73" t="str">
        <x:v>Sección</x:v>
      </x:c>
      <x:c r="I15" s="85" t="n">
        <x:v>1</x:v>
      </x:c>
      <x:c r="J15" s="85" t="str">
        <x:v>Sí</x:v>
      </x:c>
      <x:c r="K15" s="85" t="str">
        <x:v>No</x:v>
      </x:c>
      <x:c r="L15" s="85" t="n">
        <x:v>2</x:v>
      </x:c>
      <x:c r="M15" s="85" t="str">
        <x:v>Parcial</x:v>
      </x:c>
      <x:c r="N15" s="85" t="n">
        <x:v>0.7</x:v>
      </x:c>
      <x:c r="O15" s="85" t="n">
        <x:v>1.4</x:v>
      </x:c>
      <x:c r="P15" s="85" t="str">
        <x:v>Media</x:v>
      </x:c>
      <x:c r="Q15" s="85" t="n">
        <x:v>1</x:v>
      </x:c>
      <x:c r="R15" s="85" t="n">
        <x:v>1.3</x:v>
      </x:c>
      <x:c r="S15" s="85" t="n">
        <x:v>1.55</x:v>
      </x:c>
      <x:c r="T15" s="85" t="n">
        <x:v>1.4</x:v>
      </x:c>
      <x:c r="U15" s="85" t="n">
        <x:v>1.8199999999999998</x:v>
      </x:c>
      <x:c r="V15" s="85" t="n">
        <x:v>2.17</x:v>
      </x:c>
      <x:c r="W15" s="73"/>
      <x:c r="X15" s="73" t="str">
        <x:v>Sección de servicios</x:v>
      </x:c>
      <x:c r="Y15" s="73" t="str">
        <x:v>Tarjetas, íconos, descripciones y CTA</x:v>
      </x:c>
      <x:c r="Z15" s="73"/>
      <x:c r="AA15" s="73" t="str">
        <x:v>Preliminar</x:v>
      </x:c>
      <x:c r="AB15" s="78" t="str">
        <x:v>Estimación técnica ISM · Validar</x:v>
      </x:c>
    </x:row>
    <x:row r="16">
      <x:c r="A16" s="77" t="str">
        <x:v>Desarrollo e Implementación</x:v>
      </x:c>
      <x:c r="B16" s="73" t="str">
        <x:v>WEB-01</x:v>
      </x:c>
      <x:c r="C16" s="73" t="str">
        <x:v>Sitio web profesional</x:v>
      </x:c>
      <x:c r="D16" s="73" t="str">
        <x:v>01 · Primeros pasos digitales</x:v>
      </x:c>
      <x:c r="E16" s="73" t="str">
        <x:v>Interfaz</x:v>
      </x:c>
      <x:c r="F16" s="73" t="str">
        <x:v>WEB-011</x:v>
      </x:c>
      <x:c r="G16" s="73" t="str">
        <x:v>Desarrollo de galería o portafolio</x:v>
      </x:c>
      <x:c r="H16" s="73" t="str">
        <x:v>Sección</x:v>
      </x:c>
      <x:c r="I16" s="85" t="n">
        <x:v>1</x:v>
      </x:c>
      <x:c r="J16" s="85" t="str">
        <x:v>No</x:v>
      </x:c>
      <x:c r="K16" s="85" t="str">
        <x:v>No</x:v>
      </x:c>
      <x:c r="L16" s="85" t="n">
        <x:v>2.5</x:v>
      </x:c>
      <x:c r="M16" s="85" t="str">
        <x:v>Parcial</x:v>
      </x:c>
      <x:c r="N16" s="85" t="n">
        <x:v>0.8</x:v>
      </x:c>
      <x:c r="O16" s="85" t="n">
        <x:v>2</x:v>
      </x:c>
      <x:c r="P16" s="85" t="str">
        <x:v>Alta</x:v>
      </x:c>
      <x:c r="Q16" s="85" t="n">
        <x:v>1</x:v>
      </x:c>
      <x:c r="R16" s="85" t="n">
        <x:v>1.45</x:v>
      </x:c>
      <x:c r="S16" s="85" t="n">
        <x:v>1.8</x:v>
      </x:c>
      <x:c r="T16" s="85" t="n">
        <x:v>0</x:v>
      </x:c>
      <x:c r="U16" s="85" t="n">
        <x:v>0</x:v>
      </x:c>
      <x:c r="V16" s="85" t="n">
        <x:v>0</x:v>
      </x:c>
      <x:c r="W16" s="73"/>
      <x:c r="X16" s="73" t="str">
        <x:v>Galería funcional</x:v>
      </x:c>
      <x:c r="Y16" s="73" t="str">
        <x:v>Listado visual, modal o enlace a proyectos</x:v>
      </x:c>
      <x:c r="Z16" s="73" t="str">
        <x:v>Carga masiva de contenido</x:v>
      </x:c>
      <x:c r="AA16" s="73" t="str">
        <x:v>Preliminar</x:v>
      </x:c>
      <x:c r="AB16" s="78" t="str">
        <x:v>Estimación técnica ISM · Validar</x:v>
      </x:c>
    </x:row>
    <x:row r="17">
      <x:c r="A17" s="77" t="str">
        <x:v>Desarrollo e Implementación</x:v>
      </x:c>
      <x:c r="B17" s="73" t="str">
        <x:v>WEB-01</x:v>
      </x:c>
      <x:c r="C17" s="73" t="str">
        <x:v>Sitio web profesional</x:v>
      </x:c>
      <x:c r="D17" s="73" t="str">
        <x:v>01 · Primeros pasos digitales</x:v>
      </x:c>
      <x:c r="E17" s="73" t="str">
        <x:v>Interfaz</x:v>
      </x:c>
      <x:c r="F17" s="73" t="str">
        <x:v>WEB-012</x:v>
      </x:c>
      <x:c r="G17" s="73" t="str">
        <x:v>Desarrollo de testimonios o casos de éxito</x:v>
      </x:c>
      <x:c r="H17" s="73" t="str">
        <x:v>Sección</x:v>
      </x:c>
      <x:c r="I17" s="85" t="n">
        <x:v>1</x:v>
      </x:c>
      <x:c r="J17" s="85" t="str">
        <x:v>No</x:v>
      </x:c>
      <x:c r="K17" s="85" t="str">
        <x:v>No</x:v>
      </x:c>
      <x:c r="L17" s="85" t="n">
        <x:v>1.25</x:v>
      </x:c>
      <x:c r="M17" s="85" t="str">
        <x:v>Alta</x:v>
      </x:c>
      <x:c r="N17" s="85" t="n">
        <x:v>0.6</x:v>
      </x:c>
      <x:c r="O17" s="85" t="n">
        <x:v>0.8999999999999999</x:v>
      </x:c>
      <x:c r="P17" s="85" t="str">
        <x:v>Media</x:v>
      </x:c>
      <x:c r="Q17" s="85" t="n">
        <x:v>1</x:v>
      </x:c>
      <x:c r="R17" s="85" t="n">
        <x:v>1.3</x:v>
      </x:c>
      <x:c r="S17" s="85" t="n">
        <x:v>1.55</x:v>
      </x:c>
      <x:c r="T17" s="85" t="n">
        <x:v>0</x:v>
      </x:c>
      <x:c r="U17" s="85" t="n">
        <x:v>0</x:v>
      </x:c>
      <x:c r="V17" s="85" t="n">
        <x:v>0</x:v>
      </x:c>
      <x:c r="W17" s="73"/>
      <x:c r="X17" s="73" t="str">
        <x:v>Sección de testimonios</x:v>
      </x:c>
      <x:c r="Y17" s="73" t="str">
        <x:v>Tarjetas, datos, jerarquía visual y comportamiento del componente.</x:v>
      </x:c>
      <x:c r="Z17" s="73" t="str">
        <x:v>La adaptación responsive transversal se contabiliza en WEB-022.</x:v>
      </x:c>
      <x:c r="AA17" s="73" t="str">
        <x:v>Preliminar</x:v>
      </x:c>
      <x:c r="AB17" s="78" t="str">
        <x:v>Estimación técnica ISM · Validar</x:v>
      </x:c>
    </x:row>
    <x:row r="18">
      <x:c r="A18" s="77" t="str">
        <x:v>Desarrollo e Implementación</x:v>
      </x:c>
      <x:c r="B18" s="73" t="str">
        <x:v>WEB-01</x:v>
      </x:c>
      <x:c r="C18" s="73" t="str">
        <x:v>Sitio web profesional</x:v>
      </x:c>
      <x:c r="D18" s="73" t="str">
        <x:v>01 · Primeros pasos digitales</x:v>
      </x:c>
      <x:c r="E18" s="73" t="str">
        <x:v>Interfaz</x:v>
      </x:c>
      <x:c r="F18" s="73" t="str">
        <x:v>WEB-013</x:v>
      </x:c>
      <x:c r="G18" s="73" t="str">
        <x:v>Desarrollo de preguntas frecuentes</x:v>
      </x:c>
      <x:c r="H18" s="73" t="str">
        <x:v>Sección</x:v>
      </x:c>
      <x:c r="I18" s="85" t="n">
        <x:v>1</x:v>
      </x:c>
      <x:c r="J18" s="85" t="str">
        <x:v>No</x:v>
      </x:c>
      <x:c r="K18" s="85" t="str">
        <x:v>No</x:v>
      </x:c>
      <x:c r="L18" s="85" t="n">
        <x:v>1.25</x:v>
      </x:c>
      <x:c r="M18" s="85" t="str">
        <x:v>Alta</x:v>
      </x:c>
      <x:c r="N18" s="85" t="n">
        <x:v>0.6</x:v>
      </x:c>
      <x:c r="O18" s="85" t="n">
        <x:v>0.75</x:v>
      </x:c>
      <x:c r="P18" s="85" t="str">
        <x:v>Baja</x:v>
      </x:c>
      <x:c r="Q18" s="85" t="n">
        <x:v>1</x:v>
      </x:c>
      <x:c r="R18" s="85" t="n">
        <x:v>1.15</x:v>
      </x:c>
      <x:c r="S18" s="85" t="n">
        <x:v>1.3</x:v>
      </x:c>
      <x:c r="T18" s="85" t="n">
        <x:v>0</x:v>
      </x:c>
      <x:c r="U18" s="85" t="n">
        <x:v>0</x:v>
      </x:c>
      <x:c r="V18" s="85" t="n">
        <x:v>0</x:v>
      </x:c>
      <x:c r="W18" s="73"/>
      <x:c r="X18" s="73" t="str">
        <x:v>FAQ interactiva</x:v>
      </x:c>
      <x:c r="Y18" s="73" t="str">
        <x:v>Acordeones y contenido entregado por cliente</x:v>
      </x:c>
      <x:c r="Z18" s="73"/>
      <x:c r="AA18" s="73" t="str">
        <x:v>Preliminar</x:v>
      </x:c>
      <x:c r="AB18" s="78" t="str">
        <x:v>Estimación técnica ISM · Validar</x:v>
      </x:c>
    </x:row>
    <x:row r="19">
      <x:c r="A19" s="77" t="str">
        <x:v>Desarrollo e Implementación</x:v>
      </x:c>
      <x:c r="B19" s="73" t="str">
        <x:v>WEB-01</x:v>
      </x:c>
      <x:c r="C19" s="73" t="str">
        <x:v>Sitio web profesional</x:v>
      </x:c>
      <x:c r="D19" s="73" t="str">
        <x:v>01 · Primeros pasos digitales</x:v>
      </x:c>
      <x:c r="E19" s="73" t="str">
        <x:v>Interfaz</x:v>
      </x:c>
      <x:c r="F19" s="73" t="str">
        <x:v>WEB-014</x:v>
      </x:c>
      <x:c r="G19" s="73" t="str">
        <x:v>Desarrollo de formulario de contacto</x:v>
      </x:c>
      <x:c r="H19" s="73" t="str">
        <x:v>Formulario</x:v>
      </x:c>
      <x:c r="I19" s="85" t="n">
        <x:v>1</x:v>
      </x:c>
      <x:c r="J19" s="85" t="str">
        <x:v>Sí</x:v>
      </x:c>
      <x:c r="K19" s="85" t="str">
        <x:v>No</x:v>
      </x:c>
      <x:c r="L19" s="85" t="n">
        <x:v>2.5</x:v>
      </x:c>
      <x:c r="M19" s="85" t="str">
        <x:v>Parcial</x:v>
      </x:c>
      <x:c r="N19" s="85" t="n">
        <x:v>0.75</x:v>
      </x:c>
      <x:c r="O19" s="85" t="n">
        <x:v>1.875</x:v>
      </x:c>
      <x:c r="P19" s="85" t="str">
        <x:v>Alta</x:v>
      </x:c>
      <x:c r="Q19" s="85" t="n">
        <x:v>1</x:v>
      </x:c>
      <x:c r="R19" s="85" t="n">
        <x:v>1.45</x:v>
      </x:c>
      <x:c r="S19" s="85" t="n">
        <x:v>1.8</x:v>
      </x:c>
      <x:c r="T19" s="85" t="n">
        <x:v>1.875</x:v>
      </x:c>
      <x:c r="U19" s="85" t="n">
        <x:v>2.71875</x:v>
      </x:c>
      <x:c r="V19" s="85" t="n">
        <x:v>3.375</x:v>
      </x:c>
      <x:c r="W19" s="73"/>
      <x:c r="X19" s="73" t="str">
        <x:v>Formulario validado</x:v>
      </x:c>
      <x:c r="Y19" s="73" t="str">
        <x:v>Campos, validaciones, estados y confirmación</x:v>
      </x:c>
      <x:c r="Z19" s="73" t="str">
        <x:v>Integraciones CRM avanzadas</x:v>
      </x:c>
      <x:c r="AA19" s="73" t="str">
        <x:v>Preliminar</x:v>
      </x:c>
      <x:c r="AB19" s="78" t="str">
        <x:v>Estimación técnica ISM · Validar</x:v>
      </x:c>
    </x:row>
    <x:row r="20">
      <x:c r="A20" s="77" t="str">
        <x:v>Desarrollo e Implementación</x:v>
      </x:c>
      <x:c r="B20" s="73" t="str">
        <x:v>WEB-01</x:v>
      </x:c>
      <x:c r="C20" s="73" t="str">
        <x:v>Sitio web profesional</x:v>
      </x:c>
      <x:c r="D20" s="73" t="str">
        <x:v>01 · Primeros pasos digitales</x:v>
      </x:c>
      <x:c r="E20" s="73" t="str">
        <x:v>Interfaz</x:v>
      </x:c>
      <x:c r="F20" s="73" t="str">
        <x:v>WEB-015</x:v>
      </x:c>
      <x:c r="G20" s="73" t="str">
        <x:v>Desarrollo de footer</x:v>
      </x:c>
      <x:c r="H20" s="73" t="str">
        <x:v>Componente</x:v>
      </x:c>
      <x:c r="I20" s="85" t="n">
        <x:v>1</x:v>
      </x:c>
      <x:c r="J20" s="85" t="str">
        <x:v>Sí</x:v>
      </x:c>
      <x:c r="K20" s="85" t="str">
        <x:v>Sí</x:v>
      </x:c>
      <x:c r="L20" s="85" t="n">
        <x:v>0.75</x:v>
      </x:c>
      <x:c r="M20" s="85" t="str">
        <x:v>Alta</x:v>
      </x:c>
      <x:c r="N20" s="85" t="n">
        <x:v>0.55</x:v>
      </x:c>
      <x:c r="O20" s="85" t="n">
        <x:v>0.55</x:v>
      </x:c>
      <x:c r="P20" s="85" t="str">
        <x:v>Baja</x:v>
      </x:c>
      <x:c r="Q20" s="85" t="n">
        <x:v>1</x:v>
      </x:c>
      <x:c r="R20" s="85" t="n">
        <x:v>1.15</x:v>
      </x:c>
      <x:c r="S20" s="85" t="n">
        <x:v>1.3</x:v>
      </x:c>
      <x:c r="T20" s="85" t="n">
        <x:v>0.55</x:v>
      </x:c>
      <x:c r="U20" s="85" t="n">
        <x:v>0.6325</x:v>
      </x:c>
      <x:c r="V20" s="85" t="n">
        <x:v>0.7150000000000001</x:v>
      </x:c>
      <x:c r="W20" s="73"/>
      <x:c r="X20" s="73" t="str">
        <x:v>Footer funcional</x:v>
      </x:c>
      <x:c r="Y20" s="73" t="str">
        <x:v>Datos de contacto, enlaces, redes y estructura del pie de página.</x:v>
      </x:c>
      <x:c r="Z20" s="73" t="str">
        <x:v>La adaptación responsive transversal se contabiliza en WEB-022.</x:v>
      </x:c>
      <x:c r="AA20" s="73" t="str">
        <x:v>Preliminar</x:v>
      </x:c>
      <x:c r="AB20" s="78" t="str">
        <x:v>Estimación técnica ISM · Validar</x:v>
      </x:c>
    </x:row>
    <x:row r="21">
      <x:c r="A21" s="77" t="str">
        <x:v>Desarrollo e Implementación</x:v>
      </x:c>
      <x:c r="B21" s="73" t="str">
        <x:v>WEB-01</x:v>
      </x:c>
      <x:c r="C21" s="73" t="str">
        <x:v>Sitio web profesional</x:v>
      </x:c>
      <x:c r="D21" s="73" t="str">
        <x:v>01 · Primeros pasos digitales</x:v>
      </x:c>
      <x:c r="E21" s="73" t="str">
        <x:v>Página interna</x:v>
      </x:c>
      <x:c r="F21" s="73" t="str">
        <x:v>WEB-016</x:v>
      </x:c>
      <x:c r="G21" s="73" t="str">
        <x:v>Desarrollo de página interna estándar</x:v>
      </x:c>
      <x:c r="H21" s="73" t="str">
        <x:v>Página</x:v>
      </x:c>
      <x:c r="I21" s="85" t="n">
        <x:v>0</x:v>
      </x:c>
      <x:c r="J21" s="85" t="str">
        <x:v>No</x:v>
      </x:c>
      <x:c r="K21" s="85" t="str">
        <x:v>No</x:v>
      </x:c>
      <x:c r="L21" s="85" t="n">
        <x:v>2.5</x:v>
      </x:c>
      <x:c r="M21" s="85" t="str">
        <x:v>Parcial</x:v>
      </x:c>
      <x:c r="N21" s="85" t="n">
        <x:v>0.75</x:v>
      </x:c>
      <x:c r="O21" s="85" t="n">
        <x:v>1.875</x:v>
      </x:c>
      <x:c r="P21" s="85" t="str">
        <x:v>Media</x:v>
      </x:c>
      <x:c r="Q21" s="85" t="n">
        <x:v>1</x:v>
      </x:c>
      <x:c r="R21" s="85" t="n">
        <x:v>1.3</x:v>
      </x:c>
      <x:c r="S21" s="85" t="n">
        <x:v>1.55</x:v>
      </x:c>
      <x:c r="T21" s="85" t="n">
        <x:v>0</x:v>
      </x:c>
      <x:c r="U21" s="85" t="n">
        <x:v>0</x:v>
      </x:c>
      <x:c r="V21" s="85" t="n">
        <x:v>0</x:v>
      </x:c>
      <x:c r="W21" s="73"/>
      <x:c r="X21" s="73" t="str">
        <x:v>Página interna</x:v>
      </x:c>
      <x:c r="Y21" s="73" t="str">
        <x:v>Plantilla, contenido, responsive y navegación</x:v>
      </x:c>
      <x:c r="Z21" s="73"/>
      <x:c r="AA21" s="73" t="str">
        <x:v>Preliminar</x:v>
      </x:c>
      <x:c r="AB21" s="78" t="str">
        <x:v>Estimación técnica ISM · Validar</x:v>
      </x:c>
    </x:row>
    <x:row r="22">
      <x:c r="A22" s="77" t="str">
        <x:v>Desarrollo e Implementación</x:v>
      </x:c>
      <x:c r="B22" s="73" t="str">
        <x:v>WEB-01</x:v>
      </x:c>
      <x:c r="C22" s="73" t="str">
        <x:v>Sitio web profesional</x:v>
      </x:c>
      <x:c r="D22" s="73" t="str">
        <x:v>01 · Primeros pasos digitales</x:v>
      </x:c>
      <x:c r="E22" s="73" t="str">
        <x:v>Integración</x:v>
      </x:c>
      <x:c r="F22" s="73" t="str">
        <x:v>WEB-017</x:v>
      </x:c>
      <x:c r="G22" s="73" t="str">
        <x:v>Integración de WhatsApp</x:v>
      </x:c>
      <x:c r="H22" s="73" t="str">
        <x:v>Integración</x:v>
      </x:c>
      <x:c r="I22" s="85" t="n">
        <x:v>1</x:v>
      </x:c>
      <x:c r="J22" s="85" t="str">
        <x:v>Sí</x:v>
      </x:c>
      <x:c r="K22" s="85" t="str">
        <x:v>No</x:v>
      </x:c>
      <x:c r="L22" s="85" t="n">
        <x:v>0.5</x:v>
      </x:c>
      <x:c r="M22" s="85" t="str">
        <x:v>Alta</x:v>
      </x:c>
      <x:c r="N22" s="85" t="n">
        <x:v>0.5</x:v>
      </x:c>
      <x:c r="O22" s="85" t="n">
        <x:v>0.25</x:v>
      </x:c>
      <x:c r="P22" s="85" t="str">
        <x:v>Baja</x:v>
      </x:c>
      <x:c r="Q22" s="85" t="n">
        <x:v>1</x:v>
      </x:c>
      <x:c r="R22" s="85" t="n">
        <x:v>1.15</x:v>
      </x:c>
      <x:c r="S22" s="85" t="n">
        <x:v>1.3</x:v>
      </x:c>
      <x:c r="T22" s="85" t="n">
        <x:v>0.25</x:v>
      </x:c>
      <x:c r="U22" s="85" t="n">
        <x:v>0.2875</x:v>
      </x:c>
      <x:c r="V22" s="85" t="n">
        <x:v>0.325</x:v>
      </x:c>
      <x:c r="W22" s="73"/>
      <x:c r="X22" s="73" t="str">
        <x:v>Enlace WhatsApp</x:v>
      </x:c>
      <x:c r="Y22" s="73" t="str">
        <x:v>Botón, mensaje inicial y enlace validado</x:v>
      </x:c>
      <x:c r="Z22" s="73"/>
      <x:c r="AA22" s="73" t="str">
        <x:v>Preliminar</x:v>
      </x:c>
      <x:c r="AB22" s="78" t="str">
        <x:v>Estimación técnica ISM · Validar</x:v>
      </x:c>
    </x:row>
    <x:row r="23">
      <x:c r="A23" s="77" t="str">
        <x:v>Desarrollo e Implementación</x:v>
      </x:c>
      <x:c r="B23" s="73" t="str">
        <x:v>WEB-01</x:v>
      </x:c>
      <x:c r="C23" s="73" t="str">
        <x:v>Sitio web profesional</x:v>
      </x:c>
      <x:c r="D23" s="73" t="str">
        <x:v>01 · Primeros pasos digitales</x:v>
      </x:c>
      <x:c r="E23" s="73" t="str">
        <x:v>Integración</x:v>
      </x:c>
      <x:c r="F23" s="73" t="str">
        <x:v>WEB-018</x:v>
      </x:c>
      <x:c r="G23" s="73" t="str">
        <x:v>Integración de redes sociales</x:v>
      </x:c>
      <x:c r="H23" s="73" t="str">
        <x:v>Integración</x:v>
      </x:c>
      <x:c r="I23" s="85" t="n">
        <x:v>1</x:v>
      </x:c>
      <x:c r="J23" s="85" t="str">
        <x:v>Sí</x:v>
      </x:c>
      <x:c r="K23" s="85" t="str">
        <x:v>No</x:v>
      </x:c>
      <x:c r="L23" s="85" t="n">
        <x:v>0.5</x:v>
      </x:c>
      <x:c r="M23" s="85" t="str">
        <x:v>Alta</x:v>
      </x:c>
      <x:c r="N23" s="85" t="n">
        <x:v>0.5</x:v>
      </x:c>
      <x:c r="O23" s="85" t="n">
        <x:v>0.25</x:v>
      </x:c>
      <x:c r="P23" s="85" t="str">
        <x:v>Baja</x:v>
      </x:c>
      <x:c r="Q23" s="85" t="n">
        <x:v>1</x:v>
      </x:c>
      <x:c r="R23" s="85" t="n">
        <x:v>1.15</x:v>
      </x:c>
      <x:c r="S23" s="85" t="n">
        <x:v>1.3</x:v>
      </x:c>
      <x:c r="T23" s="85" t="n">
        <x:v>0.25</x:v>
      </x:c>
      <x:c r="U23" s="85" t="n">
        <x:v>0.2875</x:v>
      </x:c>
      <x:c r="V23" s="85" t="n">
        <x:v>0.325</x:v>
      </x:c>
      <x:c r="W23" s="73"/>
      <x:c r="X23" s="73" t="str">
        <x:v>Enlaces sociales</x:v>
      </x:c>
      <x:c r="Y23" s="73" t="str">
        <x:v>Enlaces y comportamiento externo</x:v>
      </x:c>
      <x:c r="Z23" s="73"/>
      <x:c r="AA23" s="73" t="str">
        <x:v>Preliminar</x:v>
      </x:c>
      <x:c r="AB23" s="78" t="str">
        <x:v>Estimación técnica ISM · Validar</x:v>
      </x:c>
    </x:row>
    <x:row r="24">
      <x:c r="A24" s="77" t="str">
        <x:v>Desarrollo e Implementación</x:v>
      </x:c>
      <x:c r="B24" s="73" t="str">
        <x:v>WEB-01</x:v>
      </x:c>
      <x:c r="C24" s="73" t="str">
        <x:v>Sitio web profesional</x:v>
      </x:c>
      <x:c r="D24" s="73" t="str">
        <x:v>01 · Primeros pasos digitales</x:v>
      </x:c>
      <x:c r="E24" s="73" t="str">
        <x:v>Integración</x:v>
      </x:c>
      <x:c r="F24" s="73" t="str">
        <x:v>WEB-019</x:v>
      </x:c>
      <x:c r="G24" s="73" t="str">
        <x:v>Integración de Google Maps</x:v>
      </x:c>
      <x:c r="H24" s="73" t="str">
        <x:v>Integración</x:v>
      </x:c>
      <x:c r="I24" s="85" t="n">
        <x:v>1</x:v>
      </x:c>
      <x:c r="J24" s="85" t="str">
        <x:v>Sí</x:v>
      </x:c>
      <x:c r="K24" s="85" t="str">
        <x:v>No</x:v>
      </x:c>
      <x:c r="L24" s="85" t="n">
        <x:v>0.5</x:v>
      </x:c>
      <x:c r="M24" s="85" t="str">
        <x:v>Alta</x:v>
      </x:c>
      <x:c r="N24" s="85" t="n">
        <x:v>0.55</x:v>
      </x:c>
      <x:c r="O24" s="85" t="n">
        <x:v>0.41250000000000003</x:v>
      </x:c>
      <x:c r="P24" s="85" t="str">
        <x:v>Baja</x:v>
      </x:c>
      <x:c r="Q24" s="85" t="n">
        <x:v>1</x:v>
      </x:c>
      <x:c r="R24" s="85" t="n">
        <x:v>1.15</x:v>
      </x:c>
      <x:c r="S24" s="85" t="n">
        <x:v>1.3</x:v>
      </x:c>
      <x:c r="T24" s="85" t="n">
        <x:v>0.41250000000000003</x:v>
      </x:c>
      <x:c r="U24" s="85" t="n">
        <x:v>0.474375</x:v>
      </x:c>
      <x:c r="V24" s="85" t="n">
        <x:v>0.5362500000000001</x:v>
      </x:c>
      <x:c r="W24" s="73"/>
      <x:c r="X24" s="73" t="str">
        <x:v>Mapa integrado</x:v>
      </x:c>
      <x:c r="Y24" s="73" t="str">
        <x:v>Ubicación, marcador, enlace y accesibilidad básica del mapa.</x:v>
      </x:c>
      <x:c r="Z24" s="73" t="str">
        <x:v>La adaptación responsive transversal se contabiliza en WEB-022.</x:v>
      </x:c>
      <x:c r="AA24" s="73" t="str">
        <x:v>Preliminar</x:v>
      </x:c>
      <x:c r="AB24" s="78" t="str">
        <x:v>Estimación técnica ISM · Validar</x:v>
      </x:c>
    </x:row>
    <x:row r="25">
      <x:c r="A25" s="77" t="str">
        <x:v>Desarrollo e Implementación</x:v>
      </x:c>
      <x:c r="B25" s="73" t="str">
        <x:v>WEB-01</x:v>
      </x:c>
      <x:c r="C25" s="73" t="str">
        <x:v>Sitio web profesional</x:v>
      </x:c>
      <x:c r="D25" s="73" t="str">
        <x:v>01 · Primeros pasos digitales</x:v>
      </x:c>
      <x:c r="E25" s="73" t="str">
        <x:v>Integración</x:v>
      </x:c>
      <x:c r="F25" s="73" t="str">
        <x:v>WEB-020</x:v>
      </x:c>
      <x:c r="G25" s="73" t="str">
        <x:v>Configuración de envío de formulario por correo</x:v>
      </x:c>
      <x:c r="H25" s="73" t="str">
        <x:v>Integración</x:v>
      </x:c>
      <x:c r="I25" s="85" t="n">
        <x:v>1</x:v>
      </x:c>
      <x:c r="J25" s="85" t="str">
        <x:v>Sí</x:v>
      </x:c>
      <x:c r="K25" s="85" t="str">
        <x:v>No</x:v>
      </x:c>
      <x:c r="L25" s="85" t="n">
        <x:v>2</x:v>
      </x:c>
      <x:c r="M25" s="85" t="str">
        <x:v>Parcial</x:v>
      </x:c>
      <x:c r="N25" s="85" t="n">
        <x:v>0.8</x:v>
      </x:c>
      <x:c r="O25" s="85" t="n">
        <x:v>1.6</x:v>
      </x:c>
      <x:c r="P25" s="85" t="str">
        <x:v>Alta</x:v>
      </x:c>
      <x:c r="Q25" s="85" t="n">
        <x:v>1</x:v>
      </x:c>
      <x:c r="R25" s="85" t="n">
        <x:v>1.45</x:v>
      </x:c>
      <x:c r="S25" s="85" t="n">
        <x:v>1.8</x:v>
      </x:c>
      <x:c r="T25" s="85" t="n">
        <x:v>1.6</x:v>
      </x:c>
      <x:c r="U25" s="85" t="n">
        <x:v>2.32</x:v>
      </x:c>
      <x:c r="V25" s="85" t="n">
        <x:v>2.8800000000000003</x:v>
      </x:c>
      <x:c r="W25" s="73"/>
      <x:c r="X25" s="73" t="str">
        <x:v>Correo transaccional</x:v>
      </x:c>
      <x:c r="Y25" s="73" t="str">
        <x:v>Recepción, validación y prueba de entrega</x:v>
      </x:c>
      <x:c r="Z25" s="73" t="str">
        <x:v>Costos de proveedor externo</x:v>
      </x:c>
      <x:c r="AA25" s="73" t="str">
        <x:v>Preliminar</x:v>
      </x:c>
      <x:c r="AB25" s="78" t="str">
        <x:v>Estimación técnica ISM · Validar</x:v>
      </x:c>
    </x:row>
    <x:row r="26">
      <x:c r="A26" s="77" t="str">
        <x:v>Desarrollo e Implementación</x:v>
      </x:c>
      <x:c r="B26" s="73" t="str">
        <x:v>WEB-01</x:v>
      </x:c>
      <x:c r="C26" s="73" t="str">
        <x:v>Sitio web profesional</x:v>
      </x:c>
      <x:c r="D26" s="73" t="str">
        <x:v>01 · Primeros pasos digitales</x:v>
      </x:c>
      <x:c r="E26" s="73" t="str">
        <x:v>Contenido</x:v>
      </x:c>
      <x:c r="F26" s="73" t="str">
        <x:v>WEB-021</x:v>
      </x:c>
      <x:c r="G26" s="73" t="str">
        <x:v>Carga y formato de contenidos entregados</x:v>
      </x:c>
      <x:c r="H26" s="73" t="str">
        <x:v>Página</x:v>
      </x:c>
      <x:c r="I26" s="85" t="n">
        <x:v>1</x:v>
      </x:c>
      <x:c r="J26" s="85" t="str">
        <x:v>Sí</x:v>
      </x:c>
      <x:c r="K26" s="85" t="str">
        <x:v>No</x:v>
      </x:c>
      <x:c r="L26" s="85" t="n">
        <x:v>1.5</x:v>
      </x:c>
      <x:c r="M26" s="85" t="str">
        <x:v>Parcial</x:v>
      </x:c>
      <x:c r="N26" s="85" t="n">
        <x:v>0.75</x:v>
      </x:c>
      <x:c r="O26" s="85" t="n">
        <x:v>1.125</x:v>
      </x:c>
      <x:c r="P26" s="85" t="str">
        <x:v>Media</x:v>
      </x:c>
      <x:c r="Q26" s="85" t="n">
        <x:v>1</x:v>
      </x:c>
      <x:c r="R26" s="85" t="n">
        <x:v>1.3</x:v>
      </x:c>
      <x:c r="S26" s="85" t="n">
        <x:v>1.55</x:v>
      </x:c>
      <x:c r="T26" s="85" t="n">
        <x:v>1.125</x:v>
      </x:c>
      <x:c r="U26" s="85" t="n">
        <x:v>1.4625000000000001</x:v>
      </x:c>
      <x:c r="V26" s="85" t="n">
        <x:v>1.7437500000000001</x:v>
      </x:c>
      <x:c r="W26" s="73"/>
      <x:c r="X26" s="73" t="str">
        <x:v>Contenido publicado</x:v>
      </x:c>
      <x:c r="Y26" s="73" t="str">
        <x:v>Carga inicial, jerarquía y formato</x:v>
      </x:c>
      <x:c r="Z26" s="73" t="str">
        <x:v>Redacción profesional y traducción</x:v>
      </x:c>
      <x:c r="AA26" s="73" t="str">
        <x:v>Preliminar</x:v>
      </x:c>
      <x:c r="AB26" s="78" t="str">
        <x:v>Estimación técnica ISM · Validar</x:v>
      </x:c>
    </x:row>
    <x:row r="27">
      <x:c r="A27" s="77" t="str">
        <x:v>Desarrollo e Implementación</x:v>
      </x:c>
      <x:c r="B27" s="73" t="str">
        <x:v>WEB-01</x:v>
      </x:c>
      <x:c r="C27" s="73" t="str">
        <x:v>Sitio web profesional</x:v>
      </x:c>
      <x:c r="D27" s="73" t="str">
        <x:v>01 · Primeros pasos digitales</x:v>
      </x:c>
      <x:c r="E27" s="73" t="str">
        <x:v>Responsive</x:v>
      </x:c>
      <x:c r="F27" s="73" t="str">
        <x:v>WEB-022</x:v>
      </x:c>
      <x:c r="G27" s="73" t="str">
        <x:v>Implementación responsive integral</x:v>
      </x:c>
      <x:c r="H27" s="73" t="str">
        <x:v>Proyecto</x:v>
      </x:c>
      <x:c r="I27" s="85" t="n">
        <x:v>1</x:v>
      </x:c>
      <x:c r="J27" s="85" t="str">
        <x:v>Sí</x:v>
      </x:c>
      <x:c r="K27" s="85" t="str">
        <x:v>Sí</x:v>
      </x:c>
      <x:c r="L27" s="85" t="n">
        <x:v>3</x:v>
      </x:c>
      <x:c r="M27" s="85" t="str">
        <x:v>Parcial</x:v>
      </x:c>
      <x:c r="N27" s="85" t="n">
        <x:v>0.8</x:v>
      </x:c>
      <x:c r="O27" s="85" t="n">
        <x:v>2.4000000000000004</x:v>
      </x:c>
      <x:c r="P27" s="85" t="str">
        <x:v>Alta</x:v>
      </x:c>
      <x:c r="Q27" s="85" t="n">
        <x:v>1</x:v>
      </x:c>
      <x:c r="R27" s="85" t="n">
        <x:v>1.45</x:v>
      </x:c>
      <x:c r="S27" s="85" t="n">
        <x:v>1.8</x:v>
      </x:c>
      <x:c r="T27" s="85" t="n">
        <x:v>2.4000000000000004</x:v>
      </x:c>
      <x:c r="U27" s="85" t="n">
        <x:v>3.4800000000000004</x:v>
      </x:c>
      <x:c r="V27" s="85" t="n">
        <x:v>4.320000000000001</x:v>
      </x:c>
      <x:c r="W27" s="73" t="str">
        <x:v>WEB-007, WEB-008, WEB-009, WEB-010, WEB-014, WEB-015 y actividades visuales seleccionadas</x:v>
      </x:c>
      <x:c r="X27" s="73" t="str">
        <x:v>Sitio responsive</x:v>
      </x:c>
      <x:c r="Y27" s="73" t="str">
        <x:v>Única actividad de construcción responsive transversal para móvil, tablet y escritorio.</x:v>
      </x:c>
      <x:c r="Z27" s="73" t="str">
        <x:v>No incluye las pruebas de compatibilidad, que se contabilizan en WEB-031.</x:v>
      </x:c>
      <x:c r="AA27" s="73" t="str">
        <x:v>Preliminar</x:v>
      </x:c>
      <x:c r="AB27" s="78" t="str">
        <x:v>Estimación técnica ISM · Validar</x:v>
      </x:c>
    </x:row>
    <x:row r="28">
      <x:c r="A28" s="77" t="str">
        <x:v>Desarrollo e Implementación</x:v>
      </x:c>
      <x:c r="B28" s="73" t="str">
        <x:v>WEB-01</x:v>
      </x:c>
      <x:c r="C28" s="73" t="str">
        <x:v>Sitio web profesional</x:v>
      </x:c>
      <x:c r="D28" s="73" t="str">
        <x:v>01 · Primeros pasos digitales</x:v>
      </x:c>
      <x:c r="E28" s="73" t="str">
        <x:v>SEO</x:v>
      </x:c>
      <x:c r="F28" s="73" t="str">
        <x:v>WEB-023</x:v>
      </x:c>
      <x:c r="G28" s="73" t="str">
        <x:v>SEO técnico inicial y metadatos</x:v>
      </x:c>
      <x:c r="H28" s="73" t="str">
        <x:v>Proyecto</x:v>
      </x:c>
      <x:c r="I28" s="85" t="n">
        <x:v>1</x:v>
      </x:c>
      <x:c r="J28" s="85" t="str">
        <x:v>Sí</x:v>
      </x:c>
      <x:c r="K28" s="85" t="str">
        <x:v>No</x:v>
      </x:c>
      <x:c r="L28" s="85" t="n">
        <x:v>1.5</x:v>
      </x:c>
      <x:c r="M28" s="85" t="str">
        <x:v>Parcial</x:v>
      </x:c>
      <x:c r="N28" s="85" t="n">
        <x:v>0.75</x:v>
      </x:c>
      <x:c r="O28" s="85" t="n">
        <x:v>1.125</x:v>
      </x:c>
      <x:c r="P28" s="85" t="str">
        <x:v>Media</x:v>
      </x:c>
      <x:c r="Q28" s="85" t="n">
        <x:v>1</x:v>
      </x:c>
      <x:c r="R28" s="85" t="n">
        <x:v>1.3</x:v>
      </x:c>
      <x:c r="S28" s="85" t="n">
        <x:v>1.55</x:v>
      </x:c>
      <x:c r="T28" s="85" t="n">
        <x:v>1.125</x:v>
      </x:c>
      <x:c r="U28" s="85" t="n">
        <x:v>1.4625000000000001</x:v>
      </x:c>
      <x:c r="V28" s="85" t="n">
        <x:v>1.7437500000000001</x:v>
      </x:c>
      <x:c r="W28" s="73"/>
      <x:c r="X28" s="73" t="str">
        <x:v>Metadatos configurados</x:v>
      </x:c>
      <x:c r="Y28" s="73" t="str">
        <x:v>Titles, descriptions, canonical y etiquetas sociales</x:v>
      </x:c>
      <x:c r="Z28" s="73" t="str">
        <x:v>Estrategia SEO mensual</x:v>
      </x:c>
      <x:c r="AA28" s="73" t="str">
        <x:v>Preliminar</x:v>
      </x:c>
      <x:c r="AB28" s="78" t="str">
        <x:v>Estimación técnica ISM · Validar</x:v>
      </x:c>
    </x:row>
    <x:row r="29">
      <x:c r="A29" s="77" t="str">
        <x:v>Desarrollo e Implementación</x:v>
      </x:c>
      <x:c r="B29" s="73" t="str">
        <x:v>WEB-01</x:v>
      </x:c>
      <x:c r="C29" s="73" t="str">
        <x:v>Sitio web profesional</x:v>
      </x:c>
      <x:c r="D29" s="73" t="str">
        <x:v>01 · Primeros pasos digitales</x:v>
      </x:c>
      <x:c r="E29" s="73" t="str">
        <x:v>SEO</x:v>
      </x:c>
      <x:c r="F29" s="73" t="str">
        <x:v>WEB-024</x:v>
      </x:c>
      <x:c r="G29" s="73" t="str">
        <x:v>Sitemap, robots y estructura indexable</x:v>
      </x:c>
      <x:c r="H29" s="73" t="str">
        <x:v>Proyecto</x:v>
      </x:c>
      <x:c r="I29" s="85" t="n">
        <x:v>1</x:v>
      </x:c>
      <x:c r="J29" s="85" t="str">
        <x:v>Sí</x:v>
      </x:c>
      <x:c r="K29" s="85" t="str">
        <x:v>No</x:v>
      </x:c>
      <x:c r="L29" s="85" t="n">
        <x:v>0.75</x:v>
      </x:c>
      <x:c r="M29" s="85" t="str">
        <x:v>Alta</x:v>
      </x:c>
      <x:c r="N29" s="85" t="n">
        <x:v>0.55</x:v>
      </x:c>
      <x:c r="O29" s="85" t="n">
        <x:v>0.41250000000000003</x:v>
      </x:c>
      <x:c r="P29" s="85" t="str">
        <x:v>Baja</x:v>
      </x:c>
      <x:c r="Q29" s="85" t="n">
        <x:v>1</x:v>
      </x:c>
      <x:c r="R29" s="85" t="n">
        <x:v>1.15</x:v>
      </x:c>
      <x:c r="S29" s="85" t="n">
        <x:v>1.3</x:v>
      </x:c>
      <x:c r="T29" s="85" t="n">
        <x:v>0.41250000000000003</x:v>
      </x:c>
      <x:c r="U29" s="85" t="n">
        <x:v>0.474375</x:v>
      </x:c>
      <x:c r="V29" s="85" t="n">
        <x:v>0.5362500000000001</x:v>
      </x:c>
      <x:c r="W29" s="73"/>
      <x:c r="X29" s="73" t="str">
        <x:v>Archivos SEO</x:v>
      </x:c>
      <x:c r="Y29" s="73" t="str">
        <x:v>Sitemap, robots y revisión de indexabilidad</x:v>
      </x:c>
      <x:c r="Z29" s="73"/>
      <x:c r="AA29" s="73" t="str">
        <x:v>Preliminar</x:v>
      </x:c>
      <x:c r="AB29" s="78" t="str">
        <x:v>Estimación técnica ISM · Validar</x:v>
      </x:c>
    </x:row>
    <x:row r="30">
      <x:c r="A30" s="77" t="str">
        <x:v>Desarrollo e Implementación</x:v>
      </x:c>
      <x:c r="B30" s="73" t="str">
        <x:v>WEB-01</x:v>
      </x:c>
      <x:c r="C30" s="73" t="str">
        <x:v>Sitio web profesional</x:v>
      </x:c>
      <x:c r="D30" s="73" t="str">
        <x:v>01 · Primeros pasos digitales</x:v>
      </x:c>
      <x:c r="E30" s="73" t="str">
        <x:v>SEO</x:v>
      </x:c>
      <x:c r="F30" s="73" t="str">
        <x:v>WEB-025</x:v>
      </x:c>
      <x:c r="G30" s="73" t="str">
        <x:v>Datos estructurados básicos</x:v>
      </x:c>
      <x:c r="H30" s="73" t="str">
        <x:v>Proyecto</x:v>
      </x:c>
      <x:c r="I30" s="85" t="n">
        <x:v>1</x:v>
      </x:c>
      <x:c r="J30" s="85" t="str">
        <x:v>No</x:v>
      </x:c>
      <x:c r="K30" s="85" t="str">
        <x:v>No</x:v>
      </x:c>
      <x:c r="L30" s="85" t="n">
        <x:v>1</x:v>
      </x:c>
      <x:c r="M30" s="85" t="str">
        <x:v>Parcial</x:v>
      </x:c>
      <x:c r="N30" s="85" t="n">
        <x:v>0.75</x:v>
      </x:c>
      <x:c r="O30" s="85" t="n">
        <x:v>0.75</x:v>
      </x:c>
      <x:c r="P30" s="85" t="str">
        <x:v>Media</x:v>
      </x:c>
      <x:c r="Q30" s="85" t="n">
        <x:v>1</x:v>
      </x:c>
      <x:c r="R30" s="85" t="n">
        <x:v>1.3</x:v>
      </x:c>
      <x:c r="S30" s="85" t="n">
        <x:v>1.55</x:v>
      </x:c>
      <x:c r="T30" s="85" t="n">
        <x:v>0</x:v>
      </x:c>
      <x:c r="U30" s="85" t="n">
        <x:v>0</x:v>
      </x:c>
      <x:c r="V30" s="85" t="n">
        <x:v>0</x:v>
      </x:c>
      <x:c r="W30" s="73"/>
      <x:c r="X30" s="73" t="str">
        <x:v>Schema básico</x:v>
      </x:c>
      <x:c r="Y30" s="73" t="str">
        <x:v>Organization, LocalBusiness o Service según alcance</x:v>
      </x:c>
      <x:c r="Z30" s="73"/>
      <x:c r="AA30" s="73" t="str">
        <x:v>Preliminar</x:v>
      </x:c>
      <x:c r="AB30" s="78" t="str">
        <x:v>Estimación técnica ISM · Validar</x:v>
      </x:c>
    </x:row>
    <x:row r="31">
      <x:c r="A31" s="77" t="str">
        <x:v>Desarrollo e Implementación</x:v>
      </x:c>
      <x:c r="B31" s="73" t="str">
        <x:v>WEB-01</x:v>
      </x:c>
      <x:c r="C31" s="73" t="str">
        <x:v>Sitio web profesional</x:v>
      </x:c>
      <x:c r="D31" s="73" t="str">
        <x:v>01 · Primeros pasos digitales</x:v>
      </x:c>
      <x:c r="E31" s="73" t="str">
        <x:v>Rendimiento</x:v>
      </x:c>
      <x:c r="F31" s="73" t="str">
        <x:v>WEB-026</x:v>
      </x:c>
      <x:c r="G31" s="73" t="str">
        <x:v>Optimización de imágenes y recursos</x:v>
      </x:c>
      <x:c r="H31" s="73" t="str">
        <x:v>Proyecto</x:v>
      </x:c>
      <x:c r="I31" s="85" t="n">
        <x:v>1</x:v>
      </x:c>
      <x:c r="J31" s="85" t="str">
        <x:v>Sí</x:v>
      </x:c>
      <x:c r="K31" s="85" t="str">
        <x:v>No</x:v>
      </x:c>
      <x:c r="L31" s="85" t="n">
        <x:v>1.5</x:v>
      </x:c>
      <x:c r="M31" s="85" t="str">
        <x:v>Parcial</x:v>
      </x:c>
      <x:c r="N31" s="85" t="n">
        <x:v>0.7</x:v>
      </x:c>
      <x:c r="O31" s="85" t="n">
        <x:v>1.0499999999999998</x:v>
      </x:c>
      <x:c r="P31" s="85" t="str">
        <x:v>Media</x:v>
      </x:c>
      <x:c r="Q31" s="85" t="n">
        <x:v>1</x:v>
      </x:c>
      <x:c r="R31" s="85" t="n">
        <x:v>1.3</x:v>
      </x:c>
      <x:c r="S31" s="85" t="n">
        <x:v>1.55</x:v>
      </x:c>
      <x:c r="T31" s="85" t="n">
        <x:v>1.0499999999999998</x:v>
      </x:c>
      <x:c r="U31" s="85" t="n">
        <x:v>1.3649999999999998</x:v>
      </x:c>
      <x:c r="V31" s="85" t="n">
        <x:v>1.6274999999999997</x:v>
      </x:c>
      <x:c r="W31" s="73"/>
      <x:c r="X31" s="73" t="str">
        <x:v>Recursos optimizados</x:v>
      </x:c>
      <x:c r="Y31" s="73" t="str">
        <x:v>Compresión, formatos, lazy loading y revisión de peso</x:v>
      </x:c>
      <x:c r="Z31" s="73"/>
      <x:c r="AA31" s="73" t="str">
        <x:v>Preliminar</x:v>
      </x:c>
      <x:c r="AB31" s="78" t="str">
        <x:v>Estimación técnica ISM · Validar</x:v>
      </x:c>
    </x:row>
    <x:row r="32">
      <x:c r="A32" s="77" t="str">
        <x:v>Desarrollo e Implementación</x:v>
      </x:c>
      <x:c r="B32" s="73" t="str">
        <x:v>WEB-01</x:v>
      </x:c>
      <x:c r="C32" s="73" t="str">
        <x:v>Sitio web profesional</x:v>
      </x:c>
      <x:c r="D32" s="73" t="str">
        <x:v>01 · Primeros pasos digitales</x:v>
      </x:c>
      <x:c r="E32" s="73" t="str">
        <x:v>Accesibilidad</x:v>
      </x:c>
      <x:c r="F32" s="73" t="str">
        <x:v>WEB-027</x:v>
      </x:c>
      <x:c r="G32" s="73" t="str">
        <x:v>Revisión de accesibilidad básica</x:v>
      </x:c>
      <x:c r="H32" s="73" t="str">
        <x:v>Proyecto</x:v>
      </x:c>
      <x:c r="I32" s="85" t="n">
        <x:v>1</x:v>
      </x:c>
      <x:c r="J32" s="85" t="str">
        <x:v>Sí</x:v>
      </x:c>
      <x:c r="K32" s="85" t="str">
        <x:v>No</x:v>
      </x:c>
      <x:c r="L32" s="85" t="n">
        <x:v>1.25</x:v>
      </x:c>
      <x:c r="M32" s="85" t="str">
        <x:v>Parcial</x:v>
      </x:c>
      <x:c r="N32" s="85" t="n">
        <x:v>0.75</x:v>
      </x:c>
      <x:c r="O32" s="85" t="n">
        <x:v>0.9375</x:v>
      </x:c>
      <x:c r="P32" s="85" t="str">
        <x:v>Media</x:v>
      </x:c>
      <x:c r="Q32" s="85" t="n">
        <x:v>1</x:v>
      </x:c>
      <x:c r="R32" s="85" t="n">
        <x:v>1.3</x:v>
      </x:c>
      <x:c r="S32" s="85" t="n">
        <x:v>1.55</x:v>
      </x:c>
      <x:c r="T32" s="85" t="n">
        <x:v>0.9375</x:v>
      </x:c>
      <x:c r="U32" s="85" t="n">
        <x:v>1.21875</x:v>
      </x:c>
      <x:c r="V32" s="85" t="n">
        <x:v>1.453125</x:v>
      </x:c>
      <x:c r="W32" s="73"/>
      <x:c r="X32" s="73" t="str">
        <x:v>Checklist de accesibilidad</x:v>
      </x:c>
      <x:c r="Y32" s="73" t="str">
        <x:v>Semántica, contraste, foco, etiquetas y navegación</x:v>
      </x:c>
      <x:c r="Z32" s="73"/>
      <x:c r="AA32" s="73" t="str">
        <x:v>Preliminar</x:v>
      </x:c>
      <x:c r="AB32" s="78" t="str">
        <x:v>Estimación técnica ISM · Validar</x:v>
      </x:c>
    </x:row>
    <x:row r="33">
      <x:c r="A33" s="77" t="str">
        <x:v>Desarrollo e Implementación</x:v>
      </x:c>
      <x:c r="B33" s="73" t="str">
        <x:v>WEB-01</x:v>
      </x:c>
      <x:c r="C33" s="73" t="str">
        <x:v>Sitio web profesional</x:v>
      </x:c>
      <x:c r="D33" s="73" t="str">
        <x:v>01 · Primeros pasos digitales</x:v>
      </x:c>
      <x:c r="E33" s="73" t="str">
        <x:v>Seguridad</x:v>
      </x:c>
      <x:c r="F33" s="73" t="str">
        <x:v>WEB-028</x:v>
      </x:c>
      <x:c r="G33" s="73" t="str">
        <x:v>Configuración de dominio, HTTPS y SSL</x:v>
      </x:c>
      <x:c r="H33" s="73" t="str">
        <x:v>Entorno</x:v>
      </x:c>
      <x:c r="I33" s="85" t="n">
        <x:v>1</x:v>
      </x:c>
      <x:c r="J33" s="85" t="str">
        <x:v>Sí</x:v>
      </x:c>
      <x:c r="K33" s="85" t="str">
        <x:v>No</x:v>
      </x:c>
      <x:c r="L33" s="85" t="n">
        <x:v>1.5</x:v>
      </x:c>
      <x:c r="M33" s="85" t="str">
        <x:v>Parcial</x:v>
      </x:c>
      <x:c r="N33" s="85" t="n">
        <x:v>0.75</x:v>
      </x:c>
      <x:c r="O33" s="85" t="n">
        <x:v>1.125</x:v>
      </x:c>
      <x:c r="P33" s="85" t="str">
        <x:v>Media</x:v>
      </x:c>
      <x:c r="Q33" s="85" t="n">
        <x:v>1</x:v>
      </x:c>
      <x:c r="R33" s="85" t="n">
        <x:v>1.3</x:v>
      </x:c>
      <x:c r="S33" s="85" t="n">
        <x:v>1.55</x:v>
      </x:c>
      <x:c r="T33" s="85" t="n">
        <x:v>1.125</x:v>
      </x:c>
      <x:c r="U33" s="85" t="n">
        <x:v>1.4625000000000001</x:v>
      </x:c>
      <x:c r="V33" s="85" t="n">
        <x:v>1.7437500000000001</x:v>
      </x:c>
      <x:c r="W33" s="73"/>
      <x:c r="X33" s="73" t="str">
        <x:v>Dominio operativo</x:v>
      </x:c>
      <x:c r="Y33" s="73" t="str">
        <x:v>DNS, certificado y redirecciones</x:v>
      </x:c>
      <x:c r="Z33" s="73" t="str">
        <x:v>Compra o renovación del dominio</x:v>
      </x:c>
      <x:c r="AA33" s="73" t="str">
        <x:v>Preliminar</x:v>
      </x:c>
      <x:c r="AB33" s="78" t="str">
        <x:v>Estimación técnica ISM · Validar</x:v>
      </x:c>
    </x:row>
    <x:row r="34">
      <x:c r="A34" s="77" t="str">
        <x:v>Desarrollo e Implementación</x:v>
      </x:c>
      <x:c r="B34" s="73" t="str">
        <x:v>WEB-01</x:v>
      </x:c>
      <x:c r="C34" s="73" t="str">
        <x:v>Sitio web profesional</x:v>
      </x:c>
      <x:c r="D34" s="73" t="str">
        <x:v>01 · Primeros pasos digitales</x:v>
      </x:c>
      <x:c r="E34" s="73" t="str">
        <x:v>Analítica</x:v>
      </x:c>
      <x:c r="F34" s="73" t="str">
        <x:v>WEB-029</x:v>
      </x:c>
      <x:c r="G34" s="73" t="str">
        <x:v>Configuración de analítica básica</x:v>
      </x:c>
      <x:c r="H34" s="73" t="str">
        <x:v>Integración</x:v>
      </x:c>
      <x:c r="I34" s="85" t="n">
        <x:v>1</x:v>
      </x:c>
      <x:c r="J34" s="85" t="str">
        <x:v>No</x:v>
      </x:c>
      <x:c r="K34" s="85" t="str">
        <x:v>No</x:v>
      </x:c>
      <x:c r="L34" s="85" t="n">
        <x:v>1</x:v>
      </x:c>
      <x:c r="M34" s="85" t="str">
        <x:v>Parcial</x:v>
      </x:c>
      <x:c r="N34" s="85" t="n">
        <x:v>0.75</x:v>
      </x:c>
      <x:c r="O34" s="85" t="n">
        <x:v>0.75</x:v>
      </x:c>
      <x:c r="P34" s="85" t="str">
        <x:v>Media</x:v>
      </x:c>
      <x:c r="Q34" s="85" t="n">
        <x:v>1</x:v>
      </x:c>
      <x:c r="R34" s="85" t="n">
        <x:v>1.3</x:v>
      </x:c>
      <x:c r="S34" s="85" t="n">
        <x:v>1.55</x:v>
      </x:c>
      <x:c r="T34" s="85" t="n">
        <x:v>0</x:v>
      </x:c>
      <x:c r="U34" s="85" t="n">
        <x:v>0</x:v>
      </x:c>
      <x:c r="V34" s="85" t="n">
        <x:v>0</x:v>
      </x:c>
      <x:c r="W34" s="73"/>
      <x:c r="X34" s="73" t="str">
        <x:v>Analítica instalada</x:v>
      </x:c>
      <x:c r="Y34" s="73" t="str">
        <x:v>Herramienta acordada y eventos básicos</x:v>
      </x:c>
      <x:c r="Z34" s="73" t="str">
        <x:v>Dashboard avanzado</x:v>
      </x:c>
      <x:c r="AA34" s="73" t="str">
        <x:v>Preliminar</x:v>
      </x:c>
      <x:c r="AB34" s="78" t="str">
        <x:v>Estimación técnica ISM · Validar</x:v>
      </x:c>
    </x:row>
    <x:row r="35">
      <x:c r="A35" s="77" t="str">
        <x:v>Desarrollo e Implementación</x:v>
      </x:c>
      <x:c r="B35" s="73" t="str">
        <x:v>WEB-01</x:v>
      </x:c>
      <x:c r="C35" s="73" t="str">
        <x:v>Sitio web profesional</x:v>
      </x:c>
      <x:c r="D35" s="73" t="str">
        <x:v>01 · Primeros pasos digitales</x:v>
      </x:c>
      <x:c r="E35" s="73" t="str">
        <x:v>Calidad</x:v>
      </x:c>
      <x:c r="F35" s="73" t="str">
        <x:v>WEB-030</x:v>
      </x:c>
      <x:c r="G35" s="73" t="str">
        <x:v>Pruebas funcionales y de navegación</x:v>
      </x:c>
      <x:c r="H35" s="73" t="str">
        <x:v>Proyecto</x:v>
      </x:c>
      <x:c r="I35" s="85" t="n">
        <x:v>1</x:v>
      </x:c>
      <x:c r="J35" s="85" t="str">
        <x:v>Sí</x:v>
      </x:c>
      <x:c r="K35" s="85" t="str">
        <x:v>Sí</x:v>
      </x:c>
      <x:c r="L35" s="85" t="n">
        <x:v>1.5</x:v>
      </x:c>
      <x:c r="M35" s="85" t="str">
        <x:v>No</x:v>
      </x:c>
      <x:c r="N35" s="85" t="n">
        <x:v>1</x:v>
      </x:c>
      <x:c r="O35" s="85" t="n">
        <x:v>1.5</x:v>
      </x:c>
      <x:c r="P35" s="85" t="str">
        <x:v>Media</x:v>
      </x:c>
      <x:c r="Q35" s="85" t="n">
        <x:v>1</x:v>
      </x:c>
      <x:c r="R35" s="85" t="n">
        <x:v>1.3</x:v>
      </x:c>
      <x:c r="S35" s="85" t="n">
        <x:v>1.55</x:v>
      </x:c>
      <x:c r="T35" s="85" t="n">
        <x:v>1.5</x:v>
      </x:c>
      <x:c r="U35" s="85" t="n">
        <x:v>1.9500000000000002</x:v>
      </x:c>
      <x:c r="V35" s="85" t="n">
        <x:v>2.325</x:v>
      </x:c>
      <x:c r="W35" s="73"/>
      <x:c r="X35" s="73" t="str">
        <x:v>Registro de pruebas</x:v>
      </x:c>
      <x:c r="Y35" s="73" t="str">
        <x:v>Enlaces, formularios, llamadas a la acción, estados y recorridos funcionales.</x:v>
      </x:c>
      <x:c r="Z35" s="73" t="str">
        <x:v>La compatibilidad visual entre dispositivos y navegadores se valida en WEB-031.</x:v>
      </x:c>
      <x:c r="AA35" s="73" t="str">
        <x:v>Preliminar</x:v>
      </x:c>
      <x:c r="AB35" s="78" t="str">
        <x:v>Estimación técnica ISM · Validar</x:v>
      </x:c>
    </x:row>
    <x:row r="36">
      <x:c r="A36" s="77" t="str">
        <x:v>Desarrollo e Implementación</x:v>
      </x:c>
      <x:c r="B36" s="73" t="str">
        <x:v>WEB-01</x:v>
      </x:c>
      <x:c r="C36" s="73" t="str">
        <x:v>Sitio web profesional</x:v>
      </x:c>
      <x:c r="D36" s="73" t="str">
        <x:v>01 · Primeros pasos digitales</x:v>
      </x:c>
      <x:c r="E36" s="73" t="str">
        <x:v>Calidad</x:v>
      </x:c>
      <x:c r="F36" s="73" t="str">
        <x:v>WEB-031</x:v>
      </x:c>
      <x:c r="G36" s="73" t="str">
        <x:v>Validación responsive y compatibilidad entre navegadores</x:v>
      </x:c>
      <x:c r="H36" s="73" t="str">
        <x:v>Proyecto</x:v>
      </x:c>
      <x:c r="I36" s="85" t="n">
        <x:v>1</x:v>
      </x:c>
      <x:c r="J36" s="85" t="str">
        <x:v>Sí</x:v>
      </x:c>
      <x:c r="K36" s="85" t="str">
        <x:v>Sí</x:v>
      </x:c>
      <x:c r="L36" s="85" t="n">
        <x:v>1.25</x:v>
      </x:c>
      <x:c r="M36" s="85" t="str">
        <x:v>No</x:v>
      </x:c>
      <x:c r="N36" s="85" t="n">
        <x:v>1</x:v>
      </x:c>
      <x:c r="O36" s="85" t="n">
        <x:v>1.25</x:v>
      </x:c>
      <x:c r="P36" s="85" t="str">
        <x:v>Media</x:v>
      </x:c>
      <x:c r="Q36" s="85" t="n">
        <x:v>1</x:v>
      </x:c>
      <x:c r="R36" s="85" t="n">
        <x:v>1.3</x:v>
      </x:c>
      <x:c r="S36" s="85" t="n">
        <x:v>1.55</x:v>
      </x:c>
      <x:c r="T36" s="85" t="n">
        <x:v>1.25</x:v>
      </x:c>
      <x:c r="U36" s="85" t="n">
        <x:v>1.625</x:v>
      </x:c>
      <x:c r="V36" s="85" t="n">
        <x:v>1.9375</x:v>
      </x:c>
      <x:c r="W36" s="73" t="str">
        <x:v>WEB-022</x:v>
      </x:c>
      <x:c r="X36" s="73" t="str">
        <x:v>Checklist multidispositivo</x:v>
      </x:c>
      <x:c r="Y36" s="73" t="str">
        <x:v>QA visual y funcional en móvil, tablet, escritorio y navegadores definidos. No agrega desarrollo responsive.</x:v>
      </x:c>
      <x:c r="Z36" s="73" t="str">
        <x:v>Las correcciones detectadas se ejecutan dentro del ciclo WEB-032.</x:v>
      </x:c>
      <x:c r="AA36" s="73" t="str">
        <x:v>Preliminar</x:v>
      </x:c>
      <x:c r="AB36" s="78" t="str">
        <x:v>Estimación técnica ISM · Validar</x:v>
      </x:c>
    </x:row>
    <x:row r="37">
      <x:c r="A37" s="77" t="str">
        <x:v>Desarrollo e Implementación</x:v>
      </x:c>
      <x:c r="B37" s="73" t="str">
        <x:v>WEB-01</x:v>
      </x:c>
      <x:c r="C37" s="73" t="str">
        <x:v>Sitio web profesional</x:v>
      </x:c>
      <x:c r="D37" s="73" t="str">
        <x:v>01 · Primeros pasos digitales</x:v>
      </x:c>
      <x:c r="E37" s="73" t="str">
        <x:v>Cierre</x:v>
      </x:c>
      <x:c r="F37" s="73" t="str">
        <x:v>WEB-032</x:v>
      </x:c>
      <x:c r="G37" s="73" t="str">
        <x:v>Ciclo de correcciones posterior a revisión</x:v>
      </x:c>
      <x:c r="H37" s="73" t="str">
        <x:v>Ciclo</x:v>
      </x:c>
      <x:c r="I37" s="85" t="n">
        <x:v>1</x:v>
      </x:c>
      <x:c r="J37" s="85" t="str">
        <x:v>Sí</x:v>
      </x:c>
      <x:c r="K37" s="85" t="str">
        <x:v>No</x:v>
      </x:c>
      <x:c r="L37" s="85" t="n">
        <x:v>2</x:v>
      </x:c>
      <x:c r="M37" s="85" t="str">
        <x:v>No</x:v>
      </x:c>
      <x:c r="N37" s="85" t="n">
        <x:v>1</x:v>
      </x:c>
      <x:c r="O37" s="85" t="n">
        <x:v>2</x:v>
      </x:c>
      <x:c r="P37" s="85" t="str">
        <x:v>Media</x:v>
      </x:c>
      <x:c r="Q37" s="85" t="n">
        <x:v>1</x:v>
      </x:c>
      <x:c r="R37" s="85" t="n">
        <x:v>1.3</x:v>
      </x:c>
      <x:c r="S37" s="85" t="n">
        <x:v>1.55</x:v>
      </x:c>
      <x:c r="T37" s="85" t="n">
        <x:v>2</x:v>
      </x:c>
      <x:c r="U37" s="85" t="n">
        <x:v>2.6</x:v>
      </x:c>
      <x:c r="V37" s="85" t="n">
        <x:v>3.1</x:v>
      </x:c>
      <x:c r="W37" s="73"/>
      <x:c r="X37" s="73" t="str">
        <x:v>Ajustes cerrados</x:v>
      </x:c>
      <x:c r="Y37" s="73" t="str">
        <x:v>Un ciclo consolidado de observaciones</x:v>
      </x:c>
      <x:c r="Z37" s="73" t="str">
        <x:v>Cambios de alcance</x:v>
      </x:c>
      <x:c r="AA37" s="73" t="str">
        <x:v>Preliminar</x:v>
      </x:c>
      <x:c r="AB37" s="78" t="str">
        <x:v>Estimación técnica ISM · Validar</x:v>
      </x:c>
    </x:row>
    <x:row r="38">
      <x:c r="A38" s="77" t="str">
        <x:v>Desarrollo e Implementación</x:v>
      </x:c>
      <x:c r="B38" s="73" t="str">
        <x:v>WEB-01</x:v>
      </x:c>
      <x:c r="C38" s="73" t="str">
        <x:v>Sitio web profesional</x:v>
      </x:c>
      <x:c r="D38" s="73" t="str">
        <x:v>01 · Primeros pasos digitales</x:v>
      </x:c>
      <x:c r="E38" s="73" t="str">
        <x:v>Publicación</x:v>
      </x:c>
      <x:c r="F38" s="73" t="str">
        <x:v>WEB-033</x:v>
      </x:c>
      <x:c r="G38" s="73" t="str">
        <x:v>Despliegue en producción</x:v>
      </x:c>
      <x:c r="H38" s="73" t="str">
        <x:v>Entorno</x:v>
      </x:c>
      <x:c r="I38" s="85" t="n">
        <x:v>1</x:v>
      </x:c>
      <x:c r="J38" s="85" t="str">
        <x:v>Sí</x:v>
      </x:c>
      <x:c r="K38" s="85" t="str">
        <x:v>Sí</x:v>
      </x:c>
      <x:c r="L38" s="85" t="n">
        <x:v>1</x:v>
      </x:c>
      <x:c r="M38" s="85" t="str">
        <x:v>Parcial</x:v>
      </x:c>
      <x:c r="N38" s="85" t="n">
        <x:v>0.75</x:v>
      </x:c>
      <x:c r="O38" s="85" t="n">
        <x:v>0.75</x:v>
      </x:c>
      <x:c r="P38" s="85" t="str">
        <x:v>Media</x:v>
      </x:c>
      <x:c r="Q38" s="85" t="n">
        <x:v>1</x:v>
      </x:c>
      <x:c r="R38" s="85" t="n">
        <x:v>1.3</x:v>
      </x:c>
      <x:c r="S38" s="85" t="n">
        <x:v>1.55</x:v>
      </x:c>
      <x:c r="T38" s="85" t="n">
        <x:v>0.75</x:v>
      </x:c>
      <x:c r="U38" s="85" t="n">
        <x:v>0.9750000000000001</x:v>
      </x:c>
      <x:c r="V38" s="85" t="n">
        <x:v>1.1625</x:v>
      </x:c>
      <x:c r="W38" s="73"/>
      <x:c r="X38" s="73" t="str">
        <x:v>Versión publicada</x:v>
      </x:c>
      <x:c r="Y38" s="73" t="str">
        <x:v>Build, variables, despliegue y validación</x:v>
      </x:c>
      <x:c r="Z38" s="73"/>
      <x:c r="AA38" s="73" t="str">
        <x:v>Preliminar</x:v>
      </x:c>
      <x:c r="AB38" s="78" t="str">
        <x:v>Estimación técnica ISM · Validar</x:v>
      </x:c>
    </x:row>
    <x:row r="39">
      <x:c r="A39" s="77" t="str">
        <x:v>Desarrollo e Implementación</x:v>
      </x:c>
      <x:c r="B39" s="73" t="str">
        <x:v>WEB-01</x:v>
      </x:c>
      <x:c r="C39" s="73" t="str">
        <x:v>Sitio web profesional</x:v>
      </x:c>
      <x:c r="D39" s="73" t="str">
        <x:v>01 · Primeros pasos digitales</x:v>
      </x:c>
      <x:c r="E39" s="73" t="str">
        <x:v>Entrega</x:v>
      </x:c>
      <x:c r="F39" s="73" t="str">
        <x:v>WEB-034</x:v>
      </x:c>
      <x:c r="G39" s="73" t="str">
        <x:v>Documentación, accesos y cierre</x:v>
      </x:c>
      <x:c r="H39" s="73" t="str">
        <x:v>Proyecto</x:v>
      </x:c>
      <x:c r="I39" s="85" t="n">
        <x:v>1</x:v>
      </x:c>
      <x:c r="J39" s="85" t="str">
        <x:v>Sí</x:v>
      </x:c>
      <x:c r="K39" s="85" t="str">
        <x:v>Sí</x:v>
      </x:c>
      <x:c r="L39" s="85" t="n">
        <x:v>0.75</x:v>
      </x:c>
      <x:c r="M39" s="85" t="str">
        <x:v>No</x:v>
      </x:c>
      <x:c r="N39" s="85" t="n">
        <x:v>1</x:v>
      </x:c>
      <x:c r="O39" s="85" t="n">
        <x:v>0.75</x:v>
      </x:c>
      <x:c r="P39" s="85" t="str">
        <x:v>Baja</x:v>
      </x:c>
      <x:c r="Q39" s="85" t="n">
        <x:v>1</x:v>
      </x:c>
      <x:c r="R39" s="85" t="n">
        <x:v>1.15</x:v>
      </x:c>
      <x:c r="S39" s="85" t="n">
        <x:v>1.3</x:v>
      </x:c>
      <x:c r="T39" s="85" t="n">
        <x:v>0.75</x:v>
      </x:c>
      <x:c r="U39" s="85" t="n">
        <x:v>0.8624999999999999</x:v>
      </x:c>
      <x:c r="V39" s="85" t="n">
        <x:v>0.9750000000000001</x:v>
      </x:c>
      <x:c r="W39" s="73"/>
      <x:c r="X39" s="73" t="str">
        <x:v>Acta de entrega</x:v>
      </x:c>
      <x:c r="Y39" s="73" t="str">
        <x:v>Accesos, respaldo y recomendaciones</x:v>
      </x:c>
      <x:c r="Z39" s="73"/>
      <x:c r="AA39" s="73" t="str">
        <x:v>Preliminar</x:v>
      </x:c>
      <x:c r="AB39" s="78" t="str">
        <x:v>Estimación técnica ISM · Validar</x:v>
      </x:c>
    </x:row>
    <x:row r="40">
      <x:c r="A40" s="77" t="str">
        <x:v>Desarrollo e Implementación</x:v>
      </x:c>
      <x:c r="B40" s="73" t="str">
        <x:v>APP-01</x:v>
      </x:c>
      <x:c r="C40" s="73" t="str">
        <x:v>Sistema web o aplicación de gestión</x:v>
      </x:c>
      <x:c r="D40" s="73" t="str">
        <x:v>02 · Optimización digital</x:v>
      </x:c>
      <x:c r="E40" s="73" t="str">
        <x:v>Descubrimiento</x:v>
      </x:c>
      <x:c r="F40" s="73" t="str">
        <x:v>APP-001</x:v>
      </x:c>
      <x:c r="G40" s="73" t="str">
        <x:v>Levantamiento de procesos, usuarios y objetivos</x:v>
      </x:c>
      <x:c r="H40" s="73" t="str">
        <x:v>Proyecto</x:v>
      </x:c>
      <x:c r="I40" s="85" t="n">
        <x:v>1</x:v>
      </x:c>
      <x:c r="J40" s="85" t="str">
        <x:v>Sí</x:v>
      </x:c>
      <x:c r="K40" s="85" t="str">
        <x:v>Sí</x:v>
      </x:c>
      <x:c r="L40" s="85" t="n">
        <x:v>3</x:v>
      </x:c>
      <x:c r="M40" s="85" t="str">
        <x:v>No</x:v>
      </x:c>
      <x:c r="N40" s="85" t="n">
        <x:v>1</x:v>
      </x:c>
      <x:c r="O40" s="85" t="n">
        <x:v>3</x:v>
      </x:c>
      <x:c r="P40" s="85" t="str">
        <x:v>Alta</x:v>
      </x:c>
      <x:c r="Q40" s="85" t="n">
        <x:v>1</x:v>
      </x:c>
      <x:c r="R40" s="85" t="n">
        <x:v>1.45</x:v>
      </x:c>
      <x:c r="S40" s="85" t="n">
        <x:v>1.8</x:v>
      </x:c>
      <x:c r="T40" s="85" t="n">
        <x:v>3</x:v>
      </x:c>
      <x:c r="U40" s="85" t="n">
        <x:v>4.35</x:v>
      </x:c>
      <x:c r="V40" s="85" t="n">
        <x:v>5.4</x:v>
      </x:c>
      <x:c r="W40" s="73"/>
      <x:c r="X40" s="73" t="str">
        <x:v>Documento de alcance</x:v>
      </x:c>
      <x:c r="Y40" s="73" t="str">
        <x:v>Procesos actuales, actores, problemas y objetivos</x:v>
      </x:c>
      <x:c r="Z40" s="73"/>
      <x:c r="AA40" s="73" t="str">
        <x:v>Preliminar</x:v>
      </x:c>
      <x:c r="AB40" s="78" t="str">
        <x:v>Estimación técnica ISM · Validar</x:v>
      </x:c>
    </x:row>
    <x:row r="41">
      <x:c r="A41" s="77" t="str">
        <x:v>Desarrollo e Implementación</x:v>
      </x:c>
      <x:c r="B41" s="73" t="str">
        <x:v>APP-01</x:v>
      </x:c>
      <x:c r="C41" s="73" t="str">
        <x:v>Sistema web o aplicación de gestión</x:v>
      </x:c>
      <x:c r="D41" s="73" t="str">
        <x:v>02 · Optimización digital</x:v>
      </x:c>
      <x:c r="E41" s="73" t="str">
        <x:v>Descubrimiento</x:v>
      </x:c>
      <x:c r="F41" s="73" t="str">
        <x:v>APP-002</x:v>
      </x:c>
      <x:c r="G41" s="73" t="str">
        <x:v>Definición de alcance funcional y criterios de aceptación</x:v>
      </x:c>
      <x:c r="H41" s="73" t="str">
        <x:v>Proyecto</x:v>
      </x:c>
      <x:c r="I41" s="85" t="n">
        <x:v>1</x:v>
      </x:c>
      <x:c r="J41" s="85" t="str">
        <x:v>Sí</x:v>
      </x:c>
      <x:c r="K41" s="85" t="str">
        <x:v>Sí</x:v>
      </x:c>
      <x:c r="L41" s="85" t="n">
        <x:v>3</x:v>
      </x:c>
      <x:c r="M41" s="85" t="str">
        <x:v>No</x:v>
      </x:c>
      <x:c r="N41" s="85" t="n">
        <x:v>1</x:v>
      </x:c>
      <x:c r="O41" s="85" t="n">
        <x:v>3</x:v>
      </x:c>
      <x:c r="P41" s="85" t="str">
        <x:v>Alta</x:v>
      </x:c>
      <x:c r="Q41" s="85" t="n">
        <x:v>1</x:v>
      </x:c>
      <x:c r="R41" s="85" t="n">
        <x:v>1.45</x:v>
      </x:c>
      <x:c r="S41" s="85" t="n">
        <x:v>1.8</x:v>
      </x:c>
      <x:c r="T41" s="85" t="n">
        <x:v>3</x:v>
      </x:c>
      <x:c r="U41" s="85" t="n">
        <x:v>4.35</x:v>
      </x:c>
      <x:c r="V41" s="85" t="n">
        <x:v>5.4</x:v>
      </x:c>
      <x:c r="W41" s="73" t="str">
        <x:v>APP-001</x:v>
      </x:c>
      <x:c r="X41" s="73" t="str">
        <x:v>Backlog inicial</x:v>
      </x:c>
      <x:c r="Y41" s="73" t="str">
        <x:v>Historias, reglas y criterios de aceptación</x:v>
      </x:c>
      <x:c r="Z41" s="73"/>
      <x:c r="AA41" s="73" t="str">
        <x:v>Preliminar</x:v>
      </x:c>
      <x:c r="AB41" s="78" t="str">
        <x:v>Estimación técnica ISM · Validar</x:v>
      </x:c>
    </x:row>
    <x:row r="42">
      <x:c r="A42" s="77" t="str">
        <x:v>Desarrollo e Implementación</x:v>
      </x:c>
      <x:c r="B42" s="73" t="str">
        <x:v>APP-01</x:v>
      </x:c>
      <x:c r="C42" s="73" t="str">
        <x:v>Sistema web o aplicación de gestión</x:v>
      </x:c>
      <x:c r="D42" s="73" t="str">
        <x:v>02 · Optimización digital</x:v>
      </x:c>
      <x:c r="E42" s="73" t="str">
        <x:v>Arquitectura</x:v>
      </x:c>
      <x:c r="F42" s="73" t="str">
        <x:v>APP-003</x:v>
      </x:c>
      <x:c r="G42" s="73" t="str">
        <x:v>Modelamiento de entidades y relaciones</x:v>
      </x:c>
      <x:c r="H42" s="73" t="str">
        <x:v>Proyecto</x:v>
      </x:c>
      <x:c r="I42" s="85" t="n">
        <x:v>1</x:v>
      </x:c>
      <x:c r="J42" s="85" t="str">
        <x:v>Sí</x:v>
      </x:c>
      <x:c r="K42" s="85" t="str">
        <x:v>Sí</x:v>
      </x:c>
      <x:c r="L42" s="85" t="n">
        <x:v>3.5</x:v>
      </x:c>
      <x:c r="M42" s="85" t="str">
        <x:v>Parcial</x:v>
      </x:c>
      <x:c r="N42" s="85" t="n">
        <x:v>0.85</x:v>
      </x:c>
      <x:c r="O42" s="85" t="n">
        <x:v>2.975</x:v>
      </x:c>
      <x:c r="P42" s="85" t="str">
        <x:v>Alta</x:v>
      </x:c>
      <x:c r="Q42" s="85" t="n">
        <x:v>1</x:v>
      </x:c>
      <x:c r="R42" s="85" t="n">
        <x:v>1.45</x:v>
      </x:c>
      <x:c r="S42" s="85" t="n">
        <x:v>1.8</x:v>
      </x:c>
      <x:c r="T42" s="85" t="n">
        <x:v>2.975</x:v>
      </x:c>
      <x:c r="U42" s="85" t="n">
        <x:v>4.31375</x:v>
      </x:c>
      <x:c r="V42" s="85" t="n">
        <x:v>5.355</x:v>
      </x:c>
      <x:c r="W42" s="73" t="str">
        <x:v>APP-002</x:v>
      </x:c>
      <x:c r="X42" s="73" t="str">
        <x:v>Modelo de datos</x:v>
      </x:c>
      <x:c r="Y42" s="73" t="str">
        <x:v>Entidades, relaciones y restricciones</x:v>
      </x:c>
      <x:c r="Z42" s="73"/>
      <x:c r="AA42" s="73" t="str">
        <x:v>Preliminar</x:v>
      </x:c>
      <x:c r="AB42" s="78" t="str">
        <x:v>Estimación técnica ISM · Validar</x:v>
      </x:c>
    </x:row>
    <x:row r="43">
      <x:c r="A43" s="77" t="str">
        <x:v>Desarrollo e Implementación</x:v>
      </x:c>
      <x:c r="B43" s="73" t="str">
        <x:v>APP-01</x:v>
      </x:c>
      <x:c r="C43" s="73" t="str">
        <x:v>Sistema web o aplicación de gestión</x:v>
      </x:c>
      <x:c r="D43" s="73" t="str">
        <x:v>02 · Optimización digital</x:v>
      </x:c>
      <x:c r="E43" s="73" t="str">
        <x:v>Arquitectura</x:v>
      </x:c>
      <x:c r="F43" s="73" t="str">
        <x:v>APP-004</x:v>
      </x:c>
      <x:c r="G43" s="73" t="str">
        <x:v>Diseño de roles y permisos</x:v>
      </x:c>
      <x:c r="H43" s="73" t="str">
        <x:v>Rol</x:v>
      </x:c>
      <x:c r="I43" s="85" t="n">
        <x:v>2</x:v>
      </x:c>
      <x:c r="J43" s="85" t="str">
        <x:v>Sí</x:v>
      </x:c>
      <x:c r="K43" s="85" t="str">
        <x:v>Sí</x:v>
      </x:c>
      <x:c r="L43" s="85" t="n">
        <x:v>1.25</x:v>
      </x:c>
      <x:c r="M43" s="85" t="str">
        <x:v>Parcial</x:v>
      </x:c>
      <x:c r="N43" s="85" t="n">
        <x:v>0.8</x:v>
      </x:c>
      <x:c r="O43" s="85" t="n">
        <x:v>1</x:v>
      </x:c>
      <x:c r="P43" s="85" t="str">
        <x:v>Alta</x:v>
      </x:c>
      <x:c r="Q43" s="85" t="n">
        <x:v>1</x:v>
      </x:c>
      <x:c r="R43" s="85" t="n">
        <x:v>1.45</x:v>
      </x:c>
      <x:c r="S43" s="85" t="n">
        <x:v>1.8</x:v>
      </x:c>
      <x:c r="T43" s="85" t="n">
        <x:v>2</x:v>
      </x:c>
      <x:c r="U43" s="85" t="n">
        <x:v>2.9</x:v>
      </x:c>
      <x:c r="V43" s="85" t="n">
        <x:v>3.6</x:v>
      </x:c>
      <x:c r="W43" s="73" t="str">
        <x:v>APP-002</x:v>
      </x:c>
      <x:c r="X43" s="73" t="str">
        <x:v>Matriz de permisos</x:v>
      </x:c>
      <x:c r="Y43" s="73" t="str">
        <x:v>Acciones y visibilidad por rol</x:v>
      </x:c>
      <x:c r="Z43" s="73"/>
      <x:c r="AA43" s="73" t="str">
        <x:v>Preliminar</x:v>
      </x:c>
      <x:c r="AB43" s="78" t="str">
        <x:v>Estimación técnica ISM · Validar</x:v>
      </x:c>
    </x:row>
    <x:row r="44">
      <x:c r="A44" s="77" t="str">
        <x:v>Desarrollo e Implementación</x:v>
      </x:c>
      <x:c r="B44" s="73" t="str">
        <x:v>APP-01</x:v>
      </x:c>
      <x:c r="C44" s="73" t="str">
        <x:v>Sistema web o aplicación de gestión</x:v>
      </x:c>
      <x:c r="D44" s="73" t="str">
        <x:v>02 · Optimización digital</x:v>
      </x:c>
      <x:c r="E44" s="73" t="str">
        <x:v>Arquitectura</x:v>
      </x:c>
      <x:c r="F44" s="73" t="str">
        <x:v>APP-005</x:v>
      </x:c>
      <x:c r="G44" s="73" t="str">
        <x:v>Arquitectura técnica y ambientes</x:v>
      </x:c>
      <x:c r="H44" s="73" t="str">
        <x:v>Proyecto</x:v>
      </x:c>
      <x:c r="I44" s="85" t="n">
        <x:v>1</x:v>
      </x:c>
      <x:c r="J44" s="85" t="str">
        <x:v>Sí</x:v>
      </x:c>
      <x:c r="K44" s="85" t="str">
        <x:v>Sí</x:v>
      </x:c>
      <x:c r="L44" s="85" t="n">
        <x:v>2.5</x:v>
      </x:c>
      <x:c r="M44" s="85" t="str">
        <x:v>Parcial</x:v>
      </x:c>
      <x:c r="N44" s="85" t="n">
        <x:v>0.85</x:v>
      </x:c>
      <x:c r="O44" s="85" t="n">
        <x:v>2.125</x:v>
      </x:c>
      <x:c r="P44" s="85" t="str">
        <x:v>Alta</x:v>
      </x:c>
      <x:c r="Q44" s="85" t="n">
        <x:v>1</x:v>
      </x:c>
      <x:c r="R44" s="85" t="n">
        <x:v>1.45</x:v>
      </x:c>
      <x:c r="S44" s="85" t="n">
        <x:v>1.8</x:v>
      </x:c>
      <x:c r="T44" s="85" t="n">
        <x:v>2.125</x:v>
      </x:c>
      <x:c r="U44" s="85" t="n">
        <x:v>3.08125</x:v>
      </x:c>
      <x:c r="V44" s="85" t="n">
        <x:v>3.825</x:v>
      </x:c>
      <x:c r="W44" s="73" t="str">
        <x:v>APP-002</x:v>
      </x:c>
      <x:c r="X44" s="73" t="str">
        <x:v>Diagrama técnico</x:v>
      </x:c>
      <x:c r="Y44" s="73" t="str">
        <x:v>Frontend, backend, datos, servicios y despliegue</x:v>
      </x:c>
      <x:c r="Z44" s="73"/>
      <x:c r="AA44" s="73" t="str">
        <x:v>Preliminar</x:v>
      </x:c>
      <x:c r="AB44" s="78" t="str">
        <x:v>Estimación técnica ISM · Validar</x:v>
      </x:c>
    </x:row>
    <x:row r="45">
      <x:c r="A45" s="77" t="str">
        <x:v>Desarrollo e Implementación</x:v>
      </x:c>
      <x:c r="B45" s="73" t="str">
        <x:v>APP-01</x:v>
      </x:c>
      <x:c r="C45" s="73" t="str">
        <x:v>Sistema web o aplicación de gestión</x:v>
      </x:c>
      <x:c r="D45" s="73" t="str">
        <x:v>02 · Optimización digital</x:v>
      </x:c>
      <x:c r="E45" s="73" t="str">
        <x:v>UX/UI</x:v>
      </x:c>
      <x:c r="F45" s="73" t="str">
        <x:v>APP-006</x:v>
      </x:c>
      <x:c r="G45" s="73" t="str">
        <x:v>Diseño del mapa de navegación y flujos principales</x:v>
      </x:c>
      <x:c r="H45" s="73" t="str">
        <x:v>Proyecto</x:v>
      </x:c>
      <x:c r="I45" s="85" t="n">
        <x:v>1</x:v>
      </x:c>
      <x:c r="J45" s="85" t="str">
        <x:v>Sí</x:v>
      </x:c>
      <x:c r="K45" s="85" t="str">
        <x:v>Sí</x:v>
      </x:c>
      <x:c r="L45" s="85" t="n">
        <x:v>2.5</x:v>
      </x:c>
      <x:c r="M45" s="85" t="str">
        <x:v>Parcial</x:v>
      </x:c>
      <x:c r="N45" s="85" t="n">
        <x:v>0.8</x:v>
      </x:c>
      <x:c r="O45" s="85" t="n">
        <x:v>2</x:v>
      </x:c>
      <x:c r="P45" s="85" t="str">
        <x:v>Alta</x:v>
      </x:c>
      <x:c r="Q45" s="85" t="n">
        <x:v>1</x:v>
      </x:c>
      <x:c r="R45" s="85" t="n">
        <x:v>1.45</x:v>
      </x:c>
      <x:c r="S45" s="85" t="n">
        <x:v>1.8</x:v>
      </x:c>
      <x:c r="T45" s="85" t="n">
        <x:v>2</x:v>
      </x:c>
      <x:c r="U45" s="85" t="n">
        <x:v>2.9</x:v>
      </x:c>
      <x:c r="V45" s="85" t="n">
        <x:v>3.6</x:v>
      </x:c>
      <x:c r="W45" s="73" t="str">
        <x:v>APP-002</x:v>
      </x:c>
      <x:c r="X45" s="73" t="str">
        <x:v>Mapa de flujos</x:v>
      </x:c>
      <x:c r="Y45" s="73" t="str">
        <x:v>Definición UX de rutas, estados y recorridos antes de construir la interfaz.</x:v>
      </x:c>
      <x:c r="Z45" s="73" t="str">
        <x:v>La implementación visual se contabiliza en APP-009 y las pantallas en APP-010.</x:v>
      </x:c>
      <x:c r="AA45" s="73" t="str">
        <x:v>Preliminar</x:v>
      </x:c>
      <x:c r="AB45" s="78" t="str">
        <x:v>Estimación técnica ISM · Validar</x:v>
      </x:c>
    </x:row>
    <x:row r="46">
      <x:c r="A46" s="77" t="str">
        <x:v>Desarrollo e Implementación</x:v>
      </x:c>
      <x:c r="B46" s="73" t="str">
        <x:v>APP-01</x:v>
      </x:c>
      <x:c r="C46" s="73" t="str">
        <x:v>Sistema web o aplicación de gestión</x:v>
      </x:c>
      <x:c r="D46" s="73" t="str">
        <x:v>02 · Optimización digital</x:v>
      </x:c>
      <x:c r="E46" s="73" t="str">
        <x:v>UX/UI</x:v>
      </x:c>
      <x:c r="F46" s="73" t="str">
        <x:v>APP-007</x:v>
      </x:c>
      <x:c r="G46" s="73" t="str">
        <x:v>Wireframe de pantalla estándar</x:v>
      </x:c>
      <x:c r="H46" s="73" t="str">
        <x:v>Pantalla</x:v>
      </x:c>
      <x:c r="I46" s="85" t="n">
        <x:v>5</x:v>
      </x:c>
      <x:c r="J46" s="85" t="str">
        <x:v>Sí</x:v>
      </x:c>
      <x:c r="K46" s="85" t="str">
        <x:v>No</x:v>
      </x:c>
      <x:c r="L46" s="85" t="n">
        <x:v>1</x:v>
      </x:c>
      <x:c r="M46" s="85" t="str">
        <x:v>Parcial</x:v>
      </x:c>
      <x:c r="N46" s="85" t="n">
        <x:v>0.75</x:v>
      </x:c>
      <x:c r="O46" s="85" t="n">
        <x:v>0.75</x:v>
      </x:c>
      <x:c r="P46" s="85" t="str">
        <x:v>Media</x:v>
      </x:c>
      <x:c r="Q46" s="85" t="n">
        <x:v>1</x:v>
      </x:c>
      <x:c r="R46" s="85" t="n">
        <x:v>1.3</x:v>
      </x:c>
      <x:c r="S46" s="85" t="n">
        <x:v>1.55</x:v>
      </x:c>
      <x:c r="T46" s="85" t="n">
        <x:v>3.75</x:v>
      </x:c>
      <x:c r="U46" s="85" t="n">
        <x:v>4.875</x:v>
      </x:c>
      <x:c r="V46" s="85" t="n">
        <x:v>5.8125</x:v>
      </x:c>
      <x:c r="W46" s="73" t="str">
        <x:v>APP-006</x:v>
      </x:c>
      <x:c r="X46" s="73" t="str">
        <x:v>Wireframes</x:v>
      </x:c>
      <x:c r="Y46" s="73" t="str">
        <x:v>Estructura de pantallas y acciones</x:v>
      </x:c>
      <x:c r="Z46" s="73"/>
      <x:c r="AA46" s="73" t="str">
        <x:v>Preliminar</x:v>
      </x:c>
      <x:c r="AB46" s="78" t="str">
        <x:v>Estimación técnica ISM · Validar</x:v>
      </x:c>
    </x:row>
    <x:row r="47">
      <x:c r="A47" s="77" t="str">
        <x:v>Desarrollo e Implementación</x:v>
      </x:c>
      <x:c r="B47" s="73" t="str">
        <x:v>APP-01</x:v>
      </x:c>
      <x:c r="C47" s="73" t="str">
        <x:v>Sistema web o aplicación de gestión</x:v>
      </x:c>
      <x:c r="D47" s="73" t="str">
        <x:v>02 · Optimización digital</x:v>
      </x:c>
      <x:c r="E47" s="73" t="str">
        <x:v>Preparación</x:v>
      </x:c>
      <x:c r="F47" s="73" t="str">
        <x:v>APP-008</x:v>
      </x:c>
      <x:c r="G47" s="73" t="str">
        <x:v>Configuración del proyecto, repositorio y entornos</x:v>
      </x:c>
      <x:c r="H47" s="73" t="str">
        <x:v>Proyecto</x:v>
      </x:c>
      <x:c r="I47" s="85" t="n">
        <x:v>1</x:v>
      </x:c>
      <x:c r="J47" s="85" t="str">
        <x:v>Sí</x:v>
      </x:c>
      <x:c r="K47" s="85" t="str">
        <x:v>Sí</x:v>
      </x:c>
      <x:c r="L47" s="85" t="n">
        <x:v>2</x:v>
      </x:c>
      <x:c r="M47" s="85" t="str">
        <x:v>Alta</x:v>
      </x:c>
      <x:c r="N47" s="85" t="n">
        <x:v>0.6</x:v>
      </x:c>
      <x:c r="O47" s="85" t="n">
        <x:v>1.2</x:v>
      </x:c>
      <x:c r="P47" s="85" t="str">
        <x:v>Media</x:v>
      </x:c>
      <x:c r="Q47" s="85" t="n">
        <x:v>1</x:v>
      </x:c>
      <x:c r="R47" s="85" t="n">
        <x:v>1.3</x:v>
      </x:c>
      <x:c r="S47" s="85" t="n">
        <x:v>1.55</x:v>
      </x:c>
      <x:c r="T47" s="85" t="n">
        <x:v>1.2</x:v>
      </x:c>
      <x:c r="U47" s="85" t="n">
        <x:v>1.56</x:v>
      </x:c>
      <x:c r="V47" s="85" t="n">
        <x:v>1.8599999999999999</x:v>
      </x:c>
      <x:c r="W47" s="73" t="str">
        <x:v>APP-005</x:v>
      </x:c>
      <x:c r="X47" s="73" t="str">
        <x:v>Base técnica</x:v>
      </x:c>
      <x:c r="Y47" s="73" t="str">
        <x:v>Repositorios, variables, estructura y ambientes</x:v>
      </x:c>
      <x:c r="Z47" s="73"/>
      <x:c r="AA47" s="73" t="str">
        <x:v>Preliminar</x:v>
      </x:c>
      <x:c r="AB47" s="78" t="str">
        <x:v>Estimación técnica ISM · Validar</x:v>
      </x:c>
    </x:row>
    <x:row r="48">
      <x:c r="A48" s="77" t="str">
        <x:v>Desarrollo e Implementación</x:v>
      </x:c>
      <x:c r="B48" s="73" t="str">
        <x:v>APP-01</x:v>
      </x:c>
      <x:c r="C48" s="73" t="str">
        <x:v>Sistema web o aplicación de gestión</x:v>
      </x:c>
      <x:c r="D48" s="73" t="str">
        <x:v>02 · Optimización digital</x:v>
      </x:c>
      <x:c r="E48" s="73" t="str">
        <x:v>Frontend</x:v>
      </x:c>
      <x:c r="F48" s="73" t="str">
        <x:v>APP-009</x:v>
      </x:c>
      <x:c r="G48" s="73" t="str">
        <x:v>Implementación de layout, navegación y sistema visual</x:v>
      </x:c>
      <x:c r="H48" s="73" t="str">
        <x:v>Proyecto</x:v>
      </x:c>
      <x:c r="I48" s="85" t="n">
        <x:v>1</x:v>
      </x:c>
      <x:c r="J48" s="85" t="str">
        <x:v>Sí</x:v>
      </x:c>
      <x:c r="K48" s="85" t="str">
        <x:v>Sí</x:v>
      </x:c>
      <x:c r="L48" s="85" t="n">
        <x:v>4</x:v>
      </x:c>
      <x:c r="M48" s="85" t="str">
        <x:v>Alta</x:v>
      </x:c>
      <x:c r="N48" s="85" t="n">
        <x:v>0.65</x:v>
      </x:c>
      <x:c r="O48" s="85" t="n">
        <x:v>2.6</x:v>
      </x:c>
      <x:c r="P48" s="85" t="str">
        <x:v>Alta</x:v>
      </x:c>
      <x:c r="Q48" s="85" t="n">
        <x:v>1</x:v>
      </x:c>
      <x:c r="R48" s="85" t="n">
        <x:v>1.45</x:v>
      </x:c>
      <x:c r="S48" s="85" t="n">
        <x:v>1.8</x:v>
      </x:c>
      <x:c r="T48" s="85" t="n">
        <x:v>2.6</x:v>
      </x:c>
      <x:c r="U48" s="85" t="n">
        <x:v>3.77</x:v>
      </x:c>
      <x:c r="V48" s="85" t="n">
        <x:v>4.680000000000001</x:v>
      </x:c>
      <x:c r="W48" s="73" t="str">
        <x:v>APP-006</x:v>
      </x:c>
      <x:c r="X48" s="73" t="str">
        <x:v>Shell de aplicación</x:v>
      </x:c>
      <x:c r="Y48" s="73" t="str">
        <x:v>Construcción del shell de la aplicación, menú, cabeceras, estilos y componentes compartidos.</x:v>
      </x:c>
      <x:c r="Z48" s="73" t="str">
        <x:v>No incluye el diseño de flujos de APP-006 ni las pantallas CRUD de APP-010.</x:v>
      </x:c>
      <x:c r="AA48" s="73" t="str">
        <x:v>Preliminar</x:v>
      </x:c>
      <x:c r="AB48" s="78" t="str">
        <x:v>Estimación técnica ISM · Validar</x:v>
      </x:c>
    </x:row>
    <x:row r="49">
      <x:c r="A49" s="77" t="str">
        <x:v>Desarrollo e Implementación</x:v>
      </x:c>
      <x:c r="B49" s="73" t="str">
        <x:v>APP-01</x:v>
      </x:c>
      <x:c r="C49" s="73" t="str">
        <x:v>Sistema web o aplicación de gestión</x:v>
      </x:c>
      <x:c r="D49" s="73" t="str">
        <x:v>02 · Optimización digital</x:v>
      </x:c>
      <x:c r="E49" s="73" t="str">
        <x:v>Frontend</x:v>
      </x:c>
      <x:c r="F49" s="73" t="str">
        <x:v>APP-010</x:v>
      </x:c>
      <x:c r="G49" s="73" t="str">
        <x:v>Implementación de interfaz CRUD estándar</x:v>
      </x:c>
      <x:c r="H49" s="73" t="str">
        <x:v>Pantalla</x:v>
      </x:c>
      <x:c r="I49" s="85" t="n">
        <x:v>3</x:v>
      </x:c>
      <x:c r="J49" s="85" t="str">
        <x:v>Sí</x:v>
      </x:c>
      <x:c r="K49" s="85" t="str">
        <x:v>No</x:v>
      </x:c>
      <x:c r="L49" s="85" t="n">
        <x:v>4</x:v>
      </x:c>
      <x:c r="M49" s="85" t="str">
        <x:v>Parcial</x:v>
      </x:c>
      <x:c r="N49" s="85" t="n">
        <x:v>0.8</x:v>
      </x:c>
      <x:c r="O49" s="85" t="n">
        <x:v>3.2</x:v>
      </x:c>
      <x:c r="P49" s="85" t="str">
        <x:v>Alta</x:v>
      </x:c>
      <x:c r="Q49" s="85" t="n">
        <x:v>1</x:v>
      </x:c>
      <x:c r="R49" s="85" t="n">
        <x:v>1.45</x:v>
      </x:c>
      <x:c r="S49" s="85" t="n">
        <x:v>1.8</x:v>
      </x:c>
      <x:c r="T49" s="85" t="n">
        <x:v>9.600000000000001</x:v>
      </x:c>
      <x:c r="U49" s="85" t="n">
        <x:v>13.920000000000002</x:v>
      </x:c>
      <x:c r="V49" s="85" t="n">
        <x:v>17.280000000000005</x:v>
      </x:c>
      <x:c r="W49" s="73" t="str">
        <x:v>APP-003</x:v>
      </x:c>
      <x:c r="X49" s="73" t="str">
        <x:v>Pantallas CRUD</x:v>
      </x:c>
      <x:c r="Y49" s="73" t="str">
        <x:v>Pantalla con listado, formulario, validaciones, estados y acciones de usuario.</x:v>
      </x:c>
      <x:c r="Z49" s="73" t="str">
        <x:v>La lógica y persistencia backend se contabilizan en APP-013.</x:v>
      </x:c>
      <x:c r="AA49" s="73" t="str">
        <x:v>Preliminar</x:v>
      </x:c>
      <x:c r="AB49" s="78" t="str">
        <x:v>Estimación técnica ISM · Validar</x:v>
      </x:c>
    </x:row>
    <x:row r="50">
      <x:c r="A50" s="77" t="str">
        <x:v>Desarrollo e Implementación</x:v>
      </x:c>
      <x:c r="B50" s="73" t="str">
        <x:v>APP-01</x:v>
      </x:c>
      <x:c r="C50" s="73" t="str">
        <x:v>Sistema web o aplicación de gestión</x:v>
      </x:c>
      <x:c r="D50" s="73" t="str">
        <x:v>02 · Optimización digital</x:v>
      </x:c>
      <x:c r="E50" s="73" t="str">
        <x:v>Frontend</x:v>
      </x:c>
      <x:c r="F50" s="73" t="str">
        <x:v>APP-011</x:v>
      </x:c>
      <x:c r="G50" s="73" t="str">
        <x:v>Dashboard con indicadores</x:v>
      </x:c>
      <x:c r="H50" s="73" t="str">
        <x:v>Dashboard</x:v>
      </x:c>
      <x:c r="I50" s="85" t="n">
        <x:v>1</x:v>
      </x:c>
      <x:c r="J50" s="85" t="str">
        <x:v>No</x:v>
      </x:c>
      <x:c r="K50" s="85" t="str">
        <x:v>No</x:v>
      </x:c>
      <x:c r="L50" s="85" t="n">
        <x:v>5</x:v>
      </x:c>
      <x:c r="M50" s="85" t="str">
        <x:v>Parcial</x:v>
      </x:c>
      <x:c r="N50" s="85" t="n">
        <x:v>0.85</x:v>
      </x:c>
      <x:c r="O50" s="85" t="n">
        <x:v>4.25</x:v>
      </x:c>
      <x:c r="P50" s="85" t="str">
        <x:v>Alta</x:v>
      </x:c>
      <x:c r="Q50" s="85" t="n">
        <x:v>1</x:v>
      </x:c>
      <x:c r="R50" s="85" t="n">
        <x:v>1.45</x:v>
      </x:c>
      <x:c r="S50" s="85" t="n">
        <x:v>1.8</x:v>
      </x:c>
      <x:c r="T50" s="85" t="n">
        <x:v>0</x:v>
      </x:c>
      <x:c r="U50" s="85" t="n">
        <x:v>0</x:v>
      </x:c>
      <x:c r="V50" s="85" t="n">
        <x:v>0</x:v>
      </x:c>
      <x:c r="W50" s="73" t="str">
        <x:v>APP-003</x:v>
      </x:c>
      <x:c r="X50" s="73" t="str">
        <x:v>Dashboard</x:v>
      </x:c>
      <x:c r="Y50" s="73" t="str">
        <x:v>KPIs, filtros y visualización</x:v>
      </x:c>
      <x:c r="Z50" s="73" t="str">
        <x:v>Analítica predictiva</x:v>
      </x:c>
      <x:c r="AA50" s="73" t="str">
        <x:v>Preliminar</x:v>
      </x:c>
      <x:c r="AB50" s="78" t="str">
        <x:v>Estimación técnica ISM · Validar</x:v>
      </x:c>
    </x:row>
    <x:row r="51">
      <x:c r="A51" s="77" t="str">
        <x:v>Desarrollo e Implementación</x:v>
      </x:c>
      <x:c r="B51" s="73" t="str">
        <x:v>APP-01</x:v>
      </x:c>
      <x:c r="C51" s="73" t="str">
        <x:v>Sistema web o aplicación de gestión</x:v>
      </x:c>
      <x:c r="D51" s="73" t="str">
        <x:v>02 · Optimización digital</x:v>
      </x:c>
      <x:c r="E51" s="73" t="str">
        <x:v>Backend</x:v>
      </x:c>
      <x:c r="F51" s="73" t="str">
        <x:v>APP-012</x:v>
      </x:c>
      <x:c r="G51" s="73" t="str">
        <x:v>Configuración de base de datos y migraciones</x:v>
      </x:c>
      <x:c r="H51" s="73" t="str">
        <x:v>Proyecto</x:v>
      </x:c>
      <x:c r="I51" s="85" t="n">
        <x:v>1</x:v>
      </x:c>
      <x:c r="J51" s="85" t="str">
        <x:v>Sí</x:v>
      </x:c>
      <x:c r="K51" s="85" t="str">
        <x:v>Sí</x:v>
      </x:c>
      <x:c r="L51" s="85" t="n">
        <x:v>3.5</x:v>
      </x:c>
      <x:c r="M51" s="85" t="str">
        <x:v>Parcial</x:v>
      </x:c>
      <x:c r="N51" s="85" t="n">
        <x:v>0.8</x:v>
      </x:c>
      <x:c r="O51" s="85" t="n">
        <x:v>2.8000000000000003</x:v>
      </x:c>
      <x:c r="P51" s="85" t="str">
        <x:v>Alta</x:v>
      </x:c>
      <x:c r="Q51" s="85" t="n">
        <x:v>1</x:v>
      </x:c>
      <x:c r="R51" s="85" t="n">
        <x:v>1.45</x:v>
      </x:c>
      <x:c r="S51" s="85" t="n">
        <x:v>1.8</x:v>
      </x:c>
      <x:c r="T51" s="85" t="n">
        <x:v>2.8000000000000003</x:v>
      </x:c>
      <x:c r="U51" s="85" t="n">
        <x:v>4.0600000000000005</x:v>
      </x:c>
      <x:c r="V51" s="85" t="n">
        <x:v>5.040000000000001</x:v>
      </x:c>
      <x:c r="W51" s="73" t="str">
        <x:v>APP-003</x:v>
      </x:c>
      <x:c r="X51" s="73" t="str">
        <x:v>Esquema desplegado</x:v>
      </x:c>
      <x:c r="Y51" s="73" t="str">
        <x:v>Tablas, restricciones y migraciones</x:v>
      </x:c>
      <x:c r="Z51" s="73"/>
      <x:c r="AA51" s="73" t="str">
        <x:v>Preliminar</x:v>
      </x:c>
      <x:c r="AB51" s="78" t="str">
        <x:v>Estimación técnica ISM · Validar</x:v>
      </x:c>
    </x:row>
    <x:row r="52">
      <x:c r="A52" s="77" t="str">
        <x:v>Desarrollo e Implementación</x:v>
      </x:c>
      <x:c r="B52" s="73" t="str">
        <x:v>APP-01</x:v>
      </x:c>
      <x:c r="C52" s="73" t="str">
        <x:v>Sistema web o aplicación de gestión</x:v>
      </x:c>
      <x:c r="D52" s="73" t="str">
        <x:v>02 · Optimización digital</x:v>
      </x:c>
      <x:c r="E52" s="73" t="str">
        <x:v>Backend</x:v>
      </x:c>
      <x:c r="F52" s="73" t="str">
        <x:v>APP-013</x:v>
      </x:c>
      <x:c r="G52" s="73" t="str">
        <x:v>Implementación de servicio CRUD backend</x:v>
      </x:c>
      <x:c r="H52" s="73" t="str">
        <x:v>Entidad</x:v>
      </x:c>
      <x:c r="I52" s="85" t="n">
        <x:v>3</x:v>
      </x:c>
      <x:c r="J52" s="85" t="str">
        <x:v>Sí</x:v>
      </x:c>
      <x:c r="K52" s="85" t="str">
        <x:v>No</x:v>
      </x:c>
      <x:c r="L52" s="85" t="n">
        <x:v>3</x:v>
      </x:c>
      <x:c r="M52" s="85" t="str">
        <x:v>Parcial</x:v>
      </x:c>
      <x:c r="N52" s="85" t="n">
        <x:v>0.8</x:v>
      </x:c>
      <x:c r="O52" s="85" t="n">
        <x:v>2.4000000000000004</x:v>
      </x:c>
      <x:c r="P52" s="85" t="str">
        <x:v>Alta</x:v>
      </x:c>
      <x:c r="Q52" s="85" t="n">
        <x:v>1</x:v>
      </x:c>
      <x:c r="R52" s="85" t="n">
        <x:v>1.45</x:v>
      </x:c>
      <x:c r="S52" s="85" t="n">
        <x:v>1.8</x:v>
      </x:c>
      <x:c r="T52" s="85" t="n">
        <x:v>7.200000000000001</x:v>
      </x:c>
      <x:c r="U52" s="85" t="n">
        <x:v>10.440000000000001</x:v>
      </x:c>
      <x:c r="V52" s="85" t="n">
        <x:v>12.960000000000003</x:v>
      </x:c>
      <x:c r="W52" s="73" t="str">
        <x:v>APP-012</x:v>
      </x:c>
      <x:c r="X52" s="73" t="str">
        <x:v>Servicios de datos</x:v>
      </x:c>
      <x:c r="Y52" s="73" t="str">
        <x:v>Operaciones de creación, consulta, actualización y eliminación con validaciones de servidor.</x:v>
      </x:c>
      <x:c r="Z52" s="73" t="str">
        <x:v>La interfaz de usuario se contabiliza en APP-010.</x:v>
      </x:c>
      <x:c r="AA52" s="73" t="str">
        <x:v>Preliminar</x:v>
      </x:c>
      <x:c r="AB52" s="78" t="str">
        <x:v>Estimación técnica ISM · Validar</x:v>
      </x:c>
    </x:row>
    <x:row r="53">
      <x:c r="A53" s="77" t="str">
        <x:v>Desarrollo e Implementación</x:v>
      </x:c>
      <x:c r="B53" s="73" t="str">
        <x:v>APP-01</x:v>
      </x:c>
      <x:c r="C53" s="73" t="str">
        <x:v>Sistema web o aplicación de gestión</x:v>
      </x:c>
      <x:c r="D53" s="73" t="str">
        <x:v>02 · Optimización digital</x:v>
      </x:c>
      <x:c r="E53" s="73" t="str">
        <x:v>Seguridad</x:v>
      </x:c>
      <x:c r="F53" s="73" t="str">
        <x:v>APP-014</x:v>
      </x:c>
      <x:c r="G53" s="73" t="str">
        <x:v>Autenticación y recuperación de acceso</x:v>
      </x:c>
      <x:c r="H53" s="73" t="str">
        <x:v>Sistema</x:v>
      </x:c>
      <x:c r="I53" s="85" t="n">
        <x:v>1</x:v>
      </x:c>
      <x:c r="J53" s="85" t="str">
        <x:v>Sí</x:v>
      </x:c>
      <x:c r="K53" s="85" t="str">
        <x:v>Sí</x:v>
      </x:c>
      <x:c r="L53" s="85" t="n">
        <x:v>5</x:v>
      </x:c>
      <x:c r="M53" s="85" t="str">
        <x:v>Parcial</x:v>
      </x:c>
      <x:c r="N53" s="85" t="n">
        <x:v>0.85</x:v>
      </x:c>
      <x:c r="O53" s="85" t="n">
        <x:v>4.25</x:v>
      </x:c>
      <x:c r="P53" s="85" t="str">
        <x:v>Alta</x:v>
      </x:c>
      <x:c r="Q53" s="85" t="n">
        <x:v>1</x:v>
      </x:c>
      <x:c r="R53" s="85" t="n">
        <x:v>1.45</x:v>
      </x:c>
      <x:c r="S53" s="85" t="n">
        <x:v>1.8</x:v>
      </x:c>
      <x:c r="T53" s="85" t="n">
        <x:v>4.25</x:v>
      </x:c>
      <x:c r="U53" s="85" t="n">
        <x:v>6.1625</x:v>
      </x:c>
      <x:c r="V53" s="85" t="n">
        <x:v>7.65</x:v>
      </x:c>
      <x:c r="W53" s="73" t="str">
        <x:v>APP-012</x:v>
      </x:c>
      <x:c r="X53" s="73" t="str">
        <x:v>Flujo de acceso</x:v>
      </x:c>
      <x:c r="Y53" s="73" t="str">
        <x:v>Ingreso, cierre, recuperación y estados</x:v>
      </x:c>
      <x:c r="Z53" s="73"/>
      <x:c r="AA53" s="73" t="str">
        <x:v>Preliminar</x:v>
      </x:c>
      <x:c r="AB53" s="78" t="str">
        <x:v>Estimación técnica ISM · Validar</x:v>
      </x:c>
    </x:row>
    <x:row r="54">
      <x:c r="A54" s="77" t="str">
        <x:v>Desarrollo e Implementación</x:v>
      </x:c>
      <x:c r="B54" s="73" t="str">
        <x:v>APP-01</x:v>
      </x:c>
      <x:c r="C54" s="73" t="str">
        <x:v>Sistema web o aplicación de gestión</x:v>
      </x:c>
      <x:c r="D54" s="73" t="str">
        <x:v>02 · Optimización digital</x:v>
      </x:c>
      <x:c r="E54" s="73" t="str">
        <x:v>Seguridad</x:v>
      </x:c>
      <x:c r="F54" s="73" t="str">
        <x:v>APP-015</x:v>
      </x:c>
      <x:c r="G54" s="73" t="str">
        <x:v>Autorización por roles y protección de rutas</x:v>
      </x:c>
      <x:c r="H54" s="73" t="str">
        <x:v>Rol</x:v>
      </x:c>
      <x:c r="I54" s="85" t="n">
        <x:v>2</x:v>
      </x:c>
      <x:c r="J54" s="85" t="str">
        <x:v>Sí</x:v>
      </x:c>
      <x:c r="K54" s="85" t="str">
        <x:v>Sí</x:v>
      </x:c>
      <x:c r="L54" s="85" t="n">
        <x:v>2</x:v>
      </x:c>
      <x:c r="M54" s="85" t="str">
        <x:v>Parcial</x:v>
      </x:c>
      <x:c r="N54" s="85" t="n">
        <x:v>0.85</x:v>
      </x:c>
      <x:c r="O54" s="85" t="n">
        <x:v>1.7</x:v>
      </x:c>
      <x:c r="P54" s="85" t="str">
        <x:v>Alta</x:v>
      </x:c>
      <x:c r="Q54" s="85" t="n">
        <x:v>1</x:v>
      </x:c>
      <x:c r="R54" s="85" t="n">
        <x:v>1.45</x:v>
      </x:c>
      <x:c r="S54" s="85" t="n">
        <x:v>1.8</x:v>
      </x:c>
      <x:c r="T54" s="85" t="n">
        <x:v>3.4</x:v>
      </x:c>
      <x:c r="U54" s="85" t="n">
        <x:v>4.93</x:v>
      </x:c>
      <x:c r="V54" s="85" t="n">
        <x:v>6.12</x:v>
      </x:c>
      <x:c r="W54" s="73" t="str">
        <x:v>APP-004; APP-014</x:v>
      </x:c>
      <x:c r="X54" s="73" t="str">
        <x:v>Permisos aplicados</x:v>
      </x:c>
      <x:c r="Y54" s="73" t="str">
        <x:v>Rutas, consultas y acciones protegidas</x:v>
      </x:c>
      <x:c r="Z54" s="73"/>
      <x:c r="AA54" s="73" t="str">
        <x:v>Preliminar</x:v>
      </x:c>
      <x:c r="AB54" s="78" t="str">
        <x:v>Estimación técnica ISM · Validar</x:v>
      </x:c>
    </x:row>
    <x:row r="55">
      <x:c r="A55" s="77" t="str">
        <x:v>Desarrollo e Implementación</x:v>
      </x:c>
      <x:c r="B55" s="73" t="str">
        <x:v>APP-01</x:v>
      </x:c>
      <x:c r="C55" s="73" t="str">
        <x:v>Sistema web o aplicación de gestión</x:v>
      </x:c>
      <x:c r="D55" s="73" t="str">
        <x:v>02 · Optimización digital</x:v>
      </x:c>
      <x:c r="E55" s="73" t="str">
        <x:v>Funcionalidad</x:v>
      </x:c>
      <x:c r="F55" s="73" t="str">
        <x:v>APP-016</x:v>
      </x:c>
      <x:c r="G55" s="73" t="str">
        <x:v>Implementación de flujo de negocio estándar</x:v>
      </x:c>
      <x:c r="H55" s="73" t="str">
        <x:v>Flujo</x:v>
      </x:c>
      <x:c r="I55" s="85" t="n">
        <x:v>2</x:v>
      </x:c>
      <x:c r="J55" s="85" t="str">
        <x:v>Sí</x:v>
      </x:c>
      <x:c r="K55" s="85" t="str">
        <x:v>No</x:v>
      </x:c>
      <x:c r="L55" s="85" t="n">
        <x:v>5</x:v>
      </x:c>
      <x:c r="M55" s="85" t="str">
        <x:v>Parcial</x:v>
      </x:c>
      <x:c r="N55" s="85" t="n">
        <x:v>0.85</x:v>
      </x:c>
      <x:c r="O55" s="85" t="n">
        <x:v>4.25</x:v>
      </x:c>
      <x:c r="P55" s="85" t="str">
        <x:v>Alta</x:v>
      </x:c>
      <x:c r="Q55" s="85" t="n">
        <x:v>1</x:v>
      </x:c>
      <x:c r="R55" s="85" t="n">
        <x:v>1.45</x:v>
      </x:c>
      <x:c r="S55" s="85" t="n">
        <x:v>1.8</x:v>
      </x:c>
      <x:c r="T55" s="85" t="n">
        <x:v>8.5</x:v>
      </x:c>
      <x:c r="U55" s="85" t="n">
        <x:v>12.325</x:v>
      </x:c>
      <x:c r="V55" s="85" t="n">
        <x:v>15.3</x:v>
      </x:c>
      <x:c r="W55" s="73" t="str">
        <x:v>APP-013</x:v>
      </x:c>
      <x:c r="X55" s="73" t="str">
        <x:v>Flujo funcional</x:v>
      </x:c>
      <x:c r="Y55" s="73" t="str">
        <x:v>Reglas, transiciones y persistencia</x:v>
      </x:c>
      <x:c r="Z55" s="73"/>
      <x:c r="AA55" s="73" t="str">
        <x:v>Preliminar</x:v>
      </x:c>
      <x:c r="AB55" s="78" t="str">
        <x:v>Estimación técnica ISM · Validar</x:v>
      </x:c>
    </x:row>
    <x:row r="56">
      <x:c r="A56" s="77" t="str">
        <x:v>Desarrollo e Implementación</x:v>
      </x:c>
      <x:c r="B56" s="73" t="str">
        <x:v>APP-01</x:v>
      </x:c>
      <x:c r="C56" s="73" t="str">
        <x:v>Sistema web o aplicación de gestión</x:v>
      </x:c>
      <x:c r="D56" s="73" t="str">
        <x:v>02 · Optimización digital</x:v>
      </x:c>
      <x:c r="E56" s="73" t="str">
        <x:v>Integración</x:v>
      </x:c>
      <x:c r="F56" s="73" t="str">
        <x:v>APP-017</x:v>
      </x:c>
      <x:c r="G56" s="73" t="str">
        <x:v>Notificación por correo</x:v>
      </x:c>
      <x:c r="H56" s="73" t="str">
        <x:v>Integración</x:v>
      </x:c>
      <x:c r="I56" s="85" t="n">
        <x:v>1</x:v>
      </x:c>
      <x:c r="J56" s="85" t="str">
        <x:v>No</x:v>
      </x:c>
      <x:c r="K56" s="85" t="str">
        <x:v>No</x:v>
      </x:c>
      <x:c r="L56" s="85" t="n">
        <x:v>3</x:v>
      </x:c>
      <x:c r="M56" s="85" t="str">
        <x:v>Parcial</x:v>
      </x:c>
      <x:c r="N56" s="85" t="n">
        <x:v>0.85</x:v>
      </x:c>
      <x:c r="O56" s="85" t="n">
        <x:v>2.55</x:v>
      </x:c>
      <x:c r="P56" s="85" t="str">
        <x:v>Alta</x:v>
      </x:c>
      <x:c r="Q56" s="85" t="n">
        <x:v>1</x:v>
      </x:c>
      <x:c r="R56" s="85" t="n">
        <x:v>1.45</x:v>
      </x:c>
      <x:c r="S56" s="85" t="n">
        <x:v>1.8</x:v>
      </x:c>
      <x:c r="T56" s="85" t="n">
        <x:v>0</x:v>
      </x:c>
      <x:c r="U56" s="85" t="n">
        <x:v>0</x:v>
      </x:c>
      <x:c r="V56" s="85" t="n">
        <x:v>0</x:v>
      </x:c>
      <x:c r="W56" s="73" t="str">
        <x:v>APP-013</x:v>
      </x:c>
      <x:c r="X56" s="73" t="str">
        <x:v>Notificación operativa</x:v>
      </x:c>
      <x:c r="Y56" s="73" t="str">
        <x:v>Plantilla, envío, manejo de error y prueba</x:v>
      </x:c>
      <x:c r="Z56" s="73" t="str">
        <x:v>Costo del proveedor</x:v>
      </x:c>
      <x:c r="AA56" s="73" t="str">
        <x:v>Preliminar</x:v>
      </x:c>
      <x:c r="AB56" s="78" t="str">
        <x:v>Estimación técnica ISM · Validar</x:v>
      </x:c>
    </x:row>
    <x:row r="57">
      <x:c r="A57" s="77" t="str">
        <x:v>Desarrollo e Implementación</x:v>
      </x:c>
      <x:c r="B57" s="73" t="str">
        <x:v>APP-01</x:v>
      </x:c>
      <x:c r="C57" s="73" t="str">
        <x:v>Sistema web o aplicación de gestión</x:v>
      </x:c>
      <x:c r="D57" s="73" t="str">
        <x:v>02 · Optimización digital</x:v>
      </x:c>
      <x:c r="E57" s="73" t="str">
        <x:v>Integración</x:v>
      </x:c>
      <x:c r="F57" s="73" t="str">
        <x:v>APP-018</x:v>
      </x:c>
      <x:c r="G57" s="73" t="str">
        <x:v>Exportación Excel</x:v>
      </x:c>
      <x:c r="H57" s="73" t="str">
        <x:v>Reporte</x:v>
      </x:c>
      <x:c r="I57" s="85" t="n">
        <x:v>1</x:v>
      </x:c>
      <x:c r="J57" s="85" t="str">
        <x:v>No</x:v>
      </x:c>
      <x:c r="K57" s="85" t="str">
        <x:v>No</x:v>
      </x:c>
      <x:c r="L57" s="85" t="n">
        <x:v>3</x:v>
      </x:c>
      <x:c r="M57" s="85" t="str">
        <x:v>Alta</x:v>
      </x:c>
      <x:c r="N57" s="85" t="n">
        <x:v>0.65</x:v>
      </x:c>
      <x:c r="O57" s="85" t="n">
        <x:v>1.9500000000000002</x:v>
      </x:c>
      <x:c r="P57" s="85" t="str">
        <x:v>Media</x:v>
      </x:c>
      <x:c r="Q57" s="85" t="n">
        <x:v>1</x:v>
      </x:c>
      <x:c r="R57" s="85" t="n">
        <x:v>1.3</x:v>
      </x:c>
      <x:c r="S57" s="85" t="n">
        <x:v>1.55</x:v>
      </x:c>
      <x:c r="T57" s="85" t="n">
        <x:v>0</x:v>
      </x:c>
      <x:c r="U57" s="85" t="n">
        <x:v>0</x:v>
      </x:c>
      <x:c r="V57" s="85" t="n">
        <x:v>0</x:v>
      </x:c>
      <x:c r="W57" s="73" t="str">
        <x:v>APP-013</x:v>
      </x:c>
      <x:c r="X57" s="73" t="str">
        <x:v>Archivo Excel</x:v>
      </x:c>
      <x:c r="Y57" s="73" t="str">
        <x:v>Columnas, filtros, formato y descarga</x:v>
      </x:c>
      <x:c r="Z57" s="73"/>
      <x:c r="AA57" s="73" t="str">
        <x:v>Preliminar</x:v>
      </x:c>
      <x:c r="AB57" s="78" t="str">
        <x:v>Estimación técnica ISM · Validar</x:v>
      </x:c>
    </x:row>
    <x:row r="58">
      <x:c r="A58" s="77" t="str">
        <x:v>Desarrollo e Implementación</x:v>
      </x:c>
      <x:c r="B58" s="73" t="str">
        <x:v>APP-01</x:v>
      </x:c>
      <x:c r="C58" s="73" t="str">
        <x:v>Sistema web o aplicación de gestión</x:v>
      </x:c>
      <x:c r="D58" s="73" t="str">
        <x:v>02 · Optimización digital</x:v>
      </x:c>
      <x:c r="E58" s="73" t="str">
        <x:v>Integración</x:v>
      </x:c>
      <x:c r="F58" s="73" t="str">
        <x:v>APP-019</x:v>
      </x:c>
      <x:c r="G58" s="73" t="str">
        <x:v>Exportación PDF</x:v>
      </x:c>
      <x:c r="H58" s="73" t="str">
        <x:v>Reporte</x:v>
      </x:c>
      <x:c r="I58" s="85" t="n">
        <x:v>1</x:v>
      </x:c>
      <x:c r="J58" s="85" t="str">
        <x:v>No</x:v>
      </x:c>
      <x:c r="K58" s="85" t="str">
        <x:v>No</x:v>
      </x:c>
      <x:c r="L58" s="85" t="n">
        <x:v>4</x:v>
      </x:c>
      <x:c r="M58" s="85" t="str">
        <x:v>Parcial</x:v>
      </x:c>
      <x:c r="N58" s="85" t="n">
        <x:v>0.8</x:v>
      </x:c>
      <x:c r="O58" s="85" t="n">
        <x:v>3.2</x:v>
      </x:c>
      <x:c r="P58" s="85" t="str">
        <x:v>Alta</x:v>
      </x:c>
      <x:c r="Q58" s="85" t="n">
        <x:v>1</x:v>
      </x:c>
      <x:c r="R58" s="85" t="n">
        <x:v>1.45</x:v>
      </x:c>
      <x:c r="S58" s="85" t="n">
        <x:v>1.8</x:v>
      </x:c>
      <x:c r="T58" s="85" t="n">
        <x:v>0</x:v>
      </x:c>
      <x:c r="U58" s="85" t="n">
        <x:v>0</x:v>
      </x:c>
      <x:c r="V58" s="85" t="n">
        <x:v>0</x:v>
      </x:c>
      <x:c r="W58" s="73" t="str">
        <x:v>APP-013</x:v>
      </x:c>
      <x:c r="X58" s="73" t="str">
        <x:v>Archivo PDF</x:v>
      </x:c>
      <x:c r="Y58" s="73" t="str">
        <x:v>Diseño, paginación, tablas y descarga</x:v>
      </x:c>
      <x:c r="Z58" s="73"/>
      <x:c r="AA58" s="73" t="str">
        <x:v>Preliminar</x:v>
      </x:c>
      <x:c r="AB58" s="78" t="str">
        <x:v>Estimación técnica ISM · Validar</x:v>
      </x:c>
    </x:row>
    <x:row r="59">
      <x:c r="A59" s="77" t="str">
        <x:v>Desarrollo e Implementación</x:v>
      </x:c>
      <x:c r="B59" s="73" t="str">
        <x:v>APP-01</x:v>
      </x:c>
      <x:c r="C59" s="73" t="str">
        <x:v>Sistema web o aplicación de gestión</x:v>
      </x:c>
      <x:c r="D59" s="73" t="str">
        <x:v>02 · Optimización digital</x:v>
      </x:c>
      <x:c r="E59" s="73" t="str">
        <x:v>Calidad</x:v>
      </x:c>
      <x:c r="F59" s="73" t="str">
        <x:v>APP-020</x:v>
      </x:c>
      <x:c r="G59" s="73" t="str">
        <x:v>Pruebas unitarias de reglas críticas</x:v>
      </x:c>
      <x:c r="H59" s="73" t="str">
        <x:v>Regla</x:v>
      </x:c>
      <x:c r="I59" s="85" t="n">
        <x:v>3</x:v>
      </x:c>
      <x:c r="J59" s="85" t="str">
        <x:v>Sí</x:v>
      </x:c>
      <x:c r="K59" s="85" t="str">
        <x:v>No</x:v>
      </x:c>
      <x:c r="L59" s="85" t="n">
        <x:v>1.5</x:v>
      </x:c>
      <x:c r="M59" s="85" t="str">
        <x:v>Parcial</x:v>
      </x:c>
      <x:c r="N59" s="85" t="n">
        <x:v>0.85</x:v>
      </x:c>
      <x:c r="O59" s="85" t="n">
        <x:v>1.275</x:v>
      </x:c>
      <x:c r="P59" s="85" t="str">
        <x:v>Alta</x:v>
      </x:c>
      <x:c r="Q59" s="85" t="n">
        <x:v>1</x:v>
      </x:c>
      <x:c r="R59" s="85" t="n">
        <x:v>1.45</x:v>
      </x:c>
      <x:c r="S59" s="85" t="n">
        <x:v>1.8</x:v>
      </x:c>
      <x:c r="T59" s="85" t="n">
        <x:v>3.8249999999999997</x:v>
      </x:c>
      <x:c r="U59" s="85" t="n">
        <x:v>5.54625</x:v>
      </x:c>
      <x:c r="V59" s="85" t="n">
        <x:v>6.885</x:v>
      </x:c>
      <x:c r="W59" s="73" t="str">
        <x:v>APP-016</x:v>
      </x:c>
      <x:c r="X59" s="73" t="str">
        <x:v>Suite de pruebas</x:v>
      </x:c>
      <x:c r="Y59" s="73" t="str">
        <x:v>Casos normales, límites y errores</x:v>
      </x:c>
      <x:c r="Z59" s="73"/>
      <x:c r="AA59" s="73" t="str">
        <x:v>Preliminar</x:v>
      </x:c>
      <x:c r="AB59" s="78" t="str">
        <x:v>Estimación técnica ISM · Validar</x:v>
      </x:c>
    </x:row>
    <x:row r="60">
      <x:c r="A60" s="77" t="str">
        <x:v>Desarrollo e Implementación</x:v>
      </x:c>
      <x:c r="B60" s="73" t="str">
        <x:v>APP-01</x:v>
      </x:c>
      <x:c r="C60" s="73" t="str">
        <x:v>Sistema web o aplicación de gestión</x:v>
      </x:c>
      <x:c r="D60" s="73" t="str">
        <x:v>02 · Optimización digital</x:v>
      </x:c>
      <x:c r="E60" s="73" t="str">
        <x:v>Calidad</x:v>
      </x:c>
      <x:c r="F60" s="73" t="str">
        <x:v>APP-021</x:v>
      </x:c>
      <x:c r="G60" s="73" t="str">
        <x:v>Pruebas de integración y permisos</x:v>
      </x:c>
      <x:c r="H60" s="73" t="str">
        <x:v>Proyecto</x:v>
      </x:c>
      <x:c r="I60" s="85" t="n">
        <x:v>1</x:v>
      </x:c>
      <x:c r="J60" s="85" t="str">
        <x:v>Sí</x:v>
      </x:c>
      <x:c r="K60" s="85" t="str">
        <x:v>Sí</x:v>
      </x:c>
      <x:c r="L60" s="85" t="n">
        <x:v>4</x:v>
      </x:c>
      <x:c r="M60" s="85" t="str">
        <x:v>No</x:v>
      </x:c>
      <x:c r="N60" s="85" t="n">
        <x:v>1</x:v>
      </x:c>
      <x:c r="O60" s="85" t="n">
        <x:v>4</x:v>
      </x:c>
      <x:c r="P60" s="85" t="str">
        <x:v>Alta</x:v>
      </x:c>
      <x:c r="Q60" s="85" t="n">
        <x:v>1</x:v>
      </x:c>
      <x:c r="R60" s="85" t="n">
        <x:v>1.45</x:v>
      </x:c>
      <x:c r="S60" s="85" t="n">
        <x:v>1.8</x:v>
      </x:c>
      <x:c r="T60" s="85" t="n">
        <x:v>4</x:v>
      </x:c>
      <x:c r="U60" s="85" t="n">
        <x:v>5.8</x:v>
      </x:c>
      <x:c r="V60" s="85" t="n">
        <x:v>7.2</x:v>
      </x:c>
      <x:c r="W60" s="73" t="str">
        <x:v>APP-015; APP-016</x:v>
      </x:c>
      <x:c r="X60" s="73" t="str">
        <x:v>Informe de pruebas</x:v>
      </x:c>
      <x:c r="Y60" s="73" t="str">
        <x:v>Datos, roles, rutas y flujos</x:v>
      </x:c>
      <x:c r="Z60" s="73"/>
      <x:c r="AA60" s="73" t="str">
        <x:v>Preliminar</x:v>
      </x:c>
      <x:c r="AB60" s="78" t="str">
        <x:v>Estimación técnica ISM · Validar</x:v>
      </x:c>
    </x:row>
    <x:row r="61">
      <x:c r="A61" s="77" t="str">
        <x:v>Desarrollo e Implementación</x:v>
      </x:c>
      <x:c r="B61" s="73" t="str">
        <x:v>APP-01</x:v>
      </x:c>
      <x:c r="C61" s="73" t="str">
        <x:v>Sistema web o aplicación de gestión</x:v>
      </x:c>
      <x:c r="D61" s="73" t="str">
        <x:v>02 · Optimización digital</x:v>
      </x:c>
      <x:c r="E61" s="73" t="str">
        <x:v>Calidad</x:v>
      </x:c>
      <x:c r="F61" s="73" t="str">
        <x:v>APP-022</x:v>
      </x:c>
      <x:c r="G61" s="73" t="str">
        <x:v>Validación responsive y experiencia de usuario</x:v>
      </x:c>
      <x:c r="H61" s="73" t="str">
        <x:v>Proyecto</x:v>
      </x:c>
      <x:c r="I61" s="85" t="n">
        <x:v>1</x:v>
      </x:c>
      <x:c r="J61" s="85" t="str">
        <x:v>Sí</x:v>
      </x:c>
      <x:c r="K61" s="85" t="str">
        <x:v>No</x:v>
      </x:c>
      <x:c r="L61" s="85" t="n">
        <x:v>3</x:v>
      </x:c>
      <x:c r="M61" s="85" t="str">
        <x:v>No</x:v>
      </x:c>
      <x:c r="N61" s="85" t="n">
        <x:v>1</x:v>
      </x:c>
      <x:c r="O61" s="85" t="n">
        <x:v>3</x:v>
      </x:c>
      <x:c r="P61" s="85" t="str">
        <x:v>Media</x:v>
      </x:c>
      <x:c r="Q61" s="85" t="n">
        <x:v>1</x:v>
      </x:c>
      <x:c r="R61" s="85" t="n">
        <x:v>1.3</x:v>
      </x:c>
      <x:c r="S61" s="85" t="n">
        <x:v>1.55</x:v>
      </x:c>
      <x:c r="T61" s="85" t="n">
        <x:v>3</x:v>
      </x:c>
      <x:c r="U61" s="85" t="n">
        <x:v>3.9000000000000004</x:v>
      </x:c>
      <x:c r="V61" s="85" t="n">
        <x:v>4.65</x:v>
      </x:c>
      <x:c r="W61" s="73" t="str">
        <x:v>APP-009</x:v>
      </x:c>
      <x:c r="X61" s="73" t="str">
        <x:v>Checklist UX</x:v>
      </x:c>
      <x:c r="Y61" s="73" t="str">
        <x:v>Pruebas de adaptación, navegación, mensajes, estados y usabilidad. No incluye construcción de interfaz.</x:v>
      </x:c>
      <x:c r="Z61" s="73" t="str">
        <x:v>Los ajustes derivados se contabilizan en APP-027 cuando exceden correcciones menores.</x:v>
      </x:c>
      <x:c r="AA61" s="73" t="str">
        <x:v>Preliminar</x:v>
      </x:c>
      <x:c r="AB61" s="78" t="str">
        <x:v>Estimación técnica ISM · Validar</x:v>
      </x:c>
    </x:row>
    <x:row r="62">
      <x:c r="A62" s="77" t="str">
        <x:v>Desarrollo e Implementación</x:v>
      </x:c>
      <x:c r="B62" s="73" t="str">
        <x:v>APP-01</x:v>
      </x:c>
      <x:c r="C62" s="73" t="str">
        <x:v>Sistema web o aplicación de gestión</x:v>
      </x:c>
      <x:c r="D62" s="73" t="str">
        <x:v>02 · Optimización digital</x:v>
      </x:c>
      <x:c r="E62" s="73" t="str">
        <x:v>Datos</x:v>
      </x:c>
      <x:c r="F62" s="73" t="str">
        <x:v>APP-023</x:v>
      </x:c>
      <x:c r="G62" s="73" t="str">
        <x:v>Carga o migración inicial de datos</x:v>
      </x:c>
      <x:c r="H62" s="73" t="str">
        <x:v>Lote</x:v>
      </x:c>
      <x:c r="I62" s="85" t="n">
        <x:v>0</x:v>
      </x:c>
      <x:c r="J62" s="85" t="str">
        <x:v>No</x:v>
      </x:c>
      <x:c r="K62" s="85" t="str">
        <x:v>No</x:v>
      </x:c>
      <x:c r="L62" s="85" t="n">
        <x:v>5</x:v>
      </x:c>
      <x:c r="M62" s="85" t="str">
        <x:v>No</x:v>
      </x:c>
      <x:c r="N62" s="85" t="n">
        <x:v>1</x:v>
      </x:c>
      <x:c r="O62" s="85" t="n">
        <x:v>5</x:v>
      </x:c>
      <x:c r="P62" s="85" t="str">
        <x:v>Alta</x:v>
      </x:c>
      <x:c r="Q62" s="85" t="n">
        <x:v>1</x:v>
      </x:c>
      <x:c r="R62" s="85" t="n">
        <x:v>1.45</x:v>
      </x:c>
      <x:c r="S62" s="85" t="n">
        <x:v>1.8</x:v>
      </x:c>
      <x:c r="T62" s="85" t="n">
        <x:v>0</x:v>
      </x:c>
      <x:c r="U62" s="85" t="n">
        <x:v>0</x:v>
      </x:c>
      <x:c r="V62" s="85" t="n">
        <x:v>0</x:v>
      </x:c>
      <x:c r="W62" s="73" t="str">
        <x:v>APP-012</x:v>
      </x:c>
      <x:c r="X62" s="73" t="str">
        <x:v>Datos migrados</x:v>
      </x:c>
      <x:c r="Y62" s="73" t="str">
        <x:v>Mapeo, validación, carga y conciliación</x:v>
      </x:c>
      <x:c r="Z62" s="73" t="str">
        <x:v>Limpieza extensa de datos</x:v>
      </x:c>
      <x:c r="AA62" s="73" t="str">
        <x:v>Preliminar</x:v>
      </x:c>
      <x:c r="AB62" s="78" t="str">
        <x:v>Estimación técnica ISM · Validar</x:v>
      </x:c>
    </x:row>
    <x:row r="63">
      <x:c r="A63" s="77" t="str">
        <x:v>Desarrollo e Implementación</x:v>
      </x:c>
      <x:c r="B63" s="73" t="str">
        <x:v>APP-01</x:v>
      </x:c>
      <x:c r="C63" s="73" t="str">
        <x:v>Sistema web o aplicación de gestión</x:v>
      </x:c>
      <x:c r="D63" s="73" t="str">
        <x:v>02 · Optimización digital</x:v>
      </x:c>
      <x:c r="E63" s="73" t="str">
        <x:v>Despliegue</x:v>
      </x:c>
      <x:c r="F63" s="73" t="str">
        <x:v>APP-024</x:v>
      </x:c>
      <x:c r="G63" s="73" t="str">
        <x:v>Configuración y despliegue de producción</x:v>
      </x:c>
      <x:c r="H63" s="73" t="str">
        <x:v>Entorno</x:v>
      </x:c>
      <x:c r="I63" s="85" t="n">
        <x:v>1</x:v>
      </x:c>
      <x:c r="J63" s="85" t="str">
        <x:v>Sí</x:v>
      </x:c>
      <x:c r="K63" s="85" t="str">
        <x:v>Sí</x:v>
      </x:c>
      <x:c r="L63" s="85" t="n">
        <x:v>3</x:v>
      </x:c>
      <x:c r="M63" s="85" t="str">
        <x:v>Parcial</x:v>
      </x:c>
      <x:c r="N63" s="85" t="n">
        <x:v>0.8</x:v>
      </x:c>
      <x:c r="O63" s="85" t="n">
        <x:v>2.4000000000000004</x:v>
      </x:c>
      <x:c r="P63" s="85" t="str">
        <x:v>Alta</x:v>
      </x:c>
      <x:c r="Q63" s="85" t="n">
        <x:v>1</x:v>
      </x:c>
      <x:c r="R63" s="85" t="n">
        <x:v>1.45</x:v>
      </x:c>
      <x:c r="S63" s="85" t="n">
        <x:v>1.8</x:v>
      </x:c>
      <x:c r="T63" s="85" t="n">
        <x:v>2.4000000000000004</x:v>
      </x:c>
      <x:c r="U63" s="85" t="n">
        <x:v>3.4800000000000004</x:v>
      </x:c>
      <x:c r="V63" s="85" t="n">
        <x:v>4.320000000000001</x:v>
      </x:c>
      <x:c r="W63" s="73" t="str">
        <x:v>APP-021</x:v>
      </x:c>
      <x:c r="X63" s="73" t="str">
        <x:v>Producción operativa</x:v>
      </x:c>
      <x:c r="Y63" s="73" t="str">
        <x:v>Variables, build, base de datos y validación</x:v>
      </x:c>
      <x:c r="Z63" s="73" t="str">
        <x:v>Costos de infraestructura</x:v>
      </x:c>
      <x:c r="AA63" s="73" t="str">
        <x:v>Preliminar</x:v>
      </x:c>
      <x:c r="AB63" s="78" t="str">
        <x:v>Estimación técnica ISM · Validar</x:v>
      </x:c>
    </x:row>
    <x:row r="64">
      <x:c r="A64" s="77" t="str">
        <x:v>Desarrollo e Implementación</x:v>
      </x:c>
      <x:c r="B64" s="73" t="str">
        <x:v>APP-01</x:v>
      </x:c>
      <x:c r="C64" s="73" t="str">
        <x:v>Sistema web o aplicación de gestión</x:v>
      </x:c>
      <x:c r="D64" s="73" t="str">
        <x:v>02 · Optimización digital</x:v>
      </x:c>
      <x:c r="E64" s="73" t="str">
        <x:v>Cierre</x:v>
      </x:c>
      <x:c r="F64" s="73" t="str">
        <x:v>APP-025</x:v>
      </x:c>
      <x:c r="G64" s="73" t="str">
        <x:v>Capacitación de usuario administrador</x:v>
      </x:c>
      <x:c r="H64" s="73" t="str">
        <x:v>Sesión</x:v>
      </x:c>
      <x:c r="I64" s="85" t="n">
        <x:v>1</x:v>
      </x:c>
      <x:c r="J64" s="85" t="str">
        <x:v>Sí</x:v>
      </x:c>
      <x:c r="K64" s="85" t="str">
        <x:v>No</x:v>
      </x:c>
      <x:c r="L64" s="85" t="n">
        <x:v>2</x:v>
      </x:c>
      <x:c r="M64" s="85" t="str">
        <x:v>No</x:v>
      </x:c>
      <x:c r="N64" s="85" t="n">
        <x:v>1</x:v>
      </x:c>
      <x:c r="O64" s="85" t="n">
        <x:v>2</x:v>
      </x:c>
      <x:c r="P64" s="85" t="str">
        <x:v>Media</x:v>
      </x:c>
      <x:c r="Q64" s="85" t="n">
        <x:v>1</x:v>
      </x:c>
      <x:c r="R64" s="85" t="n">
        <x:v>1.3</x:v>
      </x:c>
      <x:c r="S64" s="85" t="n">
        <x:v>1.55</x:v>
      </x:c>
      <x:c r="T64" s="85" t="n">
        <x:v>2</x:v>
      </x:c>
      <x:c r="U64" s="85" t="n">
        <x:v>2.6</x:v>
      </x:c>
      <x:c r="V64" s="85" t="n">
        <x:v>3.1</x:v>
      </x:c>
      <x:c r="W64" s="73" t="str">
        <x:v>APP-024</x:v>
      </x:c>
      <x:c r="X64" s="73" t="str">
        <x:v>Capacitación</x:v>
      </x:c>
      <x:c r="Y64" s="73" t="str">
        <x:v>Uso, administración y resolución básica</x:v>
      </x:c>
      <x:c r="Z64" s="73"/>
      <x:c r="AA64" s="73" t="str">
        <x:v>Preliminar</x:v>
      </x:c>
      <x:c r="AB64" s="78" t="str">
        <x:v>Estimación técnica ISM · Validar</x:v>
      </x:c>
    </x:row>
    <x:row r="65">
      <x:c r="A65" s="77" t="str">
        <x:v>Desarrollo e Implementación</x:v>
      </x:c>
      <x:c r="B65" s="73" t="str">
        <x:v>APP-01</x:v>
      </x:c>
      <x:c r="C65" s="73" t="str">
        <x:v>Sistema web o aplicación de gestión</x:v>
      </x:c>
      <x:c r="D65" s="73" t="str">
        <x:v>02 · Optimización digital</x:v>
      </x:c>
      <x:c r="E65" s="73" t="str">
        <x:v>Cierre</x:v>
      </x:c>
      <x:c r="F65" s="73" t="str">
        <x:v>APP-026</x:v>
      </x:c>
      <x:c r="G65" s="73" t="str">
        <x:v>Documentación técnica y funcional</x:v>
      </x:c>
      <x:c r="H65" s="73" t="str">
        <x:v>Proyecto</x:v>
      </x:c>
      <x:c r="I65" s="85" t="n">
        <x:v>1</x:v>
      </x:c>
      <x:c r="J65" s="85" t="str">
        <x:v>Sí</x:v>
      </x:c>
      <x:c r="K65" s="85" t="str">
        <x:v>Sí</x:v>
      </x:c>
      <x:c r="L65" s="85" t="n">
        <x:v>3</x:v>
      </x:c>
      <x:c r="M65" s="85" t="str">
        <x:v>No</x:v>
      </x:c>
      <x:c r="N65" s="85" t="n">
        <x:v>1</x:v>
      </x:c>
      <x:c r="O65" s="85" t="n">
        <x:v>3</x:v>
      </x:c>
      <x:c r="P65" s="85" t="str">
        <x:v>Media</x:v>
      </x:c>
      <x:c r="Q65" s="85" t="n">
        <x:v>1</x:v>
      </x:c>
      <x:c r="R65" s="85" t="n">
        <x:v>1.3</x:v>
      </x:c>
      <x:c r="S65" s="85" t="n">
        <x:v>1.55</x:v>
      </x:c>
      <x:c r="T65" s="85" t="n">
        <x:v>3</x:v>
      </x:c>
      <x:c r="U65" s="85" t="n">
        <x:v>3.9000000000000004</x:v>
      </x:c>
      <x:c r="V65" s="85" t="n">
        <x:v>4.65</x:v>
      </x:c>
      <x:c r="W65" s="73"/>
      <x:c r="X65" s="73" t="str">
        <x:v>Documentación</x:v>
      </x:c>
      <x:c r="Y65" s="73" t="str">
        <x:v>Arquitectura, instalación y uso</x:v>
      </x:c>
      <x:c r="Z65" s="73"/>
      <x:c r="AA65" s="73" t="str">
        <x:v>Preliminar</x:v>
      </x:c>
      <x:c r="AB65" s="78" t="str">
        <x:v>Estimación técnica ISM · Validar</x:v>
      </x:c>
    </x:row>
    <x:row r="66">
      <x:c r="A66" s="77" t="str">
        <x:v>Desarrollo e Implementación</x:v>
      </x:c>
      <x:c r="B66" s="73" t="str">
        <x:v>APP-01</x:v>
      </x:c>
      <x:c r="C66" s="73" t="str">
        <x:v>Sistema web o aplicación de gestión</x:v>
      </x:c>
      <x:c r="D66" s="73" t="str">
        <x:v>02 · Optimización digital</x:v>
      </x:c>
      <x:c r="E66" s="73" t="str">
        <x:v>Cierre</x:v>
      </x:c>
      <x:c r="F66" s="73" t="str">
        <x:v>APP-027</x:v>
      </x:c>
      <x:c r="G66" s="73" t="str">
        <x:v>Ciclo de ajustes posterior a UAT</x:v>
      </x:c>
      <x:c r="H66" s="73" t="str">
        <x:v>Ciclo</x:v>
      </x:c>
      <x:c r="I66" s="85" t="n">
        <x:v>1</x:v>
      </x:c>
      <x:c r="J66" s="85" t="str">
        <x:v>Sí</x:v>
      </x:c>
      <x:c r="K66" s="85" t="str">
        <x:v>No</x:v>
      </x:c>
      <x:c r="L66" s="85" t="n">
        <x:v>4</x:v>
      </x:c>
      <x:c r="M66" s="85" t="str">
        <x:v>No</x:v>
      </x:c>
      <x:c r="N66" s="85" t="n">
        <x:v>1</x:v>
      </x:c>
      <x:c r="O66" s="85" t="n">
        <x:v>4</x:v>
      </x:c>
      <x:c r="P66" s="85" t="str">
        <x:v>Alta</x:v>
      </x:c>
      <x:c r="Q66" s="85" t="n">
        <x:v>1</x:v>
      </x:c>
      <x:c r="R66" s="85" t="n">
        <x:v>1.45</x:v>
      </x:c>
      <x:c r="S66" s="85" t="n">
        <x:v>1.8</x:v>
      </x:c>
      <x:c r="T66" s="85" t="n">
        <x:v>4</x:v>
      </x:c>
      <x:c r="U66" s="85" t="n">
        <x:v>5.8</x:v>
      </x:c>
      <x:c r="V66" s="85" t="n">
        <x:v>7.2</x:v>
      </x:c>
      <x:c r="W66" s="73" t="str">
        <x:v>APP-021</x:v>
      </x:c>
      <x:c r="X66" s="73" t="str">
        <x:v>Ajustes UAT</x:v>
      </x:c>
      <x:c r="Y66" s="73" t="str">
        <x:v>Correcciones dentro del alcance aprobado</x:v>
      </x:c>
      <x:c r="Z66" s="73" t="str">
        <x:v>Nuevas funcionalidades</x:v>
      </x:c>
      <x:c r="AA66" s="73" t="str">
        <x:v>Preliminar</x:v>
      </x:c>
      <x:c r="AB66" s="78" t="str">
        <x:v>Estimación técnica ISM · Validar</x:v>
      </x:c>
    </x:row>
    <x:row r="67">
      <x:c r="A67" s="77" t="str">
        <x:v>Desarrollo e Implementación</x:v>
      </x:c>
      <x:c r="B67" s="73" t="str">
        <x:v>INT-01</x:v>
      </x:c>
      <x:c r="C67" s="73" t="str">
        <x:v>Integración y automatización de procesos</x:v>
      </x:c>
      <x:c r="D67" s="73" t="str">
        <x:v>02 · Optimización digital</x:v>
      </x:c>
      <x:c r="E67" s="73" t="str">
        <x:v>Diagnóstico</x:v>
      </x:c>
      <x:c r="F67" s="73" t="str">
        <x:v>INT-001</x:v>
      </x:c>
      <x:c r="G67" s="73" t="str">
        <x:v>Levantamiento del proceso y puntos de integración</x:v>
      </x:c>
      <x:c r="H67" s="73" t="str">
        <x:v>Proceso</x:v>
      </x:c>
      <x:c r="I67" s="85" t="n">
        <x:v>1</x:v>
      </x:c>
      <x:c r="J67" s="85" t="str">
        <x:v>Sí</x:v>
      </x:c>
      <x:c r="K67" s="85" t="str">
        <x:v>Sí</x:v>
      </x:c>
      <x:c r="L67" s="85" t="n">
        <x:v>2.5</x:v>
      </x:c>
      <x:c r="M67" s="85" t="str">
        <x:v>No</x:v>
      </x:c>
      <x:c r="N67" s="85" t="n">
        <x:v>1</x:v>
      </x:c>
      <x:c r="O67" s="85" t="n">
        <x:v>2.5</x:v>
      </x:c>
      <x:c r="P67" s="85" t="str">
        <x:v>Alta</x:v>
      </x:c>
      <x:c r="Q67" s="85" t="n">
        <x:v>1</x:v>
      </x:c>
      <x:c r="R67" s="85" t="n">
        <x:v>1.45</x:v>
      </x:c>
      <x:c r="S67" s="85" t="n">
        <x:v>1.8</x:v>
      </x:c>
      <x:c r="T67" s="85" t="n">
        <x:v>2.5</x:v>
      </x:c>
      <x:c r="U67" s="85" t="n">
        <x:v>3.625</x:v>
      </x:c>
      <x:c r="V67" s="85" t="n">
        <x:v>4.5</x:v>
      </x:c>
      <x:c r="W67" s="73"/>
      <x:c r="X67" s="73" t="str">
        <x:v>Mapa del proceso</x:v>
      </x:c>
      <x:c r="Y67" s="73" t="str">
        <x:v>Origen, destino, frecuencia, responsables y errores</x:v>
      </x:c>
      <x:c r="Z67" s="73"/>
      <x:c r="AA67" s="73" t="str">
        <x:v>Preliminar</x:v>
      </x:c>
      <x:c r="AB67" s="78" t="str">
        <x:v>Estimación técnica ISM · Validar</x:v>
      </x:c>
    </x:row>
    <x:row r="68">
      <x:c r="A68" s="77" t="str">
        <x:v>Desarrollo e Implementación</x:v>
      </x:c>
      <x:c r="B68" s="73" t="str">
        <x:v>INT-01</x:v>
      </x:c>
      <x:c r="C68" s="73" t="str">
        <x:v>Integración y automatización de procesos</x:v>
      </x:c>
      <x:c r="D68" s="73" t="str">
        <x:v>02 · Optimización digital</x:v>
      </x:c>
      <x:c r="E68" s="73" t="str">
        <x:v>Diagnóstico</x:v>
      </x:c>
      <x:c r="F68" s="73" t="str">
        <x:v>INT-002</x:v>
      </x:c>
      <x:c r="G68" s="73" t="str">
        <x:v>Revisión de APIs, archivos o mecanismos disponibles</x:v>
      </x:c>
      <x:c r="H68" s="73" t="str">
        <x:v>Integración</x:v>
      </x:c>
      <x:c r="I68" s="85" t="n">
        <x:v>1</x:v>
      </x:c>
      <x:c r="J68" s="85" t="str">
        <x:v>Sí</x:v>
      </x:c>
      <x:c r="K68" s="85" t="str">
        <x:v>Sí</x:v>
      </x:c>
      <x:c r="L68" s="85" t="n">
        <x:v>2</x:v>
      </x:c>
      <x:c r="M68" s="85" t="str">
        <x:v>No</x:v>
      </x:c>
      <x:c r="N68" s="85" t="n">
        <x:v>1</x:v>
      </x:c>
      <x:c r="O68" s="85" t="n">
        <x:v>2</x:v>
      </x:c>
      <x:c r="P68" s="85" t="str">
        <x:v>Alta</x:v>
      </x:c>
      <x:c r="Q68" s="85" t="n">
        <x:v>1</x:v>
      </x:c>
      <x:c r="R68" s="85" t="n">
        <x:v>1.45</x:v>
      </x:c>
      <x:c r="S68" s="85" t="n">
        <x:v>1.8</x:v>
      </x:c>
      <x:c r="T68" s="85" t="n">
        <x:v>2</x:v>
      </x:c>
      <x:c r="U68" s="85" t="n">
        <x:v>2.9</x:v>
      </x:c>
      <x:c r="V68" s="85" t="n">
        <x:v>3.6</x:v>
      </x:c>
      <x:c r="W68" s="73" t="str">
        <x:v>INT-001</x:v>
      </x:c>
      <x:c r="X68" s="73" t="str">
        <x:v>Evaluación técnica</x:v>
      </x:c>
      <x:c r="Y68" s="73" t="str">
        <x:v>Credenciales, límites, formatos y documentación</x:v>
      </x:c>
      <x:c r="Z68" s="73" t="str">
        <x:v>Licencias o accesos no disponibles</x:v>
      </x:c>
      <x:c r="AA68" s="73" t="str">
        <x:v>Preliminar</x:v>
      </x:c>
      <x:c r="AB68" s="78" t="str">
        <x:v>Estimación técnica ISM · Validar</x:v>
      </x:c>
    </x:row>
    <x:row r="69">
      <x:c r="A69" s="77" t="str">
        <x:v>Desarrollo e Implementación</x:v>
      </x:c>
      <x:c r="B69" s="73" t="str">
        <x:v>INT-01</x:v>
      </x:c>
      <x:c r="C69" s="73" t="str">
        <x:v>Integración y automatización de procesos</x:v>
      </x:c>
      <x:c r="D69" s="73" t="str">
        <x:v>02 · Optimización digital</x:v>
      </x:c>
      <x:c r="E69" s="73" t="str">
        <x:v>Diseño</x:v>
      </x:c>
      <x:c r="F69" s="73" t="str">
        <x:v>INT-003</x:v>
      </x:c>
      <x:c r="G69" s="73" t="str">
        <x:v>Diseño del mapeo de datos y transformaciones</x:v>
      </x:c>
      <x:c r="H69" s="73" t="str">
        <x:v>Integración</x:v>
      </x:c>
      <x:c r="I69" s="85" t="n">
        <x:v>1</x:v>
      </x:c>
      <x:c r="J69" s="85" t="str">
        <x:v>Sí</x:v>
      </x:c>
      <x:c r="K69" s="85" t="str">
        <x:v>Sí</x:v>
      </x:c>
      <x:c r="L69" s="85" t="n">
        <x:v>3</x:v>
      </x:c>
      <x:c r="M69" s="85" t="str">
        <x:v>No</x:v>
      </x:c>
      <x:c r="N69" s="85" t="n">
        <x:v>1</x:v>
      </x:c>
      <x:c r="O69" s="85" t="n">
        <x:v>3</x:v>
      </x:c>
      <x:c r="P69" s="85" t="str">
        <x:v>Alta</x:v>
      </x:c>
      <x:c r="Q69" s="85" t="n">
        <x:v>1</x:v>
      </x:c>
      <x:c r="R69" s="85" t="n">
        <x:v>1.45</x:v>
      </x:c>
      <x:c r="S69" s="85" t="n">
        <x:v>1.8</x:v>
      </x:c>
      <x:c r="T69" s="85" t="n">
        <x:v>3</x:v>
      </x:c>
      <x:c r="U69" s="85" t="n">
        <x:v>4.35</x:v>
      </x:c>
      <x:c r="V69" s="85" t="n">
        <x:v>5.4</x:v>
      </x:c>
      <x:c r="W69" s="73" t="str">
        <x:v>INT-002</x:v>
      </x:c>
      <x:c r="X69" s="73" t="str">
        <x:v>Matriz de mapeo</x:v>
      </x:c>
      <x:c r="Y69" s="73" t="str">
        <x:v>Especificación de campos de origen y destino, equivalencias, formatos y reglas de conversión.</x:v>
      </x:c>
      <x:c r="Z69" s="73" t="str">
        <x:v>La implementación de estas reglas se contabiliza en INT-010.</x:v>
      </x:c>
      <x:c r="AA69" s="73" t="str">
        <x:v>Preliminar</x:v>
      </x:c>
      <x:c r="AB69" s="78" t="str">
        <x:v>Estimación técnica ISM · Validar</x:v>
      </x:c>
    </x:row>
    <x:row r="70">
      <x:c r="A70" s="77" t="str">
        <x:v>Desarrollo e Implementación</x:v>
      </x:c>
      <x:c r="B70" s="73" t="str">
        <x:v>INT-01</x:v>
      </x:c>
      <x:c r="C70" s="73" t="str">
        <x:v>Integración y automatización de procesos</x:v>
      </x:c>
      <x:c r="D70" s="73" t="str">
        <x:v>02 · Optimización digital</x:v>
      </x:c>
      <x:c r="E70" s="73" t="str">
        <x:v>Diseño</x:v>
      </x:c>
      <x:c r="F70" s="73" t="str">
        <x:v>INT-004</x:v>
      </x:c>
      <x:c r="G70" s="73" t="str">
        <x:v>Diseño de manejo de errores y reintentos</x:v>
      </x:c>
      <x:c r="H70" s="73" t="str">
        <x:v>Integración</x:v>
      </x:c>
      <x:c r="I70" s="85" t="n">
        <x:v>1</x:v>
      </x:c>
      <x:c r="J70" s="85" t="str">
        <x:v>Sí</x:v>
      </x:c>
      <x:c r="K70" s="85" t="str">
        <x:v>Sí</x:v>
      </x:c>
      <x:c r="L70" s="85" t="n">
        <x:v>2</x:v>
      </x:c>
      <x:c r="M70" s="85" t="str">
        <x:v>Parcial</x:v>
      </x:c>
      <x:c r="N70" s="85" t="n">
        <x:v>0.85</x:v>
      </x:c>
      <x:c r="O70" s="85" t="n">
        <x:v>1.7</x:v>
      </x:c>
      <x:c r="P70" s="85" t="str">
        <x:v>Alta</x:v>
      </x:c>
      <x:c r="Q70" s="85" t="n">
        <x:v>1</x:v>
      </x:c>
      <x:c r="R70" s="85" t="n">
        <x:v>1.45</x:v>
      </x:c>
      <x:c r="S70" s="85" t="n">
        <x:v>1.8</x:v>
      </x:c>
      <x:c r="T70" s="85" t="n">
        <x:v>1.7</x:v>
      </x:c>
      <x:c r="U70" s="85" t="n">
        <x:v>2.465</x:v>
      </x:c>
      <x:c r="V70" s="85" t="n">
        <x:v>3.06</x:v>
      </x:c>
      <x:c r="W70" s="73" t="str">
        <x:v>INT-002</x:v>
      </x:c>
      <x:c r="X70" s="73" t="str">
        <x:v>Diseño de resiliencia</x:v>
      </x:c>
      <x:c r="Y70" s="73" t="str">
        <x:v>Errores, reintentos, alertas y trazabilidad</x:v>
      </x:c>
      <x:c r="Z70" s="73"/>
      <x:c r="AA70" s="73" t="str">
        <x:v>Preliminar</x:v>
      </x:c>
      <x:c r="AB70" s="78" t="str">
        <x:v>Estimación técnica ISM · Validar</x:v>
      </x:c>
    </x:row>
    <x:row r="71">
      <x:c r="A71" s="77" t="str">
        <x:v>Desarrollo e Implementación</x:v>
      </x:c>
      <x:c r="B71" s="73" t="str">
        <x:v>INT-01</x:v>
      </x:c>
      <x:c r="C71" s="73" t="str">
        <x:v>Integración y automatización de procesos</x:v>
      </x:c>
      <x:c r="D71" s="73" t="str">
        <x:v>02 · Optimización digital</x:v>
      </x:c>
      <x:c r="E71" s="73" t="str">
        <x:v>Desarrollo</x:v>
      </x:c>
      <x:c r="F71" s="73" t="str">
        <x:v>INT-005</x:v>
      </x:c>
      <x:c r="G71" s="73" t="str">
        <x:v>Configuración de credenciales y secretos</x:v>
      </x:c>
      <x:c r="H71" s="73" t="str">
        <x:v>Entorno</x:v>
      </x:c>
      <x:c r="I71" s="85" t="n">
        <x:v>1</x:v>
      </x:c>
      <x:c r="J71" s="85" t="str">
        <x:v>Sí</x:v>
      </x:c>
      <x:c r="K71" s="85" t="str">
        <x:v>Sí</x:v>
      </x:c>
      <x:c r="L71" s="85" t="n">
        <x:v>1.5</x:v>
      </x:c>
      <x:c r="M71" s="85" t="str">
        <x:v>Parcial</x:v>
      </x:c>
      <x:c r="N71" s="85" t="n">
        <x:v>0.8</x:v>
      </x:c>
      <x:c r="O71" s="85" t="n">
        <x:v>1.2000000000000002</x:v>
      </x:c>
      <x:c r="P71" s="85" t="str">
        <x:v>Media</x:v>
      </x:c>
      <x:c r="Q71" s="85" t="n">
        <x:v>1</x:v>
      </x:c>
      <x:c r="R71" s="85" t="n">
        <x:v>1.3</x:v>
      </x:c>
      <x:c r="S71" s="85" t="n">
        <x:v>1.55</x:v>
      </x:c>
      <x:c r="T71" s="85" t="n">
        <x:v>1.2000000000000002</x:v>
      </x:c>
      <x:c r="U71" s="85" t="n">
        <x:v>1.5600000000000003</x:v>
      </x:c>
      <x:c r="V71" s="85" t="n">
        <x:v>1.8600000000000003</x:v>
      </x:c>
      <x:c r="W71" s="73" t="str">
        <x:v>INT-002</x:v>
      </x:c>
      <x:c r="X71" s="73" t="str">
        <x:v>Secretos configurados</x:v>
      </x:c>
      <x:c r="Y71" s="73" t="str">
        <x:v>Gestión segura de credenciales</x:v>
      </x:c>
      <x:c r="Z71" s="73"/>
      <x:c r="AA71" s="73" t="str">
        <x:v>Preliminar</x:v>
      </x:c>
      <x:c r="AB71" s="78" t="str">
        <x:v>Estimación técnica ISM · Validar</x:v>
      </x:c>
    </x:row>
    <x:row r="72">
      <x:c r="A72" s="77" t="str">
        <x:v>Desarrollo e Implementación</x:v>
      </x:c>
      <x:c r="B72" s="73" t="str">
        <x:v>INT-01</x:v>
      </x:c>
      <x:c r="C72" s="73" t="str">
        <x:v>Integración y automatización de procesos</x:v>
      </x:c>
      <x:c r="D72" s="73" t="str">
        <x:v>02 · Optimización digital</x:v>
      </x:c>
      <x:c r="E72" s="73" t="str">
        <x:v>Desarrollo</x:v>
      </x:c>
      <x:c r="F72" s="73" t="str">
        <x:v>INT-006</x:v>
      </x:c>
      <x:c r="G72" s="73" t="str">
        <x:v>Desarrollo de conector API estándar</x:v>
      </x:c>
      <x:c r="H72" s="73" t="str">
        <x:v>Integración</x:v>
      </x:c>
      <x:c r="I72" s="85" t="n">
        <x:v>1</x:v>
      </x:c>
      <x:c r="J72" s="85" t="str">
        <x:v>Sí</x:v>
      </x:c>
      <x:c r="K72" s="85" t="str">
        <x:v>No</x:v>
      </x:c>
      <x:c r="L72" s="85" t="n">
        <x:v>5</x:v>
      </x:c>
      <x:c r="M72" s="85" t="str">
        <x:v>Parcial</x:v>
      </x:c>
      <x:c r="N72" s="85" t="n">
        <x:v>0.85</x:v>
      </x:c>
      <x:c r="O72" s="85" t="n">
        <x:v>4.25</x:v>
      </x:c>
      <x:c r="P72" s="85" t="str">
        <x:v>Alta</x:v>
      </x:c>
      <x:c r="Q72" s="85" t="n">
        <x:v>1</x:v>
      </x:c>
      <x:c r="R72" s="85" t="n">
        <x:v>1.45</x:v>
      </x:c>
      <x:c r="S72" s="85" t="n">
        <x:v>1.8</x:v>
      </x:c>
      <x:c r="T72" s="85" t="n">
        <x:v>4.25</x:v>
      </x:c>
      <x:c r="U72" s="85" t="n">
        <x:v>6.1625</x:v>
      </x:c>
      <x:c r="V72" s="85" t="n">
        <x:v>7.65</x:v>
      </x:c>
      <x:c r="W72" s="73" t="str">
        <x:v>INT-003</x:v>
      </x:c>
      <x:c r="X72" s="73" t="str">
        <x:v>Conector funcional</x:v>
      </x:c>
      <x:c r="Y72" s="73" t="str">
        <x:v>Autenticación, consultas, envío y manejo de respuesta</x:v>
      </x:c>
      <x:c r="Z72" s="73"/>
      <x:c r="AA72" s="73" t="str">
        <x:v>Preliminar</x:v>
      </x:c>
      <x:c r="AB72" s="78" t="str">
        <x:v>Estimación técnica ISM · Validar</x:v>
      </x:c>
    </x:row>
    <x:row r="73">
      <x:c r="A73" s="77" t="str">
        <x:v>Desarrollo e Implementación</x:v>
      </x:c>
      <x:c r="B73" s="73" t="str">
        <x:v>INT-01</x:v>
      </x:c>
      <x:c r="C73" s="73" t="str">
        <x:v>Integración y automatización de procesos</x:v>
      </x:c>
      <x:c r="D73" s="73" t="str">
        <x:v>02 · Optimización digital</x:v>
      </x:c>
      <x:c r="E73" s="73" t="str">
        <x:v>Desarrollo</x:v>
      </x:c>
      <x:c r="F73" s="73" t="str">
        <x:v>INT-007</x:v>
      </x:c>
      <x:c r="G73" s="73" t="str">
        <x:v>Importación o exportación por archivo</x:v>
      </x:c>
      <x:c r="H73" s="73" t="str">
        <x:v>Formato</x:v>
      </x:c>
      <x:c r="I73" s="85" t="n">
        <x:v>0</x:v>
      </x:c>
      <x:c r="J73" s="85" t="str">
        <x:v>No</x:v>
      </x:c>
      <x:c r="K73" s="85" t="str">
        <x:v>No</x:v>
      </x:c>
      <x:c r="L73" s="85" t="n">
        <x:v>4</x:v>
      </x:c>
      <x:c r="M73" s="85" t="str">
        <x:v>Parcial</x:v>
      </x:c>
      <x:c r="N73" s="85" t="n">
        <x:v>0.8</x:v>
      </x:c>
      <x:c r="O73" s="85" t="n">
        <x:v>3.2</x:v>
      </x:c>
      <x:c r="P73" s="85" t="str">
        <x:v>Alta</x:v>
      </x:c>
      <x:c r="Q73" s="85" t="n">
        <x:v>1</x:v>
      </x:c>
      <x:c r="R73" s="85" t="n">
        <x:v>1.45</x:v>
      </x:c>
      <x:c r="S73" s="85" t="n">
        <x:v>1.8</x:v>
      </x:c>
      <x:c r="T73" s="85" t="n">
        <x:v>0</x:v>
      </x:c>
      <x:c r="U73" s="85" t="n">
        <x:v>0</x:v>
      </x:c>
      <x:c r="V73" s="85" t="n">
        <x:v>0</x:v>
      </x:c>
      <x:c r="W73" s="73" t="str">
        <x:v>INT-003</x:v>
      </x:c>
      <x:c r="X73" s="73" t="str">
        <x:v>Proceso de archivo</x:v>
      </x:c>
      <x:c r="Y73" s="73" t="str">
        <x:v>CSV, XLSX o JSON con validación</x:v>
      </x:c>
      <x:c r="Z73" s="73"/>
      <x:c r="AA73" s="73" t="str">
        <x:v>Preliminar</x:v>
      </x:c>
      <x:c r="AB73" s="78" t="str">
        <x:v>Estimación técnica ISM · Validar</x:v>
      </x:c>
    </x:row>
    <x:row r="74">
      <x:c r="A74" s="77" t="str">
        <x:v>Desarrollo e Implementación</x:v>
      </x:c>
      <x:c r="B74" s="73" t="str">
        <x:v>INT-01</x:v>
      </x:c>
      <x:c r="C74" s="73" t="str">
        <x:v>Integración y automatización de procesos</x:v>
      </x:c>
      <x:c r="D74" s="73" t="str">
        <x:v>02 · Optimización digital</x:v>
      </x:c>
      <x:c r="E74" s="73" t="str">
        <x:v>Desarrollo</x:v>
      </x:c>
      <x:c r="F74" s="73" t="str">
        <x:v>INT-008</x:v>
      </x:c>
      <x:c r="G74" s="73" t="str">
        <x:v>Implementación de webhook</x:v>
      </x:c>
      <x:c r="H74" s="73" t="str">
        <x:v>Evento</x:v>
      </x:c>
      <x:c r="I74" s="85" t="n">
        <x:v>0</x:v>
      </x:c>
      <x:c r="J74" s="85" t="str">
        <x:v>No</x:v>
      </x:c>
      <x:c r="K74" s="85" t="str">
        <x:v>No</x:v>
      </x:c>
      <x:c r="L74" s="85" t="n">
        <x:v>3.5</x:v>
      </x:c>
      <x:c r="M74" s="85" t="str">
        <x:v>Parcial</x:v>
      </x:c>
      <x:c r="N74" s="85" t="n">
        <x:v>0.85</x:v>
      </x:c>
      <x:c r="O74" s="85" t="n">
        <x:v>2.975</x:v>
      </x:c>
      <x:c r="P74" s="85" t="str">
        <x:v>Alta</x:v>
      </x:c>
      <x:c r="Q74" s="85" t="n">
        <x:v>1</x:v>
      </x:c>
      <x:c r="R74" s="85" t="n">
        <x:v>1.45</x:v>
      </x:c>
      <x:c r="S74" s="85" t="n">
        <x:v>1.8</x:v>
      </x:c>
      <x:c r="T74" s="85" t="n">
        <x:v>0</x:v>
      </x:c>
      <x:c r="U74" s="85" t="n">
        <x:v>0</x:v>
      </x:c>
      <x:c r="V74" s="85" t="n">
        <x:v>0</x:v>
      </x:c>
      <x:c r="W74" s="73" t="str">
        <x:v>INT-004</x:v>
      </x:c>
      <x:c r="X74" s="73" t="str">
        <x:v>Webhook operativo</x:v>
      </x:c>
      <x:c r="Y74" s="73" t="str">
        <x:v>Recepción, validación, idempotencia y respuesta</x:v>
      </x:c>
      <x:c r="Z74" s="73"/>
      <x:c r="AA74" s="73" t="str">
        <x:v>Preliminar</x:v>
      </x:c>
      <x:c r="AB74" s="78" t="str">
        <x:v>Estimación técnica ISM · Validar</x:v>
      </x:c>
    </x:row>
    <x:row r="75">
      <x:c r="A75" s="77" t="str">
        <x:v>Desarrollo e Implementación</x:v>
      </x:c>
      <x:c r="B75" s="73" t="str">
        <x:v>INT-01</x:v>
      </x:c>
      <x:c r="C75" s="73" t="str">
        <x:v>Integración y automatización de procesos</x:v>
      </x:c>
      <x:c r="D75" s="73" t="str">
        <x:v>02 · Optimización digital</x:v>
      </x:c>
      <x:c r="E75" s="73" t="str">
        <x:v>Automatización</x:v>
      </x:c>
      <x:c r="F75" s="73" t="str">
        <x:v>INT-009</x:v>
      </x:c>
      <x:c r="G75" s="73" t="str">
        <x:v>Automatización programada</x:v>
      </x:c>
      <x:c r="H75" s="73" t="str">
        <x:v>Job</x:v>
      </x:c>
      <x:c r="I75" s="85" t="n">
        <x:v>1</x:v>
      </x:c>
      <x:c r="J75" s="85" t="str">
        <x:v>Sí</x:v>
      </x:c>
      <x:c r="K75" s="85" t="str">
        <x:v>No</x:v>
      </x:c>
      <x:c r="L75" s="85" t="n">
        <x:v>3</x:v>
      </x:c>
      <x:c r="M75" s="85" t="str">
        <x:v>Parcial</x:v>
      </x:c>
      <x:c r="N75" s="85" t="n">
        <x:v>0.8</x:v>
      </x:c>
      <x:c r="O75" s="85" t="n">
        <x:v>2.4000000000000004</x:v>
      </x:c>
      <x:c r="P75" s="85" t="str">
        <x:v>Media</x:v>
      </x:c>
      <x:c r="Q75" s="85" t="n">
        <x:v>1</x:v>
      </x:c>
      <x:c r="R75" s="85" t="n">
        <x:v>1.3</x:v>
      </x:c>
      <x:c r="S75" s="85" t="n">
        <x:v>1.55</x:v>
      </x:c>
      <x:c r="T75" s="85" t="n">
        <x:v>2.4000000000000004</x:v>
      </x:c>
      <x:c r="U75" s="85" t="n">
        <x:v>3.1200000000000006</x:v>
      </x:c>
      <x:c r="V75" s="85" t="n">
        <x:v>3.7200000000000006</x:v>
      </x:c>
      <x:c r="W75" s="73" t="str">
        <x:v>INT-004</x:v>
      </x:c>
      <x:c r="X75" s="73" t="str">
        <x:v>Job programado</x:v>
      </x:c>
      <x:c r="Y75" s="73" t="str">
        <x:v>Frecuencia, ejecución y registro</x:v>
      </x:c>
      <x:c r="Z75" s="73"/>
      <x:c r="AA75" s="73" t="str">
        <x:v>Preliminar</x:v>
      </x:c>
      <x:c r="AB75" s="78" t="str">
        <x:v>Estimación técnica ISM · Validar</x:v>
      </x:c>
    </x:row>
    <x:row r="76">
      <x:c r="A76" s="77" t="str">
        <x:v>Desarrollo e Implementación</x:v>
      </x:c>
      <x:c r="B76" s="73" t="str">
        <x:v>INT-01</x:v>
      </x:c>
      <x:c r="C76" s="73" t="str">
        <x:v>Integración y automatización de procesos</x:v>
      </x:c>
      <x:c r="D76" s="73" t="str">
        <x:v>02 · Optimización digital</x:v>
      </x:c>
      <x:c r="E76" s="73" t="str">
        <x:v>Automatización</x:v>
      </x:c>
      <x:c r="F76" s="73" t="str">
        <x:v>INT-010</x:v>
      </x:c>
      <x:c r="G76" s="73" t="str">
        <x:v>Implementación de reglas de negocio y transformaciones</x:v>
      </x:c>
      <x:c r="H76" s="73" t="str">
        <x:v>Regla</x:v>
      </x:c>
      <x:c r="I76" s="85" t="n">
        <x:v>3</x:v>
      </x:c>
      <x:c r="J76" s="85" t="str">
        <x:v>Sí</x:v>
      </x:c>
      <x:c r="K76" s="85" t="str">
        <x:v>No</x:v>
      </x:c>
      <x:c r="L76" s="85" t="n">
        <x:v>1.5</x:v>
      </x:c>
      <x:c r="M76" s="85" t="str">
        <x:v>Parcial</x:v>
      </x:c>
      <x:c r="N76" s="85" t="n">
        <x:v>0.85</x:v>
      </x:c>
      <x:c r="O76" s="85" t="n">
        <x:v>1.275</x:v>
      </x:c>
      <x:c r="P76" s="85" t="str">
        <x:v>Alta</x:v>
      </x:c>
      <x:c r="Q76" s="85" t="n">
        <x:v>1</x:v>
      </x:c>
      <x:c r="R76" s="85" t="n">
        <x:v>1.45</x:v>
      </x:c>
      <x:c r="S76" s="85" t="n">
        <x:v>1.8</x:v>
      </x:c>
      <x:c r="T76" s="85" t="n">
        <x:v>3.8249999999999997</x:v>
      </x:c>
      <x:c r="U76" s="85" t="n">
        <x:v>5.54625</x:v>
      </x:c>
      <x:c r="V76" s="85" t="n">
        <x:v>6.885</x:v>
      </x:c>
      <x:c r="W76" s="73" t="str">
        <x:v>INT-003</x:v>
      </x:c>
      <x:c r="X76" s="73" t="str">
        <x:v>Reglas implementadas</x:v>
      </x:c>
      <x:c r="Y76" s="73" t="str">
        <x:v>Construcción y validación de transformaciones, condiciones y reglas definidas en el mapeo.</x:v>
      </x:c>
      <x:c r="Z76" s="73" t="str">
        <x:v>No vuelve a incluir el diseño documental de INT-003.</x:v>
      </x:c>
      <x:c r="AA76" s="73" t="str">
        <x:v>Preliminar</x:v>
      </x:c>
      <x:c r="AB76" s="78" t="str">
        <x:v>Estimación técnica ISM · Validar</x:v>
      </x:c>
    </x:row>
    <x:row r="77">
      <x:c r="A77" s="77" t="str">
        <x:v>Desarrollo e Implementación</x:v>
      </x:c>
      <x:c r="B77" s="73" t="str">
        <x:v>INT-01</x:v>
      </x:c>
      <x:c r="C77" s="73" t="str">
        <x:v>Integración y automatización de procesos</x:v>
      </x:c>
      <x:c r="D77" s="73" t="str">
        <x:v>02 · Optimización digital</x:v>
      </x:c>
      <x:c r="E77" s="73" t="str">
        <x:v>Observabilidad</x:v>
      </x:c>
      <x:c r="F77" s="73" t="str">
        <x:v>INT-011</x:v>
      </x:c>
      <x:c r="G77" s="73" t="str">
        <x:v>Registro de ejecuciones y errores</x:v>
      </x:c>
      <x:c r="H77" s="73" t="str">
        <x:v>Integración</x:v>
      </x:c>
      <x:c r="I77" s="85" t="n">
        <x:v>1</x:v>
      </x:c>
      <x:c r="J77" s="85" t="str">
        <x:v>Sí</x:v>
      </x:c>
      <x:c r="K77" s="85" t="str">
        <x:v>Sí</x:v>
      </x:c>
      <x:c r="L77" s="85" t="n">
        <x:v>2</x:v>
      </x:c>
      <x:c r="M77" s="85" t="str">
        <x:v>Alta</x:v>
      </x:c>
      <x:c r="N77" s="85" t="n">
        <x:v>0.65</x:v>
      </x:c>
      <x:c r="O77" s="85" t="n">
        <x:v>1.3</x:v>
      </x:c>
      <x:c r="P77" s="85" t="str">
        <x:v>Media</x:v>
      </x:c>
      <x:c r="Q77" s="85" t="n">
        <x:v>1</x:v>
      </x:c>
      <x:c r="R77" s="85" t="n">
        <x:v>1.3</x:v>
      </x:c>
      <x:c r="S77" s="85" t="n">
        <x:v>1.55</x:v>
      </x:c>
      <x:c r="T77" s="85" t="n">
        <x:v>1.3</x:v>
      </x:c>
      <x:c r="U77" s="85" t="n">
        <x:v>1.6900000000000002</x:v>
      </x:c>
      <x:c r="V77" s="85" t="n">
        <x:v>2.015</x:v>
      </x:c>
      <x:c r="W77" s="73" t="str">
        <x:v>INT-004</x:v>
      </x:c>
      <x:c r="X77" s="73" t="str">
        <x:v>Bitácora técnica</x:v>
      </x:c>
      <x:c r="Y77" s="73" t="str">
        <x:v>Estado, fecha, resultado y detalle</x:v>
      </x:c>
      <x:c r="Z77" s="73"/>
      <x:c r="AA77" s="73" t="str">
        <x:v>Preliminar</x:v>
      </x:c>
      <x:c r="AB77" s="78" t="str">
        <x:v>Estimación técnica ISM · Validar</x:v>
      </x:c>
    </x:row>
    <x:row r="78">
      <x:c r="A78" s="77" t="str">
        <x:v>Desarrollo e Implementación</x:v>
      </x:c>
      <x:c r="B78" s="73" t="str">
        <x:v>INT-01</x:v>
      </x:c>
      <x:c r="C78" s="73" t="str">
        <x:v>Integración y automatización de procesos</x:v>
      </x:c>
      <x:c r="D78" s="73" t="str">
        <x:v>02 · Optimización digital</x:v>
      </x:c>
      <x:c r="E78" s="73" t="str">
        <x:v>Observabilidad</x:v>
      </x:c>
      <x:c r="F78" s="73" t="str">
        <x:v>INT-012</x:v>
      </x:c>
      <x:c r="G78" s="73" t="str">
        <x:v>Alertas de fallo de integración</x:v>
      </x:c>
      <x:c r="H78" s="73" t="str">
        <x:v>Canal</x:v>
      </x:c>
      <x:c r="I78" s="85" t="n">
        <x:v>1</x:v>
      </x:c>
      <x:c r="J78" s="85" t="str">
        <x:v>No</x:v>
      </x:c>
      <x:c r="K78" s="85" t="str">
        <x:v>No</x:v>
      </x:c>
      <x:c r="L78" s="85" t="n">
        <x:v>1.5</x:v>
      </x:c>
      <x:c r="M78" s="85" t="str">
        <x:v>Parcial</x:v>
      </x:c>
      <x:c r="N78" s="85" t="n">
        <x:v>0.8</x:v>
      </x:c>
      <x:c r="O78" s="85" t="n">
        <x:v>1.2000000000000002</x:v>
      </x:c>
      <x:c r="P78" s="85" t="str">
        <x:v>Media</x:v>
      </x:c>
      <x:c r="Q78" s="85" t="n">
        <x:v>1</x:v>
      </x:c>
      <x:c r="R78" s="85" t="n">
        <x:v>1.3</x:v>
      </x:c>
      <x:c r="S78" s="85" t="n">
        <x:v>1.55</x:v>
      </x:c>
      <x:c r="T78" s="85" t="n">
        <x:v>0</x:v>
      </x:c>
      <x:c r="U78" s="85" t="n">
        <x:v>0</x:v>
      </x:c>
      <x:c r="V78" s="85" t="n">
        <x:v>0</x:v>
      </x:c>
      <x:c r="W78" s="73" t="str">
        <x:v>INT-011</x:v>
      </x:c>
      <x:c r="X78" s="73" t="str">
        <x:v>Alerta configurada</x:v>
      </x:c>
      <x:c r="Y78" s="73" t="str">
        <x:v>Notificación por canal acordado</x:v>
      </x:c>
      <x:c r="Z78" s="73"/>
      <x:c r="AA78" s="73" t="str">
        <x:v>Preliminar</x:v>
      </x:c>
      <x:c r="AB78" s="78" t="str">
        <x:v>Estimación técnica ISM · Validar</x:v>
      </x:c>
    </x:row>
    <x:row r="79">
      <x:c r="A79" s="77" t="str">
        <x:v>Desarrollo e Implementación</x:v>
      </x:c>
      <x:c r="B79" s="73" t="str">
        <x:v>INT-01</x:v>
      </x:c>
      <x:c r="C79" s="73" t="str">
        <x:v>Integración y automatización de procesos</x:v>
      </x:c>
      <x:c r="D79" s="73" t="str">
        <x:v>02 · Optimización digital</x:v>
      </x:c>
      <x:c r="E79" s="73" t="str">
        <x:v>Calidad</x:v>
      </x:c>
      <x:c r="F79" s="73" t="str">
        <x:v>INT-013</x:v>
      </x:c>
      <x:c r="G79" s="73" t="str">
        <x:v>Pruebas con datos de ejemplo</x:v>
      </x:c>
      <x:c r="H79" s="73" t="str">
        <x:v>Caso</x:v>
      </x:c>
      <x:c r="I79" s="85" t="n">
        <x:v>4</x:v>
      </x:c>
      <x:c r="J79" s="85" t="str">
        <x:v>Sí</x:v>
      </x:c>
      <x:c r="K79" s="85" t="str">
        <x:v>Sí</x:v>
      </x:c>
      <x:c r="L79" s="85" t="n">
        <x:v>1</x:v>
      </x:c>
      <x:c r="M79" s="85" t="str">
        <x:v>No</x:v>
      </x:c>
      <x:c r="N79" s="85" t="n">
        <x:v>1</x:v>
      </x:c>
      <x:c r="O79" s="85" t="n">
        <x:v>1</x:v>
      </x:c>
      <x:c r="P79" s="85" t="str">
        <x:v>Alta</x:v>
      </x:c>
      <x:c r="Q79" s="85" t="n">
        <x:v>1</x:v>
      </x:c>
      <x:c r="R79" s="85" t="n">
        <x:v>1.45</x:v>
      </x:c>
      <x:c r="S79" s="85" t="n">
        <x:v>1.8</x:v>
      </x:c>
      <x:c r="T79" s="85" t="n">
        <x:v>4</x:v>
      </x:c>
      <x:c r="U79" s="85" t="n">
        <x:v>5.8</x:v>
      </x:c>
      <x:c r="V79" s="85" t="n">
        <x:v>7.2</x:v>
      </x:c>
      <x:c r="W79" s="73"/>
      <x:c r="X79" s="73" t="str">
        <x:v>Casos ejecutados</x:v>
      </x:c>
      <x:c r="Y79" s="73" t="str">
        <x:v>Éxito, error, duplicado y datos incompletos</x:v>
      </x:c>
      <x:c r="Z79" s="73"/>
      <x:c r="AA79" s="73" t="str">
        <x:v>Preliminar</x:v>
      </x:c>
      <x:c r="AB79" s="78" t="str">
        <x:v>Estimación técnica ISM · Validar</x:v>
      </x:c>
    </x:row>
    <x:row r="80">
      <x:c r="A80" s="77" t="str">
        <x:v>Desarrollo e Implementación</x:v>
      </x:c>
      <x:c r="B80" s="73" t="str">
        <x:v>INT-01</x:v>
      </x:c>
      <x:c r="C80" s="73" t="str">
        <x:v>Integración y automatización de procesos</x:v>
      </x:c>
      <x:c r="D80" s="73" t="str">
        <x:v>02 · Optimización digital</x:v>
      </x:c>
      <x:c r="E80" s="73" t="str">
        <x:v>Calidad</x:v>
      </x:c>
      <x:c r="F80" s="73" t="str">
        <x:v>INT-014</x:v>
      </x:c>
      <x:c r="G80" s="73" t="str">
        <x:v>Prueba de volumen y límites</x:v>
      </x:c>
      <x:c r="H80" s="73" t="str">
        <x:v>Prueba</x:v>
      </x:c>
      <x:c r="I80" s="85" t="n">
        <x:v>1</x:v>
      </x:c>
      <x:c r="J80" s="85" t="str">
        <x:v>No</x:v>
      </x:c>
      <x:c r="K80" s="85" t="str">
        <x:v>No</x:v>
      </x:c>
      <x:c r="L80" s="85" t="n">
        <x:v>2.5</x:v>
      </x:c>
      <x:c r="M80" s="85" t="str">
        <x:v>No</x:v>
      </x:c>
      <x:c r="N80" s="85" t="n">
        <x:v>1</x:v>
      </x:c>
      <x:c r="O80" s="85" t="n">
        <x:v>2.5</x:v>
      </x:c>
      <x:c r="P80" s="85" t="str">
        <x:v>Alta</x:v>
      </x:c>
      <x:c r="Q80" s="85" t="n">
        <x:v>1</x:v>
      </x:c>
      <x:c r="R80" s="85" t="n">
        <x:v>1.45</x:v>
      </x:c>
      <x:c r="S80" s="85" t="n">
        <x:v>1.8</x:v>
      </x:c>
      <x:c r="T80" s="85" t="n">
        <x:v>0</x:v>
      </x:c>
      <x:c r="U80" s="85" t="n">
        <x:v>0</x:v>
      </x:c>
      <x:c r="V80" s="85" t="n">
        <x:v>0</x:v>
      </x:c>
      <x:c r="W80" s="73" t="str">
        <x:v>INT-006</x:v>
      </x:c>
      <x:c r="X80" s="73" t="str">
        <x:v>Resultado de carga</x:v>
      </x:c>
      <x:c r="Y80" s="73" t="str">
        <x:v>Volumen, tiempos y límites conocidos</x:v>
      </x:c>
      <x:c r="Z80" s="73"/>
      <x:c r="AA80" s="73" t="str">
        <x:v>Preliminar</x:v>
      </x:c>
      <x:c r="AB80" s="78" t="str">
        <x:v>Estimación técnica ISM · Validar</x:v>
      </x:c>
    </x:row>
    <x:row r="81">
      <x:c r="A81" s="77" t="str">
        <x:v>Desarrollo e Implementación</x:v>
      </x:c>
      <x:c r="B81" s="73" t="str">
        <x:v>INT-01</x:v>
      </x:c>
      <x:c r="C81" s="73" t="str">
        <x:v>Integración y automatización de procesos</x:v>
      </x:c>
      <x:c r="D81" s="73" t="str">
        <x:v>02 · Optimización digital</x:v>
      </x:c>
      <x:c r="E81" s="73" t="str">
        <x:v>Seguridad</x:v>
      </x:c>
      <x:c r="F81" s="73" t="str">
        <x:v>INT-015</x:v>
      </x:c>
      <x:c r="G81" s="73" t="str">
        <x:v>Revisión de permisos y exposición de datos</x:v>
      </x:c>
      <x:c r="H81" s="73" t="str">
        <x:v>Integración</x:v>
      </x:c>
      <x:c r="I81" s="85" t="n">
        <x:v>1</x:v>
      </x:c>
      <x:c r="J81" s="85" t="str">
        <x:v>Sí</x:v>
      </x:c>
      <x:c r="K81" s="85" t="str">
        <x:v>Sí</x:v>
      </x:c>
      <x:c r="L81" s="85" t="n">
        <x:v>1.5</x:v>
      </x:c>
      <x:c r="M81" s="85" t="str">
        <x:v>No</x:v>
      </x:c>
      <x:c r="N81" s="85" t="n">
        <x:v>1</x:v>
      </x:c>
      <x:c r="O81" s="85" t="n">
        <x:v>1.5</x:v>
      </x:c>
      <x:c r="P81" s="85" t="str">
        <x:v>Alta</x:v>
      </x:c>
      <x:c r="Q81" s="85" t="n">
        <x:v>1</x:v>
      </x:c>
      <x:c r="R81" s="85" t="n">
        <x:v>1.45</x:v>
      </x:c>
      <x:c r="S81" s="85" t="n">
        <x:v>1.8</x:v>
      </x:c>
      <x:c r="T81" s="85" t="n">
        <x:v>1.5</x:v>
      </x:c>
      <x:c r="U81" s="85" t="n">
        <x:v>2.175</x:v>
      </x:c>
      <x:c r="V81" s="85" t="n">
        <x:v>2.7</x:v>
      </x:c>
      <x:c r="W81" s="73"/>
      <x:c r="X81" s="73" t="str">
        <x:v>Checklist de seguridad</x:v>
      </x:c>
      <x:c r="Y81" s="73" t="str">
        <x:v>Mínimo privilegio y datos sensibles</x:v>
      </x:c>
      <x:c r="Z81" s="73"/>
      <x:c r="AA81" s="73" t="str">
        <x:v>Preliminar</x:v>
      </x:c>
      <x:c r="AB81" s="78" t="str">
        <x:v>Estimación técnica ISM · Validar</x:v>
      </x:c>
    </x:row>
    <x:row r="82">
      <x:c r="A82" s="77" t="str">
        <x:v>Desarrollo e Implementación</x:v>
      </x:c>
      <x:c r="B82" s="73" t="str">
        <x:v>INT-01</x:v>
      </x:c>
      <x:c r="C82" s="73" t="str">
        <x:v>Integración y automatización de procesos</x:v>
      </x:c>
      <x:c r="D82" s="73" t="str">
        <x:v>02 · Optimización digital</x:v>
      </x:c>
      <x:c r="E82" s="73" t="str">
        <x:v>Despliegue</x:v>
      </x:c>
      <x:c r="F82" s="73" t="str">
        <x:v>INT-016</x:v>
      </x:c>
      <x:c r="G82" s="73" t="str">
        <x:v>Configuración en producción</x:v>
      </x:c>
      <x:c r="H82" s="73" t="str">
        <x:v>Entorno</x:v>
      </x:c>
      <x:c r="I82" s="85" t="n">
        <x:v>1</x:v>
      </x:c>
      <x:c r="J82" s="85" t="str">
        <x:v>Sí</x:v>
      </x:c>
      <x:c r="K82" s="85" t="str">
        <x:v>Sí</x:v>
      </x:c>
      <x:c r="L82" s="85" t="n">
        <x:v>2</x:v>
      </x:c>
      <x:c r="M82" s="85" t="str">
        <x:v>Parcial</x:v>
      </x:c>
      <x:c r="N82" s="85" t="n">
        <x:v>0.8</x:v>
      </x:c>
      <x:c r="O82" s="85" t="n">
        <x:v>1.6</x:v>
      </x:c>
      <x:c r="P82" s="85" t="str">
        <x:v>Alta</x:v>
      </x:c>
      <x:c r="Q82" s="85" t="n">
        <x:v>1</x:v>
      </x:c>
      <x:c r="R82" s="85" t="n">
        <x:v>1.45</x:v>
      </x:c>
      <x:c r="S82" s="85" t="n">
        <x:v>1.8</x:v>
      </x:c>
      <x:c r="T82" s="85" t="n">
        <x:v>1.6</x:v>
      </x:c>
      <x:c r="U82" s="85" t="n">
        <x:v>2.32</x:v>
      </x:c>
      <x:c r="V82" s="85" t="n">
        <x:v>2.8800000000000003</x:v>
      </x:c>
      <x:c r="W82" s="73" t="str">
        <x:v>INT-013</x:v>
      </x:c>
      <x:c r="X82" s="73" t="str">
        <x:v>Integración desplegada</x:v>
      </x:c>
      <x:c r="Y82" s="73" t="str">
        <x:v>Variables, secretos, job y validación</x:v>
      </x:c>
      <x:c r="Z82" s="73"/>
      <x:c r="AA82" s="73" t="str">
        <x:v>Preliminar</x:v>
      </x:c>
      <x:c r="AB82" s="78" t="str">
        <x:v>Estimación técnica ISM · Validar</x:v>
      </x:c>
    </x:row>
    <x:row r="83">
      <x:c r="A83" s="80" t="str">
        <x:v>Desarrollo e Implementación</x:v>
      </x:c>
      <x:c r="B83" s="81" t="str">
        <x:v>INT-01</x:v>
      </x:c>
      <x:c r="C83" s="81" t="str">
        <x:v>Integración y automatización de procesos</x:v>
      </x:c>
      <x:c r="D83" s="81" t="str">
        <x:v>02 · Optimización digital</x:v>
      </x:c>
      <x:c r="E83" s="81" t="str">
        <x:v>Cierre</x:v>
      </x:c>
      <x:c r="F83" s="81" t="str">
        <x:v>INT-017</x:v>
      </x:c>
      <x:c r="G83" s="81" t="str">
        <x:v>Documentación y procedimiento operativo</x:v>
      </x:c>
      <x:c r="H83" s="81" t="str">
        <x:v>Integración</x:v>
      </x:c>
      <x:c r="I83" s="101" t="n">
        <x:v>1</x:v>
      </x:c>
      <x:c r="J83" s="101" t="str">
        <x:v>Sí</x:v>
      </x:c>
      <x:c r="K83" s="101" t="str">
        <x:v>Sí</x:v>
      </x:c>
      <x:c r="L83" s="101" t="n">
        <x:v>2</x:v>
      </x:c>
      <x:c r="M83" s="101" t="str">
        <x:v>No</x:v>
      </x:c>
      <x:c r="N83" s="101" t="n">
        <x:v>1</x:v>
      </x:c>
      <x:c r="O83" s="101" t="n">
        <x:v>2</x:v>
      </x:c>
      <x:c r="P83" s="101" t="str">
        <x:v>Media</x:v>
      </x:c>
      <x:c r="Q83" s="101" t="n">
        <x:v>1</x:v>
      </x:c>
      <x:c r="R83" s="101" t="n">
        <x:v>1.3</x:v>
      </x:c>
      <x:c r="S83" s="101" t="n">
        <x:v>1.55</x:v>
      </x:c>
      <x:c r="T83" s="101" t="n">
        <x:v>2</x:v>
      </x:c>
      <x:c r="U83" s="101" t="n">
        <x:v>2.6</x:v>
      </x:c>
      <x:c r="V83" s="101" t="n">
        <x:v>3.1</x:v>
      </x:c>
      <x:c r="W83" s="81"/>
      <x:c r="X83" s="81" t="str">
        <x:v>Runbook de integración</x:v>
      </x:c>
      <x:c r="Y83" s="81" t="str">
        <x:v>Operación, errores, reintentos y contactos</x:v>
      </x:c>
      <x:c r="Z83" s="81"/>
      <x:c r="AA83" s="81" t="str">
        <x:v>Preliminar</x:v>
      </x:c>
      <x:c r="AB83" s="82" t="str">
        <x:v>Estimación técnica ISM · Validar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405eceb5f81b4b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5" hidden="0" customWidth="1"/>
    <x:col min="5" max="5" width="18" hidden="0" customWidth="1"/>
    <x:col min="6" max="6" width="14" hidden="0" customWidth="1"/>
    <x:col min="7" max="7" width="42" hidden="0" customWidth="1"/>
    <x:col min="8" max="8" width="16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4" hidden="0" customWidth="1"/>
    <x:col min="24" max="24" width="28" hidden="0" customWidth="1"/>
    <x:col min="25" max="25" width="38" hidden="0" customWidth="1"/>
    <x:col min="26" max="26" width="32" hidden="0" customWidth="1"/>
    <x:col min="27" max="27" width="18" hidden="0" customWidth="1"/>
    <x:col min="28" max="28" width="30" hidden="0" customWidth="1"/>
  </x:cols>
  <x:sheetData>
    <x:row r="1">
      <x:c r="A1" s="5" t="str">
        <x:v>CATÁLOGO TÉCNICO · MANTENIMIENTO Y EVOLUCIÓN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>
      <x:c r="A2" s="55" t="str">
        <x:v>Corrección, mejora, modernización y optimización de soluciones existentes.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</x:row>
    <x:row r="3">
      <x:c r="A3" s="103" t="str">
        <x:v>Servicios</x:v>
      </x:c>
      <x:c r="B3" s="104" t="n">
        <x:v>4</x:v>
      </x:c>
      <x:c r="C3" s="104" t="str">
        <x:v>Actividades</x:v>
      </x:c>
      <x:c r="D3" s="104" t="n">
        <x:v>55</x:v>
      </x:c>
      <x:c r="E3" s="104" t="str">
        <x:v>HH Inicial</x:v>
      </x:c>
      <x:c r="F3" s="109" t="n">
        <x:v>108.575</x:v>
      </x:c>
      <x:c r="G3" s="109" t="str">
        <x:v>HH Estándar</x:v>
      </x:c>
      <x:c r="H3" s="109" t="n">
        <x:v>153.80749999999998</x:v>
      </x:c>
      <x:c r="I3" s="109" t="str">
        <x:v>HH Avanzado</x:v>
      </x:c>
      <x:c r="J3" s="109" t="n">
        <x:v>189.39125000000004</x:v>
      </x:c>
      <x:c r="K3" s="104" t="str">
        <x:v>Estado</x:v>
      </x:c>
      <x:c r="L3" s="105" t="str">
        <x:v>Preliminar</x:v>
      </x:c>
    </x:row>
    <x:row r="5">
      <x:c r="A5" s="20" t="str">
        <x:v>Línea de servicio</x:v>
      </x:c>
      <x:c r="B5" s="21" t="str">
        <x:v>Código servicio</x:v>
      </x:c>
      <x:c r="C5" s="21" t="str">
        <x:v>Servicio / solución</x:v>
      </x:c>
      <x:c r="D5" s="21" t="str">
        <x:v>Madurez</x:v>
      </x:c>
      <x:c r="E5" s="21" t="str">
        <x:v>Fase</x:v>
      </x:c>
      <x:c r="F5" s="21" t="str">
        <x:v>Código actividad</x:v>
      </x:c>
      <x:c r="G5" s="21" t="str">
        <x:v>Actividad / entregable</x:v>
      </x:c>
      <x:c r="H5" s="21" t="str">
        <x:v>Unidad</x:v>
      </x:c>
      <x:c r="I5" s="21" t="str">
        <x:v>Cantidad base</x:v>
      </x:c>
      <x:c r="J5" s="21" t="str">
        <x:v>Incluida base</x:v>
      </x:c>
      <x:c r="K5" s="21" t="str">
        <x:v>Obligatoria</x:v>
      </x:c>
      <x:c r="L5" s="21" t="str">
        <x:v>HH unitarias desde cero</x:v>
      </x:c>
      <x:c r="M5" s="21" t="str">
        <x:v>Reutilización</x:v>
      </x:c>
      <x:c r="N5" s="21" t="str">
        <x:v>Factor reutilización ISM</x:v>
      </x:c>
      <x:c r="O5" s="21" t="str">
        <x:v>HH unitarias configurador</x:v>
      </x:c>
      <x:c r="P5" s="21" t="str">
        <x:v>Complejidad</x:v>
      </x:c>
      <x:c r="Q5" s="21" t="str">
        <x:v>Factor Inicial</x:v>
      </x:c>
      <x:c r="R5" s="21" t="str">
        <x:v>Factor Estándar</x:v>
      </x:c>
      <x:c r="S5" s="21" t="str">
        <x:v>Factor Avanzado</x:v>
      </x:c>
      <x:c r="T5" s="21" t="str">
        <x:v>HH Inicial</x:v>
      </x:c>
      <x:c r="U5" s="21" t="str">
        <x:v>HH Estándar</x:v>
      </x:c>
      <x:c r="V5" s="21" t="str">
        <x:v>HH Avanzado</x:v>
      </x:c>
      <x:c r="W5" s="21" t="str">
        <x:v>Dependencias</x:v>
      </x:c>
      <x:c r="X5" s="21" t="str">
        <x:v>Entregable verificable</x:v>
      </x:c>
      <x:c r="Y5" s="21" t="str">
        <x:v>Alcance / criterio</x:v>
      </x:c>
      <x:c r="Z5" s="21" t="str">
        <x:v>Exclusiones</x:v>
      </x:c>
      <x:c r="AA5" s="21" t="str">
        <x:v>Estado validación</x:v>
      </x:c>
      <x:c r="AB5" s="22" t="str">
        <x:v>Fuente / calibración</x:v>
      </x:c>
    </x:row>
    <x:row r="6">
      <x:c r="A6" s="74" t="str">
        <x:v>Mantenimiento y Evolución</x:v>
      </x:c>
      <x:c r="B6" s="75" t="str">
        <x:v>MNT-01</x:v>
      </x:c>
      <x:c r="C6" s="75" t="str">
        <x:v>Corrección de errores y estabilización</x:v>
      </x:c>
      <x:c r="D6" s="75" t="str">
        <x:v>02 · Optimización digital</x:v>
      </x:c>
      <x:c r="E6" s="75" t="str">
        <x:v>Recepción</x:v>
      </x:c>
      <x:c r="F6" s="75" t="str">
        <x:v>MNT1-001</x:v>
      </x:c>
      <x:c r="G6" s="75" t="str">
        <x:v>Registro del incidente y evidencia</x:v>
      </x:c>
      <x:c r="H6" s="75" t="str">
        <x:v>Incidente</x:v>
      </x:c>
      <x:c r="I6" s="84" t="n">
        <x:v>1</x:v>
      </x:c>
      <x:c r="J6" s="84" t="str">
        <x:v>Sí</x:v>
      </x:c>
      <x:c r="K6" s="84" t="str">
        <x:v>Sí</x:v>
      </x:c>
      <x:c r="L6" s="84" t="n">
        <x:v>0.5</x:v>
      </x:c>
      <x:c r="M6" s="84" t="str">
        <x:v>No</x:v>
      </x:c>
      <x:c r="N6" s="84" t="n">
        <x:v>1</x:v>
      </x:c>
      <x:c r="O6" s="84" t="n">
        <x:v>0.5</x:v>
      </x:c>
      <x:c r="P6" s="84" t="str">
        <x:v>Baja</x:v>
      </x:c>
      <x:c r="Q6" s="84" t="n">
        <x:v>1</x:v>
      </x:c>
      <x:c r="R6" s="84" t="n">
        <x:v>1.15</x:v>
      </x:c>
      <x:c r="S6" s="84" t="n">
        <x:v>1.3</x:v>
      </x:c>
      <x:c r="T6" s="84" t="n">
        <x:v>0.5</x:v>
      </x:c>
      <x:c r="U6" s="84" t="n">
        <x:v>0.575</x:v>
      </x:c>
      <x:c r="V6" s="84" t="n">
        <x:v>0.65</x:v>
      </x:c>
      <x:c r="W6" s="75"/>
      <x:c r="X6" s="75" t="str">
        <x:v>Ticket documentado</x:v>
      </x:c>
      <x:c r="Y6" s="75" t="str">
        <x:v>Descripción, pasos, evidencia y entorno</x:v>
      </x:c>
      <x:c r="Z6" s="75"/>
      <x:c r="AA6" s="75" t="str">
        <x:v>Preliminar</x:v>
      </x:c>
      <x:c r="AB6" s="76" t="str">
        <x:v>Estimación técnica ISM · Validar</x:v>
      </x:c>
    </x:row>
    <x:row r="7">
      <x:c r="A7" s="77" t="str">
        <x:v>Mantenimiento y Evolución</x:v>
      </x:c>
      <x:c r="B7" s="73" t="str">
        <x:v>MNT-01</x:v>
      </x:c>
      <x:c r="C7" s="73" t="str">
        <x:v>Corrección de errores y estabilización</x:v>
      </x:c>
      <x:c r="D7" s="73" t="str">
        <x:v>02 · Optimización digital</x:v>
      </x:c>
      <x:c r="E7" s="73" t="str">
        <x:v>Triage</x:v>
      </x:c>
      <x:c r="F7" s="73" t="str">
        <x:v>MNT1-002</x:v>
      </x:c>
      <x:c r="G7" s="73" t="str">
        <x:v>Clasificación de severidad e impacto</x:v>
      </x:c>
      <x:c r="H7" s="73" t="str">
        <x:v>Incidente</x:v>
      </x:c>
      <x:c r="I7" s="85" t="n">
        <x:v>1</x:v>
      </x:c>
      <x:c r="J7" s="85" t="str">
        <x:v>Sí</x:v>
      </x:c>
      <x:c r="K7" s="85" t="str">
        <x:v>Sí</x:v>
      </x:c>
      <x:c r="L7" s="85" t="n">
        <x:v>0.5</x:v>
      </x:c>
      <x:c r="M7" s="85" t="str">
        <x:v>No</x:v>
      </x:c>
      <x:c r="N7" s="85" t="n">
        <x:v>1</x:v>
      </x:c>
      <x:c r="O7" s="85" t="n">
        <x:v>0.5</x:v>
      </x:c>
      <x:c r="P7" s="85" t="str">
        <x:v>Media</x:v>
      </x:c>
      <x:c r="Q7" s="85" t="n">
        <x:v>1</x:v>
      </x:c>
      <x:c r="R7" s="85" t="n">
        <x:v>1.3</x:v>
      </x:c>
      <x:c r="S7" s="85" t="n">
        <x:v>1.55</x:v>
      </x:c>
      <x:c r="T7" s="85" t="n">
        <x:v>0.5</x:v>
      </x:c>
      <x:c r="U7" s="85" t="n">
        <x:v>0.65</x:v>
      </x:c>
      <x:c r="V7" s="85" t="n">
        <x:v>0.775</x:v>
      </x:c>
      <x:c r="W7" s="73" t="str">
        <x:v>MNT1-001</x:v>
      </x:c>
      <x:c r="X7" s="73" t="str">
        <x:v>Prioridad definida</x:v>
      </x:c>
      <x:c r="Y7" s="73" t="str">
        <x:v>Impacto, urgencia, alcance y usuarios afectados</x:v>
      </x:c>
      <x:c r="Z7" s="73"/>
      <x:c r="AA7" s="73" t="str">
        <x:v>Preliminar</x:v>
      </x:c>
      <x:c r="AB7" s="78" t="str">
        <x:v>Estimación técnica ISM · Validar</x:v>
      </x:c>
    </x:row>
    <x:row r="8">
      <x:c r="A8" s="77" t="str">
        <x:v>Mantenimiento y Evolución</x:v>
      </x:c>
      <x:c r="B8" s="73" t="str">
        <x:v>MNT-01</x:v>
      </x:c>
      <x:c r="C8" s="73" t="str">
        <x:v>Corrección de errores y estabilización</x:v>
      </x:c>
      <x:c r="D8" s="73" t="str">
        <x:v>02 · Optimización digital</x:v>
      </x:c>
      <x:c r="E8" s="73" t="str">
        <x:v>Diagnóstico</x:v>
      </x:c>
      <x:c r="F8" s="73" t="str">
        <x:v>MNT1-003</x:v>
      </x:c>
      <x:c r="G8" s="73" t="str">
        <x:v>Reproducción controlada del error</x:v>
      </x:c>
      <x:c r="H8" s="73" t="str">
        <x:v>Incidente</x:v>
      </x:c>
      <x:c r="I8" s="85" t="n">
        <x:v>1</x:v>
      </x:c>
      <x:c r="J8" s="85" t="str">
        <x:v>Sí</x:v>
      </x:c>
      <x:c r="K8" s="85" t="str">
        <x:v>Sí</x:v>
      </x:c>
      <x:c r="L8" s="85" t="n">
        <x:v>1.5</x:v>
      </x:c>
      <x:c r="M8" s="85" t="str">
        <x:v>No</x:v>
      </x:c>
      <x:c r="N8" s="85" t="n">
        <x:v>1</x:v>
      </x:c>
      <x:c r="O8" s="85" t="n">
        <x:v>1.5</x:v>
      </x:c>
      <x:c r="P8" s="85" t="str">
        <x:v>Alta</x:v>
      </x:c>
      <x:c r="Q8" s="85" t="n">
        <x:v>1</x:v>
      </x:c>
      <x:c r="R8" s="85" t="n">
        <x:v>1.45</x:v>
      </x:c>
      <x:c r="S8" s="85" t="n">
        <x:v>1.8</x:v>
      </x:c>
      <x:c r="T8" s="85" t="n">
        <x:v>1.5</x:v>
      </x:c>
      <x:c r="U8" s="85" t="n">
        <x:v>2.175</x:v>
      </x:c>
      <x:c r="V8" s="85" t="n">
        <x:v>2.7</x:v>
      </x:c>
      <x:c r="W8" s="73" t="str">
        <x:v>MNT1-001</x:v>
      </x:c>
      <x:c r="X8" s="73" t="str">
        <x:v>Caso reproducible</x:v>
      </x:c>
      <x:c r="Y8" s="73" t="str">
        <x:v>Pasos, datos y condiciones de reproducción</x:v>
      </x:c>
      <x:c r="Z8" s="73"/>
      <x:c r="AA8" s="73" t="str">
        <x:v>Preliminar</x:v>
      </x:c>
      <x:c r="AB8" s="78" t="str">
        <x:v>Estimación técnica ISM · Validar</x:v>
      </x:c>
    </x:row>
    <x:row r="9">
      <x:c r="A9" s="77" t="str">
        <x:v>Mantenimiento y Evolución</x:v>
      </x:c>
      <x:c r="B9" s="73" t="str">
        <x:v>MNT-01</x:v>
      </x:c>
      <x:c r="C9" s="73" t="str">
        <x:v>Corrección de errores y estabilización</x:v>
      </x:c>
      <x:c r="D9" s="73" t="str">
        <x:v>02 · Optimización digital</x:v>
      </x:c>
      <x:c r="E9" s="73" t="str">
        <x:v>Diagnóstico</x:v>
      </x:c>
      <x:c r="F9" s="73" t="str">
        <x:v>MNT1-004</x:v>
      </x:c>
      <x:c r="G9" s="73" t="str">
        <x:v>Análisis de logs, datos y código relacionado</x:v>
      </x:c>
      <x:c r="H9" s="73" t="str">
        <x:v>Incidente</x:v>
      </x:c>
      <x:c r="I9" s="85" t="n">
        <x:v>1</x:v>
      </x:c>
      <x:c r="J9" s="85" t="str">
        <x:v>Sí</x:v>
      </x:c>
      <x:c r="K9" s="85" t="str">
        <x:v>Sí</x:v>
      </x:c>
      <x:c r="L9" s="85" t="n">
        <x:v>2</x:v>
      </x:c>
      <x:c r="M9" s="85" t="str">
        <x:v>No</x:v>
      </x:c>
      <x:c r="N9" s="85" t="n">
        <x:v>1</x:v>
      </x:c>
      <x:c r="O9" s="85" t="n">
        <x:v>2</x:v>
      </x:c>
      <x:c r="P9" s="85" t="str">
        <x:v>Alta</x:v>
      </x:c>
      <x:c r="Q9" s="85" t="n">
        <x:v>1</x:v>
      </x:c>
      <x:c r="R9" s="85" t="n">
        <x:v>1.45</x:v>
      </x:c>
      <x:c r="S9" s="85" t="n">
        <x:v>1.8</x:v>
      </x:c>
      <x:c r="T9" s="85" t="n">
        <x:v>2</x:v>
      </x:c>
      <x:c r="U9" s="85" t="n">
        <x:v>2.9</x:v>
      </x:c>
      <x:c r="V9" s="85" t="n">
        <x:v>3.6</x:v>
      </x:c>
      <x:c r="W9" s="73" t="str">
        <x:v>MNT1-003</x:v>
      </x:c>
      <x:c r="X9" s="73" t="str">
        <x:v>Causa probable</x:v>
      </x:c>
      <x:c r="Y9" s="73" t="str">
        <x:v>Evidencia técnica y componentes involucrados</x:v>
      </x:c>
      <x:c r="Z9" s="73"/>
      <x:c r="AA9" s="73" t="str">
        <x:v>Preliminar</x:v>
      </x:c>
      <x:c r="AB9" s="78" t="str">
        <x:v>Estimación técnica ISM · Validar</x:v>
      </x:c>
    </x:row>
    <x:row r="10">
      <x:c r="A10" s="77" t="str">
        <x:v>Mantenimiento y Evolución</x:v>
      </x:c>
      <x:c r="B10" s="73" t="str">
        <x:v>MNT-01</x:v>
      </x:c>
      <x:c r="C10" s="73" t="str">
        <x:v>Corrección de errores y estabilización</x:v>
      </x:c>
      <x:c r="D10" s="73" t="str">
        <x:v>02 · Optimización digital</x:v>
      </x:c>
      <x:c r="E10" s="73" t="str">
        <x:v>Diagnóstico</x:v>
      </x:c>
      <x:c r="F10" s="73" t="str">
        <x:v>MNT1-005</x:v>
      </x:c>
      <x:c r="G10" s="73" t="str">
        <x:v>Análisis de causa raíz</x:v>
      </x:c>
      <x:c r="H10" s="73" t="str">
        <x:v>Incidente</x:v>
      </x:c>
      <x:c r="I10" s="85" t="n">
        <x:v>1</x:v>
      </x:c>
      <x:c r="J10" s="85" t="str">
        <x:v>Sí</x:v>
      </x:c>
      <x:c r="K10" s="85" t="str">
        <x:v>Sí</x:v>
      </x:c>
      <x:c r="L10" s="85" t="n">
        <x:v>1.5</x:v>
      </x:c>
      <x:c r="M10" s="85" t="str">
        <x:v>No</x:v>
      </x:c>
      <x:c r="N10" s="85" t="n">
        <x:v>1</x:v>
      </x:c>
      <x:c r="O10" s="85" t="n">
        <x:v>1.5</x:v>
      </x:c>
      <x:c r="P10" s="85" t="str">
        <x:v>Alta</x:v>
      </x:c>
      <x:c r="Q10" s="85" t="n">
        <x:v>1</x:v>
      </x:c>
      <x:c r="R10" s="85" t="n">
        <x:v>1.45</x:v>
      </x:c>
      <x:c r="S10" s="85" t="n">
        <x:v>1.8</x:v>
      </x:c>
      <x:c r="T10" s="85" t="n">
        <x:v>1.5</x:v>
      </x:c>
      <x:c r="U10" s="85" t="n">
        <x:v>2.175</x:v>
      </x:c>
      <x:c r="V10" s="85" t="n">
        <x:v>2.7</x:v>
      </x:c>
      <x:c r="W10" s="73" t="str">
        <x:v>MNT1-004</x:v>
      </x:c>
      <x:c r="X10" s="73" t="str">
        <x:v>Causa raíz</x:v>
      </x:c>
      <x:c r="Y10" s="73" t="str">
        <x:v>Origen y condiciones que provocan el fallo</x:v>
      </x:c>
      <x:c r="Z10" s="73"/>
      <x:c r="AA10" s="73" t="str">
        <x:v>Preliminar</x:v>
      </x:c>
      <x:c r="AB10" s="78" t="str">
        <x:v>Estimación técnica ISM · Validar</x:v>
      </x:c>
    </x:row>
    <x:row r="11">
      <x:c r="A11" s="77" t="str">
        <x:v>Mantenimiento y Evolución</x:v>
      </x:c>
      <x:c r="B11" s="73" t="str">
        <x:v>MNT-01</x:v>
      </x:c>
      <x:c r="C11" s="73" t="str">
        <x:v>Corrección de errores y estabilización</x:v>
      </x:c>
      <x:c r="D11" s="73" t="str">
        <x:v>02 · Optimización digital</x:v>
      </x:c>
      <x:c r="E11" s="73" t="str">
        <x:v>Planificación</x:v>
      </x:c>
      <x:c r="F11" s="73" t="str">
        <x:v>MNT1-006</x:v>
      </x:c>
      <x:c r="G11" s="73" t="str">
        <x:v>Definición de corrección y plan de reversa</x:v>
      </x:c>
      <x:c r="H11" s="73" t="str">
        <x:v>Cambio</x:v>
      </x:c>
      <x:c r="I11" s="85" t="n">
        <x:v>1</x:v>
      </x:c>
      <x:c r="J11" s="85" t="str">
        <x:v>Sí</x:v>
      </x:c>
      <x:c r="K11" s="85" t="str">
        <x:v>Sí</x:v>
      </x:c>
      <x:c r="L11" s="85" t="n">
        <x:v>1</x:v>
      </x:c>
      <x:c r="M11" s="85" t="str">
        <x:v>Parcial</x:v>
      </x:c>
      <x:c r="N11" s="85" t="n">
        <x:v>0.9</x:v>
      </x:c>
      <x:c r="O11" s="85" t="n">
        <x:v>0.9</x:v>
      </x:c>
      <x:c r="P11" s="85" t="str">
        <x:v>Alta</x:v>
      </x:c>
      <x:c r="Q11" s="85" t="n">
        <x:v>1</x:v>
      </x:c>
      <x:c r="R11" s="85" t="n">
        <x:v>1.45</x:v>
      </x:c>
      <x:c r="S11" s="85" t="n">
        <x:v>1.8</x:v>
      </x:c>
      <x:c r="T11" s="85" t="n">
        <x:v>0.9</x:v>
      </x:c>
      <x:c r="U11" s="85" t="n">
        <x:v>1.305</x:v>
      </x:c>
      <x:c r="V11" s="85" t="n">
        <x:v>1.62</x:v>
      </x:c>
      <x:c r="W11" s="73" t="str">
        <x:v>MNT1-005</x:v>
      </x:c>
      <x:c r="X11" s="73" t="str">
        <x:v>Plan de cambio</x:v>
      </x:c>
      <x:c r="Y11" s="73" t="str">
        <x:v>Corrección, riesgo, pruebas y reversa</x:v>
      </x:c>
      <x:c r="Z11" s="73"/>
      <x:c r="AA11" s="73" t="str">
        <x:v>Preliminar</x:v>
      </x:c>
      <x:c r="AB11" s="78" t="str">
        <x:v>Estimación técnica ISM · Validar</x:v>
      </x:c>
    </x:row>
    <x:row r="12">
      <x:c r="A12" s="77" t="str">
        <x:v>Mantenimiento y Evolución</x:v>
      </x:c>
      <x:c r="B12" s="73" t="str">
        <x:v>MNT-01</x:v>
      </x:c>
      <x:c r="C12" s="73" t="str">
        <x:v>Corrección de errores y estabilización</x:v>
      </x:c>
      <x:c r="D12" s="73" t="str">
        <x:v>02 · Optimización digital</x:v>
      </x:c>
      <x:c r="E12" s="73" t="str">
        <x:v>Corrección</x:v>
      </x:c>
      <x:c r="F12" s="73" t="str">
        <x:v>MNT1-007</x:v>
      </x:c>
      <x:c r="G12" s="73" t="str">
        <x:v>Corrección de baja complejidad</x:v>
      </x:c>
      <x:c r="H12" s="73" t="str">
        <x:v>Cambio</x:v>
      </x:c>
      <x:c r="I12" s="85" t="n">
        <x:v>1</x:v>
      </x:c>
      <x:c r="J12" s="85" t="str">
        <x:v>Sí</x:v>
      </x:c>
      <x:c r="K12" s="85" t="str">
        <x:v>No</x:v>
      </x:c>
      <x:c r="L12" s="85" t="n">
        <x:v>2</x:v>
      </x:c>
      <x:c r="M12" s="85" t="str">
        <x:v>Parcial</x:v>
      </x:c>
      <x:c r="N12" s="85" t="n">
        <x:v>0.85</x:v>
      </x:c>
      <x:c r="O12" s="85" t="n">
        <x:v>1.7</x:v>
      </x:c>
      <x:c r="P12" s="85" t="str">
        <x:v>Media</x:v>
      </x:c>
      <x:c r="Q12" s="85" t="n">
        <x:v>1</x:v>
      </x:c>
      <x:c r="R12" s="85" t="n">
        <x:v>1.3</x:v>
      </x:c>
      <x:c r="S12" s="85" t="n">
        <x:v>1.55</x:v>
      </x:c>
      <x:c r="T12" s="85" t="n">
        <x:v>1.7</x:v>
      </x:c>
      <x:c r="U12" s="85" t="n">
        <x:v>2.21</x:v>
      </x:c>
      <x:c r="V12" s="85" t="n">
        <x:v>2.635</x:v>
      </x:c>
      <x:c r="W12" s="73" t="str">
        <x:v>MNT1-006</x:v>
      </x:c>
      <x:c r="X12" s="73" t="str">
        <x:v>Código corregido</x:v>
      </x:c>
      <x:c r="Y12" s="73" t="str">
        <x:v>Ajuste localizado sin cambio de arquitectura</x:v>
      </x:c>
      <x:c r="Z12" s="73" t="str">
        <x:v>Mutuamente excluyente con MNT1-008 para el mismo incidente.</x:v>
      </x:c>
      <x:c r="AA12" s="73" t="str">
        <x:v>Preliminar</x:v>
      </x:c>
      <x:c r="AB12" s="78" t="str">
        <x:v>Estimación técnica ISM · Validar</x:v>
      </x:c>
    </x:row>
    <x:row r="13">
      <x:c r="A13" s="77" t="str">
        <x:v>Mantenimiento y Evolución</x:v>
      </x:c>
      <x:c r="B13" s="73" t="str">
        <x:v>MNT-01</x:v>
      </x:c>
      <x:c r="C13" s="73" t="str">
        <x:v>Corrección de errores y estabilización</x:v>
      </x:c>
      <x:c r="D13" s="73" t="str">
        <x:v>02 · Optimización digital</x:v>
      </x:c>
      <x:c r="E13" s="73" t="str">
        <x:v>Corrección</x:v>
      </x:c>
      <x:c r="F13" s="73" t="str">
        <x:v>MNT1-008</x:v>
      </x:c>
      <x:c r="G13" s="73" t="str">
        <x:v>Corrección de complejidad media</x:v>
      </x:c>
      <x:c r="H13" s="73" t="str">
        <x:v>Cambio</x:v>
      </x:c>
      <x:c r="I13" s="85" t="n">
        <x:v>0</x:v>
      </x:c>
      <x:c r="J13" s="85" t="str">
        <x:v>No</x:v>
      </x:c>
      <x:c r="K13" s="85" t="str">
        <x:v>No</x:v>
      </x:c>
      <x:c r="L13" s="85" t="n">
        <x:v>4</x:v>
      </x:c>
      <x:c r="M13" s="85" t="str">
        <x:v>No</x:v>
      </x:c>
      <x:c r="N13" s="85" t="n">
        <x:v>1</x:v>
      </x:c>
      <x:c r="O13" s="85" t="n">
        <x:v>4</x:v>
      </x:c>
      <x:c r="P13" s="85" t="str">
        <x:v>Alta</x:v>
      </x:c>
      <x:c r="Q13" s="85" t="n">
        <x:v>1</x:v>
      </x:c>
      <x:c r="R13" s="85" t="n">
        <x:v>1.45</x:v>
      </x:c>
      <x:c r="S13" s="85" t="n">
        <x:v>1.8</x:v>
      </x:c>
      <x:c r="T13" s="85" t="n">
        <x:v>0</x:v>
      </x:c>
      <x:c r="U13" s="85" t="n">
        <x:v>0</x:v>
      </x:c>
      <x:c r="V13" s="85" t="n">
        <x:v>0</x:v>
      </x:c>
      <x:c r="W13" s="73" t="str">
        <x:v>MNT1-006</x:v>
      </x:c>
      <x:c r="X13" s="73" t="str">
        <x:v>Código corregido</x:v>
      </x:c>
      <x:c r="Y13" s="73" t="str">
        <x:v>Cambios en varios componentes o reglas</x:v>
      </x:c>
      <x:c r="Z13" s="73" t="str">
        <x:v>Mutuamente excluyente con MNT1-007 para el mismo incidente.</x:v>
      </x:c>
      <x:c r="AA13" s="73" t="str">
        <x:v>Preliminar</x:v>
      </x:c>
      <x:c r="AB13" s="78" t="str">
        <x:v>Estimación técnica ISM · Validar</x:v>
      </x:c>
    </x:row>
    <x:row r="14">
      <x:c r="A14" s="77" t="str">
        <x:v>Mantenimiento y Evolución</x:v>
      </x:c>
      <x:c r="B14" s="73" t="str">
        <x:v>MNT-01</x:v>
      </x:c>
      <x:c r="C14" s="73" t="str">
        <x:v>Corrección de errores y estabilización</x:v>
      </x:c>
      <x:c r="D14" s="73" t="str">
        <x:v>02 · Optimización digital</x:v>
      </x:c>
      <x:c r="E14" s="73" t="str">
        <x:v>Datos</x:v>
      </x:c>
      <x:c r="F14" s="73" t="str">
        <x:v>MNT1-009</x:v>
      </x:c>
      <x:c r="G14" s="73" t="str">
        <x:v>Corrección o regularización de datos</x:v>
      </x:c>
      <x:c r="H14" s="73" t="str">
        <x:v>Lote</x:v>
      </x:c>
      <x:c r="I14" s="85" t="n">
        <x:v>0</x:v>
      </x:c>
      <x:c r="J14" s="85" t="str">
        <x:v>No</x:v>
      </x:c>
      <x:c r="K14" s="85" t="str">
        <x:v>No</x:v>
      </x:c>
      <x:c r="L14" s="85" t="n">
        <x:v>2.5</x:v>
      </x:c>
      <x:c r="M14" s="85" t="str">
        <x:v>No</x:v>
      </x:c>
      <x:c r="N14" s="85" t="n">
        <x:v>1</x:v>
      </x:c>
      <x:c r="O14" s="85" t="n">
        <x:v>2.5</x:v>
      </x:c>
      <x:c r="P14" s="85" t="str">
        <x:v>Alta</x:v>
      </x:c>
      <x:c r="Q14" s="85" t="n">
        <x:v>1</x:v>
      </x:c>
      <x:c r="R14" s="85" t="n">
        <x:v>1.45</x:v>
      </x:c>
      <x:c r="S14" s="85" t="n">
        <x:v>1.8</x:v>
      </x:c>
      <x:c r="T14" s="85" t="n">
        <x:v>0</x:v>
      </x:c>
      <x:c r="U14" s="85" t="n">
        <x:v>0</x:v>
      </x:c>
      <x:c r="V14" s="85" t="n">
        <x:v>0</x:v>
      </x:c>
      <x:c r="W14" s="73" t="str">
        <x:v>MNT1-006</x:v>
      </x:c>
      <x:c r="X14" s="73" t="str">
        <x:v>Datos regularizados</x:v>
      </x:c>
      <x:c r="Y14" s="73" t="str">
        <x:v>Script, respaldo y validación</x:v>
      </x:c>
      <x:c r="Z14" s="73" t="str">
        <x:v>Recuperación forense</x:v>
      </x:c>
      <x:c r="AA14" s="73" t="str">
        <x:v>Preliminar</x:v>
      </x:c>
      <x:c r="AB14" s="78" t="str">
        <x:v>Estimación técnica ISM · Validar</x:v>
      </x:c>
    </x:row>
    <x:row r="15">
      <x:c r="A15" s="77" t="str">
        <x:v>Mantenimiento y Evolución</x:v>
      </x:c>
      <x:c r="B15" s="73" t="str">
        <x:v>MNT-01</x:v>
      </x:c>
      <x:c r="C15" s="73" t="str">
        <x:v>Corrección de errores y estabilización</x:v>
      </x:c>
      <x:c r="D15" s="73" t="str">
        <x:v>02 · Optimización digital</x:v>
      </x:c>
      <x:c r="E15" s="73" t="str">
        <x:v>Calidad</x:v>
      </x:c>
      <x:c r="F15" s="73" t="str">
        <x:v>MNT1-010</x:v>
      </x:c>
      <x:c r="G15" s="73" t="str">
        <x:v>Prueba del caso corregido</x:v>
      </x:c>
      <x:c r="H15" s="73" t="str">
        <x:v>Caso</x:v>
      </x:c>
      <x:c r="I15" s="85" t="n">
        <x:v>1</x:v>
      </x:c>
      <x:c r="J15" s="85" t="str">
        <x:v>Sí</x:v>
      </x:c>
      <x:c r="K15" s="85" t="str">
        <x:v>Sí</x:v>
      </x:c>
      <x:c r="L15" s="85" t="n">
        <x:v>1</x:v>
      </x:c>
      <x:c r="M15" s="85" t="str">
        <x:v>No</x:v>
      </x:c>
      <x:c r="N15" s="85" t="n">
        <x:v>1</x:v>
      </x:c>
      <x:c r="O15" s="85" t="n">
        <x:v>1</x:v>
      </x:c>
      <x:c r="P15" s="85" t="str">
        <x:v>Media</x:v>
      </x:c>
      <x:c r="Q15" s="85" t="n">
        <x:v>1</x:v>
      </x:c>
      <x:c r="R15" s="85" t="n">
        <x:v>1.3</x:v>
      </x:c>
      <x:c r="S15" s="85" t="n">
        <x:v>1.55</x:v>
      </x:c>
      <x:c r="T15" s="85" t="n">
        <x:v>1</x:v>
      </x:c>
      <x:c r="U15" s="85" t="n">
        <x:v>1.3</x:v>
      </x:c>
      <x:c r="V15" s="85" t="n">
        <x:v>1.55</x:v>
      </x:c>
      <x:c r="W15" s="73" t="str">
        <x:v>MNT1-007</x:v>
      </x:c>
      <x:c r="X15" s="73" t="str">
        <x:v>Caso validado</x:v>
      </x:c>
      <x:c r="Y15" s="73" t="str">
        <x:v>Prueba directa del defecto</x:v>
      </x:c>
      <x:c r="Z15" s="73"/>
      <x:c r="AA15" s="73" t="str">
        <x:v>Preliminar</x:v>
      </x:c>
      <x:c r="AB15" s="78" t="str">
        <x:v>Estimación técnica ISM · Validar</x:v>
      </x:c>
    </x:row>
    <x:row r="16">
      <x:c r="A16" s="77" t="str">
        <x:v>Mantenimiento y Evolución</x:v>
      </x:c>
      <x:c r="B16" s="73" t="str">
        <x:v>MNT-01</x:v>
      </x:c>
      <x:c r="C16" s="73" t="str">
        <x:v>Corrección de errores y estabilización</x:v>
      </x:c>
      <x:c r="D16" s="73" t="str">
        <x:v>02 · Optimización digital</x:v>
      </x:c>
      <x:c r="E16" s="73" t="str">
        <x:v>Calidad</x:v>
      </x:c>
      <x:c r="F16" s="73" t="str">
        <x:v>MNT1-011</x:v>
      </x:c>
      <x:c r="G16" s="73" t="str">
        <x:v>Pruebas de regresión relacionadas</x:v>
      </x:c>
      <x:c r="H16" s="73" t="str">
        <x:v>Caso</x:v>
      </x:c>
      <x:c r="I16" s="85" t="n">
        <x:v>3</x:v>
      </x:c>
      <x:c r="J16" s="85" t="str">
        <x:v>Sí</x:v>
      </x:c>
      <x:c r="K16" s="85" t="str">
        <x:v>Sí</x:v>
      </x:c>
      <x:c r="L16" s="85" t="n">
        <x:v>0.75</x:v>
      </x:c>
      <x:c r="M16" s="85" t="str">
        <x:v>Parcial</x:v>
      </x:c>
      <x:c r="N16" s="85" t="n">
        <x:v>0.9</x:v>
      </x:c>
      <x:c r="O16" s="85" t="n">
        <x:v>0.675</x:v>
      </x:c>
      <x:c r="P16" s="85" t="str">
        <x:v>Alta</x:v>
      </x:c>
      <x:c r="Q16" s="85" t="n">
        <x:v>1</x:v>
      </x:c>
      <x:c r="R16" s="85" t="n">
        <x:v>1.45</x:v>
      </x:c>
      <x:c r="S16" s="85" t="n">
        <x:v>1.8</x:v>
      </x:c>
      <x:c r="T16" s="85" t="n">
        <x:v>2.0250000000000004</x:v>
      </x:c>
      <x:c r="U16" s="85" t="n">
        <x:v>2.9362500000000002</x:v>
      </x:c>
      <x:c r="V16" s="85" t="n">
        <x:v>3.645000000000001</x:v>
      </x:c>
      <x:c r="W16" s="73" t="str">
        <x:v>MNT1-010</x:v>
      </x:c>
      <x:c r="X16" s="73" t="str">
        <x:v>Regresión validada</x:v>
      </x:c>
      <x:c r="Y16" s="73" t="str">
        <x:v>Flujos cercanos y funciones relacionadas</x:v>
      </x:c>
      <x:c r="Z16" s="73"/>
      <x:c r="AA16" s="73" t="str">
        <x:v>Preliminar</x:v>
      </x:c>
      <x:c r="AB16" s="78" t="str">
        <x:v>Estimación técnica ISM · Validar</x:v>
      </x:c>
    </x:row>
    <x:row r="17">
      <x:c r="A17" s="77" t="str">
        <x:v>Mantenimiento y Evolución</x:v>
      </x:c>
      <x:c r="B17" s="73" t="str">
        <x:v>MNT-01</x:v>
      </x:c>
      <x:c r="C17" s="73" t="str">
        <x:v>Corrección de errores y estabilización</x:v>
      </x:c>
      <x:c r="D17" s="73" t="str">
        <x:v>02 · Optimización digital</x:v>
      </x:c>
      <x:c r="E17" s="73" t="str">
        <x:v>Despliegue</x:v>
      </x:c>
      <x:c r="F17" s="73" t="str">
        <x:v>MNT1-012</x:v>
      </x:c>
      <x:c r="G17" s="73" t="str">
        <x:v>Preparación y despliegue de corrección</x:v>
      </x:c>
      <x:c r="H17" s="73" t="str">
        <x:v>Entorno</x:v>
      </x:c>
      <x:c r="I17" s="85" t="n">
        <x:v>1</x:v>
      </x:c>
      <x:c r="J17" s="85" t="str">
        <x:v>Sí</x:v>
      </x:c>
      <x:c r="K17" s="85" t="str">
        <x:v>Sí</x:v>
      </x:c>
      <x:c r="L17" s="85" t="n">
        <x:v>1.5</x:v>
      </x:c>
      <x:c r="M17" s="85" t="str">
        <x:v>Parcial</x:v>
      </x:c>
      <x:c r="N17" s="85" t="n">
        <x:v>0.85</x:v>
      </x:c>
      <x:c r="O17" s="85" t="n">
        <x:v>1.275</x:v>
      </x:c>
      <x:c r="P17" s="85" t="str">
        <x:v>Alta</x:v>
      </x:c>
      <x:c r="Q17" s="85" t="n">
        <x:v>1</x:v>
      </x:c>
      <x:c r="R17" s="85" t="n">
        <x:v>1.45</x:v>
      </x:c>
      <x:c r="S17" s="85" t="n">
        <x:v>1.8</x:v>
      </x:c>
      <x:c r="T17" s="85" t="n">
        <x:v>1.275</x:v>
      </x:c>
      <x:c r="U17" s="85" t="n">
        <x:v>1.84875</x:v>
      </x:c>
      <x:c r="V17" s="85" t="n">
        <x:v>2.295</x:v>
      </x:c>
      <x:c r="W17" s="73" t="str">
        <x:v>MNT1-011</x:v>
      </x:c>
      <x:c r="X17" s="73" t="str">
        <x:v>Corrección desplegada</x:v>
      </x:c>
      <x:c r="Y17" s="73" t="str">
        <x:v>Build, respaldo, despliegue y validación</x:v>
      </x:c>
      <x:c r="Z17" s="73"/>
      <x:c r="AA17" s="73" t="str">
        <x:v>Preliminar</x:v>
      </x:c>
      <x:c r="AB17" s="78" t="str">
        <x:v>Estimación técnica ISM · Validar</x:v>
      </x:c>
    </x:row>
    <x:row r="18">
      <x:c r="A18" s="77" t="str">
        <x:v>Mantenimiento y Evolución</x:v>
      </x:c>
      <x:c r="B18" s="73" t="str">
        <x:v>MNT-01</x:v>
      </x:c>
      <x:c r="C18" s="73" t="str">
        <x:v>Corrección de errores y estabilización</x:v>
      </x:c>
      <x:c r="D18" s="73" t="str">
        <x:v>02 · Optimización digital</x:v>
      </x:c>
      <x:c r="E18" s="73" t="str">
        <x:v>Seguimiento</x:v>
      </x:c>
      <x:c r="F18" s="73" t="str">
        <x:v>MNT1-013</x:v>
      </x:c>
      <x:c r="G18" s="73" t="str">
        <x:v>Monitoreo posterior al cambio</x:v>
      </x:c>
      <x:c r="H18" s="73" t="str">
        <x:v>Periodo</x:v>
      </x:c>
      <x:c r="I18" s="85" t="n">
        <x:v>1</x:v>
      </x:c>
      <x:c r="J18" s="85" t="str">
        <x:v>Sí</x:v>
      </x:c>
      <x:c r="K18" s="85" t="str">
        <x:v>No</x:v>
      </x:c>
      <x:c r="L18" s="85" t="n">
        <x:v>1</x:v>
      </x:c>
      <x:c r="M18" s="85" t="str">
        <x:v>No</x:v>
      </x:c>
      <x:c r="N18" s="85" t="n">
        <x:v>1</x:v>
      </x:c>
      <x:c r="O18" s="85" t="n">
        <x:v>1</x:v>
      </x:c>
      <x:c r="P18" s="85" t="str">
        <x:v>Media</x:v>
      </x:c>
      <x:c r="Q18" s="85" t="n">
        <x:v>1</x:v>
      </x:c>
      <x:c r="R18" s="85" t="n">
        <x:v>1.3</x:v>
      </x:c>
      <x:c r="S18" s="85" t="n">
        <x:v>1.55</x:v>
      </x:c>
      <x:c r="T18" s="85" t="n">
        <x:v>1</x:v>
      </x:c>
      <x:c r="U18" s="85" t="n">
        <x:v>1.3</x:v>
      </x:c>
      <x:c r="V18" s="85" t="n">
        <x:v>1.55</x:v>
      </x:c>
      <x:c r="W18" s="73" t="str">
        <x:v>MNT1-012</x:v>
      </x:c>
      <x:c r="X18" s="73" t="str">
        <x:v>Seguimiento cerrado</x:v>
      </x:c>
      <x:c r="Y18" s="73" t="str">
        <x:v>Revisión de logs y comportamiento</x:v>
      </x:c>
      <x:c r="Z18" s="73"/>
      <x:c r="AA18" s="73" t="str">
        <x:v>Preliminar</x:v>
      </x:c>
      <x:c r="AB18" s="78" t="str">
        <x:v>Estimación técnica ISM · Validar</x:v>
      </x:c>
    </x:row>
    <x:row r="19">
      <x:c r="A19" s="77" t="str">
        <x:v>Mantenimiento y Evolución</x:v>
      </x:c>
      <x:c r="B19" s="73" t="str">
        <x:v>MNT-01</x:v>
      </x:c>
      <x:c r="C19" s="73" t="str">
        <x:v>Corrección de errores y estabilización</x:v>
      </x:c>
      <x:c r="D19" s="73" t="str">
        <x:v>02 · Optimización digital</x:v>
      </x:c>
      <x:c r="E19" s="73" t="str">
        <x:v>Cierre</x:v>
      </x:c>
      <x:c r="F19" s="73" t="str">
        <x:v>MNT1-014</x:v>
      </x:c>
      <x:c r="G19" s="73" t="str">
        <x:v>Documentación de causa y solución</x:v>
      </x:c>
      <x:c r="H19" s="73" t="str">
        <x:v>Incidente</x:v>
      </x:c>
      <x:c r="I19" s="85" t="n">
        <x:v>1</x:v>
      </x:c>
      <x:c r="J19" s="85" t="str">
        <x:v>Sí</x:v>
      </x:c>
      <x:c r="K19" s="85" t="str">
        <x:v>Sí</x:v>
      </x:c>
      <x:c r="L19" s="85" t="n">
        <x:v>0.75</x:v>
      </x:c>
      <x:c r="M19" s="85" t="str">
        <x:v>No</x:v>
      </x:c>
      <x:c r="N19" s="85" t="n">
        <x:v>1</x:v>
      </x:c>
      <x:c r="O19" s="85" t="n">
        <x:v>0.75</x:v>
      </x:c>
      <x:c r="P19" s="85" t="str">
        <x:v>Baja</x:v>
      </x:c>
      <x:c r="Q19" s="85" t="n">
        <x:v>1</x:v>
      </x:c>
      <x:c r="R19" s="85" t="n">
        <x:v>1.15</x:v>
      </x:c>
      <x:c r="S19" s="85" t="n">
        <x:v>1.3</x:v>
      </x:c>
      <x:c r="T19" s="85" t="n">
        <x:v>0.75</x:v>
      </x:c>
      <x:c r="U19" s="85" t="n">
        <x:v>0.8624999999999999</x:v>
      </x:c>
      <x:c r="V19" s="85" t="n">
        <x:v>0.9750000000000001</x:v>
      </x:c>
      <x:c r="W19" s="73"/>
      <x:c r="X19" s="73" t="str">
        <x:v>Ticket cerrado</x:v>
      </x:c>
      <x:c r="Y19" s="73" t="str">
        <x:v>Causa, solución, pruebas y recomendaciones</x:v>
      </x:c>
      <x:c r="Z19" s="73"/>
      <x:c r="AA19" s="73" t="str">
        <x:v>Preliminar</x:v>
      </x:c>
      <x:c r="AB19" s="78" t="str">
        <x:v>Estimación técnica ISM · Validar</x:v>
      </x:c>
    </x:row>
    <x:row r="20">
      <x:c r="A20" s="77" t="str">
        <x:v>Mantenimiento y Evolución</x:v>
      </x:c>
      <x:c r="B20" s="73" t="str">
        <x:v>MNT-02</x:v>
      </x:c>
      <x:c r="C20" s="73" t="str">
        <x:v>Incorporación de nueva funcionalidad</x:v>
      </x:c>
      <x:c r="D20" s="73" t="str">
        <x:v>02 · Optimización digital</x:v>
      </x:c>
      <x:c r="E20" s="73" t="str">
        <x:v>Descubrimiento</x:v>
      </x:c>
      <x:c r="F20" s="73" t="str">
        <x:v>MNT2-001</x:v>
      </x:c>
      <x:c r="G20" s="73" t="str">
        <x:v>Levantamiento de necesidad y objetivo</x:v>
      </x:c>
      <x:c r="H20" s="73" t="str">
        <x:v>Funcionalidad</x:v>
      </x:c>
      <x:c r="I20" s="85" t="n">
        <x:v>1</x:v>
      </x:c>
      <x:c r="J20" s="85" t="str">
        <x:v>Sí</x:v>
      </x:c>
      <x:c r="K20" s="85" t="str">
        <x:v>Sí</x:v>
      </x:c>
      <x:c r="L20" s="85" t="n">
        <x:v>1.5</x:v>
      </x:c>
      <x:c r="M20" s="85" t="str">
        <x:v>No</x:v>
      </x:c>
      <x:c r="N20" s="85" t="n">
        <x:v>1</x:v>
      </x:c>
      <x:c r="O20" s="85" t="n">
        <x:v>1.5</x:v>
      </x:c>
      <x:c r="P20" s="85" t="str">
        <x:v>Media</x:v>
      </x:c>
      <x:c r="Q20" s="85" t="n">
        <x:v>1</x:v>
      </x:c>
      <x:c r="R20" s="85" t="n">
        <x:v>1.3</x:v>
      </x:c>
      <x:c r="S20" s="85" t="n">
        <x:v>1.55</x:v>
      </x:c>
      <x:c r="T20" s="85" t="n">
        <x:v>1.5</x:v>
      </x:c>
      <x:c r="U20" s="85" t="n">
        <x:v>1.9500000000000002</x:v>
      </x:c>
      <x:c r="V20" s="85" t="n">
        <x:v>2.325</x:v>
      </x:c>
      <x:c r="W20" s="73"/>
      <x:c r="X20" s="73" t="str">
        <x:v>Solicitud definida</x:v>
      </x:c>
      <x:c r="Y20" s="73" t="str">
        <x:v>Usuario, problema, resultado y contexto</x:v>
      </x:c>
      <x:c r="Z20" s="73"/>
      <x:c r="AA20" s="73" t="str">
        <x:v>Preliminar</x:v>
      </x:c>
      <x:c r="AB20" s="78" t="str">
        <x:v>Estimación técnica ISM · Validar</x:v>
      </x:c>
    </x:row>
    <x:row r="21">
      <x:c r="A21" s="77" t="str">
        <x:v>Mantenimiento y Evolución</x:v>
      </x:c>
      <x:c r="B21" s="73" t="str">
        <x:v>MNT-02</x:v>
      </x:c>
      <x:c r="C21" s="73" t="str">
        <x:v>Incorporación de nueva funcionalidad</x:v>
      </x:c>
      <x:c r="D21" s="73" t="str">
        <x:v>02 · Optimización digital</x:v>
      </x:c>
      <x:c r="E21" s="73" t="str">
        <x:v>Análisis</x:v>
      </x:c>
      <x:c r="F21" s="73" t="str">
        <x:v>MNT2-002</x:v>
      </x:c>
      <x:c r="G21" s="73" t="str">
        <x:v>Análisis de impacto en sistema existente</x:v>
      </x:c>
      <x:c r="H21" s="73" t="str">
        <x:v>Funcionalidad</x:v>
      </x:c>
      <x:c r="I21" s="85" t="n">
        <x:v>1</x:v>
      </x:c>
      <x:c r="J21" s="85" t="str">
        <x:v>Sí</x:v>
      </x:c>
      <x:c r="K21" s="85" t="str">
        <x:v>Sí</x:v>
      </x:c>
      <x:c r="L21" s="85" t="n">
        <x:v>2.5</x:v>
      </x:c>
      <x:c r="M21" s="85" t="str">
        <x:v>No</x:v>
      </x:c>
      <x:c r="N21" s="85" t="n">
        <x:v>1</x:v>
      </x:c>
      <x:c r="O21" s="85" t="n">
        <x:v>2.5</x:v>
      </x:c>
      <x:c r="P21" s="85" t="str">
        <x:v>Alta</x:v>
      </x:c>
      <x:c r="Q21" s="85" t="n">
        <x:v>1</x:v>
      </x:c>
      <x:c r="R21" s="85" t="n">
        <x:v>1.45</x:v>
      </x:c>
      <x:c r="S21" s="85" t="n">
        <x:v>1.8</x:v>
      </x:c>
      <x:c r="T21" s="85" t="n">
        <x:v>2.5</x:v>
      </x:c>
      <x:c r="U21" s="85" t="n">
        <x:v>3.625</x:v>
      </x:c>
      <x:c r="V21" s="85" t="n">
        <x:v>4.5</x:v>
      </x:c>
      <x:c r="W21" s="73" t="str">
        <x:v>MNT2-001</x:v>
      </x:c>
      <x:c r="X21" s="73" t="str">
        <x:v>Informe de impacto</x:v>
      </x:c>
      <x:c r="Y21" s="73" t="str">
        <x:v>Código, datos, roles, integraciones y riesgos</x:v>
      </x:c>
      <x:c r="Z21" s="73"/>
      <x:c r="AA21" s="73" t="str">
        <x:v>Preliminar</x:v>
      </x:c>
      <x:c r="AB21" s="78" t="str">
        <x:v>Estimación técnica ISM · Validar</x:v>
      </x:c>
    </x:row>
    <x:row r="22">
      <x:c r="A22" s="77" t="str">
        <x:v>Mantenimiento y Evolución</x:v>
      </x:c>
      <x:c r="B22" s="73" t="str">
        <x:v>MNT-02</x:v>
      </x:c>
      <x:c r="C22" s="73" t="str">
        <x:v>Incorporación de nueva funcionalidad</x:v>
      </x:c>
      <x:c r="D22" s="73" t="str">
        <x:v>02 · Optimización digital</x:v>
      </x:c>
      <x:c r="E22" s="73" t="str">
        <x:v>Alcance</x:v>
      </x:c>
      <x:c r="F22" s="73" t="str">
        <x:v>MNT2-003</x:v>
      </x:c>
      <x:c r="G22" s="73" t="str">
        <x:v>Historia de usuario y criterios de aceptación</x:v>
      </x:c>
      <x:c r="H22" s="73" t="str">
        <x:v>Funcionalidad</x:v>
      </x:c>
      <x:c r="I22" s="85" t="n">
        <x:v>1</x:v>
      </x:c>
      <x:c r="J22" s="85" t="str">
        <x:v>Sí</x:v>
      </x:c>
      <x:c r="K22" s="85" t="str">
        <x:v>Sí</x:v>
      </x:c>
      <x:c r="L22" s="85" t="n">
        <x:v>1.5</x:v>
      </x:c>
      <x:c r="M22" s="85" t="str">
        <x:v>No</x:v>
      </x:c>
      <x:c r="N22" s="85" t="n">
        <x:v>1</x:v>
      </x:c>
      <x:c r="O22" s="85" t="n">
        <x:v>1.5</x:v>
      </x:c>
      <x:c r="P22" s="85" t="str">
        <x:v>Media</x:v>
      </x:c>
      <x:c r="Q22" s="85" t="n">
        <x:v>1</x:v>
      </x:c>
      <x:c r="R22" s="85" t="n">
        <x:v>1.3</x:v>
      </x:c>
      <x:c r="S22" s="85" t="n">
        <x:v>1.55</x:v>
      </x:c>
      <x:c r="T22" s="85" t="n">
        <x:v>1.5</x:v>
      </x:c>
      <x:c r="U22" s="85" t="n">
        <x:v>1.9500000000000002</x:v>
      </x:c>
      <x:c r="V22" s="85" t="n">
        <x:v>2.325</x:v>
      </x:c>
      <x:c r="W22" s="73" t="str">
        <x:v>MNT2-001</x:v>
      </x:c>
      <x:c r="X22" s="73" t="str">
        <x:v>Criterios aprobados</x:v>
      </x:c>
      <x:c r="Y22" s="73" t="str">
        <x:v>Casos, reglas y definición de terminado</x:v>
      </x:c>
      <x:c r="Z22" s="73"/>
      <x:c r="AA22" s="73" t="str">
        <x:v>Preliminar</x:v>
      </x:c>
      <x:c r="AB22" s="78" t="str">
        <x:v>Estimación técnica ISM · Validar</x:v>
      </x:c>
    </x:row>
    <x:row r="23">
      <x:c r="A23" s="77" t="str">
        <x:v>Mantenimiento y Evolución</x:v>
      </x:c>
      <x:c r="B23" s="73" t="str">
        <x:v>MNT-02</x:v>
      </x:c>
      <x:c r="C23" s="73" t="str">
        <x:v>Incorporación de nueva funcionalidad</x:v>
      </x:c>
      <x:c r="D23" s="73" t="str">
        <x:v>02 · Optimización digital</x:v>
      </x:c>
      <x:c r="E23" s="73" t="str">
        <x:v>Diseño</x:v>
      </x:c>
      <x:c r="F23" s="73" t="str">
        <x:v>MNT2-004</x:v>
      </x:c>
      <x:c r="G23" s="73" t="str">
        <x:v>Diseño de flujo y estados</x:v>
      </x:c>
      <x:c r="H23" s="73" t="str">
        <x:v>Flujo</x:v>
      </x:c>
      <x:c r="I23" s="85" t="n">
        <x:v>1</x:v>
      </x:c>
      <x:c r="J23" s="85" t="str">
        <x:v>Sí</x:v>
      </x:c>
      <x:c r="K23" s="85" t="str">
        <x:v>Sí</x:v>
      </x:c>
      <x:c r="L23" s="85" t="n">
        <x:v>2</x:v>
      </x:c>
      <x:c r="M23" s="85" t="str">
        <x:v>Parcial</x:v>
      </x:c>
      <x:c r="N23" s="85" t="n">
        <x:v>0.85</x:v>
      </x:c>
      <x:c r="O23" s="85" t="n">
        <x:v>1.7</x:v>
      </x:c>
      <x:c r="P23" s="85" t="str">
        <x:v>Alta</x:v>
      </x:c>
      <x:c r="Q23" s="85" t="n">
        <x:v>1</x:v>
      </x:c>
      <x:c r="R23" s="85" t="n">
        <x:v>1.45</x:v>
      </x:c>
      <x:c r="S23" s="85" t="n">
        <x:v>1.8</x:v>
      </x:c>
      <x:c r="T23" s="85" t="n">
        <x:v>1.7</x:v>
      </x:c>
      <x:c r="U23" s="85" t="n">
        <x:v>2.465</x:v>
      </x:c>
      <x:c r="V23" s="85" t="n">
        <x:v>3.06</x:v>
      </x:c>
      <x:c r="W23" s="73" t="str">
        <x:v>MNT2-003</x:v>
      </x:c>
      <x:c r="X23" s="73" t="str">
        <x:v>Flujo diseñado</x:v>
      </x:c>
      <x:c r="Y23" s="73" t="str">
        <x:v>Interacciones, transiciones y excepciones</x:v>
      </x:c>
      <x:c r="Z23" s="73"/>
      <x:c r="AA23" s="73" t="str">
        <x:v>Preliminar</x:v>
      </x:c>
      <x:c r="AB23" s="78" t="str">
        <x:v>Estimación técnica ISM · Validar</x:v>
      </x:c>
    </x:row>
    <x:row r="24">
      <x:c r="A24" s="77" t="str">
        <x:v>Mantenimiento y Evolución</x:v>
      </x:c>
      <x:c r="B24" s="73" t="str">
        <x:v>MNT-02</x:v>
      </x:c>
      <x:c r="C24" s="73" t="str">
        <x:v>Incorporación de nueva funcionalidad</x:v>
      </x:c>
      <x:c r="D24" s="73" t="str">
        <x:v>02 · Optimización digital</x:v>
      </x:c>
      <x:c r="E24" s="73" t="str">
        <x:v>Diseño</x:v>
      </x:c>
      <x:c r="F24" s="73" t="str">
        <x:v>MNT2-005</x:v>
      </x:c>
      <x:c r="G24" s="73" t="str">
        <x:v>Diseño de interfaz o wireframe</x:v>
      </x:c>
      <x:c r="H24" s="73" t="str">
        <x:v>Pantalla</x:v>
      </x:c>
      <x:c r="I24" s="85" t="n">
        <x:v>2</x:v>
      </x:c>
      <x:c r="J24" s="85" t="str">
        <x:v>Sí</x:v>
      </x:c>
      <x:c r="K24" s="85" t="str">
        <x:v>No</x:v>
      </x:c>
      <x:c r="L24" s="85" t="n">
        <x:v>1</x:v>
      </x:c>
      <x:c r="M24" s="85" t="str">
        <x:v>Parcial</x:v>
      </x:c>
      <x:c r="N24" s="85" t="n">
        <x:v>0.8</x:v>
      </x:c>
      <x:c r="O24" s="85" t="n">
        <x:v>0.8</x:v>
      </x:c>
      <x:c r="P24" s="85" t="str">
        <x:v>Media</x:v>
      </x:c>
      <x:c r="Q24" s="85" t="n">
        <x:v>1</x:v>
      </x:c>
      <x:c r="R24" s="85" t="n">
        <x:v>1.3</x:v>
      </x:c>
      <x:c r="S24" s="85" t="n">
        <x:v>1.55</x:v>
      </x:c>
      <x:c r="T24" s="85" t="n">
        <x:v>1.6</x:v>
      </x:c>
      <x:c r="U24" s="85" t="n">
        <x:v>2.08</x:v>
      </x:c>
      <x:c r="V24" s="85" t="n">
        <x:v>2.4800000000000004</x:v>
      </x:c>
      <x:c r="W24" s="73" t="str">
        <x:v>MNT2-004</x:v>
      </x:c>
      <x:c r="X24" s="73" t="str">
        <x:v>Wireframes</x:v>
      </x:c>
      <x:c r="Y24" s="73" t="str">
        <x:v>Componentes, campos y acciones</x:v>
      </x:c>
      <x:c r="Z24" s="73"/>
      <x:c r="AA24" s="73" t="str">
        <x:v>Preliminar</x:v>
      </x:c>
      <x:c r="AB24" s="78" t="str">
        <x:v>Estimación técnica ISM · Validar</x:v>
      </x:c>
    </x:row>
    <x:row r="25">
      <x:c r="A25" s="77" t="str">
        <x:v>Mantenimiento y Evolución</x:v>
      </x:c>
      <x:c r="B25" s="73" t="str">
        <x:v>MNT-02</x:v>
      </x:c>
      <x:c r="C25" s="73" t="str">
        <x:v>Incorporación de nueva funcionalidad</x:v>
      </x:c>
      <x:c r="D25" s="73" t="str">
        <x:v>02 · Optimización digital</x:v>
      </x:c>
      <x:c r="E25" s="73" t="str">
        <x:v>Datos</x:v>
      </x:c>
      <x:c r="F25" s="73" t="str">
        <x:v>MNT2-006</x:v>
      </x:c>
      <x:c r="G25" s="73" t="str">
        <x:v>Cambio de modelo de datos</x:v>
      </x:c>
      <x:c r="H25" s="73" t="str">
        <x:v>Entidad</x:v>
      </x:c>
      <x:c r="I25" s="85" t="n">
        <x:v>1</x:v>
      </x:c>
      <x:c r="J25" s="85" t="str">
        <x:v>No</x:v>
      </x:c>
      <x:c r="K25" s="85" t="str">
        <x:v>No</x:v>
      </x:c>
      <x:c r="L25" s="85" t="n">
        <x:v>2.5</x:v>
      </x:c>
      <x:c r="M25" s="85" t="str">
        <x:v>Parcial</x:v>
      </x:c>
      <x:c r="N25" s="85" t="n">
        <x:v>0.9</x:v>
      </x:c>
      <x:c r="O25" s="85" t="n">
        <x:v>2.25</x:v>
      </x:c>
      <x:c r="P25" s="85" t="str">
        <x:v>Alta</x:v>
      </x:c>
      <x:c r="Q25" s="85" t="n">
        <x:v>1</x:v>
      </x:c>
      <x:c r="R25" s="85" t="n">
        <x:v>1.45</x:v>
      </x:c>
      <x:c r="S25" s="85" t="n">
        <x:v>1.8</x:v>
      </x:c>
      <x:c r="T25" s="85" t="n">
        <x:v>0</x:v>
      </x:c>
      <x:c r="U25" s="85" t="n">
        <x:v>0</x:v>
      </x:c>
      <x:c r="V25" s="85" t="n">
        <x:v>0</x:v>
      </x:c>
      <x:c r="W25" s="73" t="str">
        <x:v>MNT2-002</x:v>
      </x:c>
      <x:c r="X25" s="73" t="str">
        <x:v>Migración de datos</x:v>
      </x:c>
      <x:c r="Y25" s="73" t="str">
        <x:v>Tabla, columna, relación y restricciones</x:v>
      </x:c>
      <x:c r="Z25" s="73"/>
      <x:c r="AA25" s="73" t="str">
        <x:v>Preliminar</x:v>
      </x:c>
      <x:c r="AB25" s="78" t="str">
        <x:v>Estimación técnica ISM · Validar</x:v>
      </x:c>
    </x:row>
    <x:row r="26">
      <x:c r="A26" s="77" t="str">
        <x:v>Mantenimiento y Evolución</x:v>
      </x:c>
      <x:c r="B26" s="73" t="str">
        <x:v>MNT-02</x:v>
      </x:c>
      <x:c r="C26" s="73" t="str">
        <x:v>Incorporación de nueva funcionalidad</x:v>
      </x:c>
      <x:c r="D26" s="73" t="str">
        <x:v>02 · Optimización digital</x:v>
      </x:c>
      <x:c r="E26" s="73" t="str">
        <x:v>Backend</x:v>
      </x:c>
      <x:c r="F26" s="73" t="str">
        <x:v>MNT2-007</x:v>
      </x:c>
      <x:c r="G26" s="73" t="str">
        <x:v>Implementación de regla de negocio</x:v>
      </x:c>
      <x:c r="H26" s="73" t="str">
        <x:v>Regla</x:v>
      </x:c>
      <x:c r="I26" s="85" t="n">
        <x:v>2</x:v>
      </x:c>
      <x:c r="J26" s="85" t="str">
        <x:v>Sí</x:v>
      </x:c>
      <x:c r="K26" s="85" t="str">
        <x:v>No</x:v>
      </x:c>
      <x:c r="L26" s="85" t="n">
        <x:v>2</x:v>
      </x:c>
      <x:c r="M26" s="85" t="str">
        <x:v>Parcial</x:v>
      </x:c>
      <x:c r="N26" s="85" t="n">
        <x:v>0.9</x:v>
      </x:c>
      <x:c r="O26" s="85" t="n">
        <x:v>1.8</x:v>
      </x:c>
      <x:c r="P26" s="85" t="str">
        <x:v>Alta</x:v>
      </x:c>
      <x:c r="Q26" s="85" t="n">
        <x:v>1</x:v>
      </x:c>
      <x:c r="R26" s="85" t="n">
        <x:v>1.45</x:v>
      </x:c>
      <x:c r="S26" s="85" t="n">
        <x:v>1.8</x:v>
      </x:c>
      <x:c r="T26" s="85" t="n">
        <x:v>3.6</x:v>
      </x:c>
      <x:c r="U26" s="85" t="n">
        <x:v>5.22</x:v>
      </x:c>
      <x:c r="V26" s="85" t="n">
        <x:v>6.48</x:v>
      </x:c>
      <x:c r="W26" s="73" t="str">
        <x:v>MNT2-003</x:v>
      </x:c>
      <x:c r="X26" s="73" t="str">
        <x:v>Reglas implementadas</x:v>
      </x:c>
      <x:c r="Y26" s="73" t="str">
        <x:v>Validaciones y comportamiento esperado</x:v>
      </x:c>
      <x:c r="Z26" s="73"/>
      <x:c r="AA26" s="73" t="str">
        <x:v>Preliminar</x:v>
      </x:c>
      <x:c r="AB26" s="78" t="str">
        <x:v>Estimación técnica ISM · Validar</x:v>
      </x:c>
    </x:row>
    <x:row r="27">
      <x:c r="A27" s="77" t="str">
        <x:v>Mantenimiento y Evolución</x:v>
      </x:c>
      <x:c r="B27" s="73" t="str">
        <x:v>MNT-02</x:v>
      </x:c>
      <x:c r="C27" s="73" t="str">
        <x:v>Incorporación de nueva funcionalidad</x:v>
      </x:c>
      <x:c r="D27" s="73" t="str">
        <x:v>02 · Optimización digital</x:v>
      </x:c>
      <x:c r="E27" s="73" t="str">
        <x:v>Backend</x:v>
      </x:c>
      <x:c r="F27" s="73" t="str">
        <x:v>MNT2-008</x:v>
      </x:c>
      <x:c r="G27" s="73" t="str">
        <x:v>Servicio o endpoint asociado</x:v>
      </x:c>
      <x:c r="H27" s="73" t="str">
        <x:v>Servicio</x:v>
      </x:c>
      <x:c r="I27" s="85" t="n">
        <x:v>1</x:v>
      </x:c>
      <x:c r="J27" s="85" t="str">
        <x:v>Sí</x:v>
      </x:c>
      <x:c r="K27" s="85" t="str">
        <x:v>No</x:v>
      </x:c>
      <x:c r="L27" s="85" t="n">
        <x:v>3</x:v>
      </x:c>
      <x:c r="M27" s="85" t="str">
        <x:v>Parcial</x:v>
      </x:c>
      <x:c r="N27" s="85" t="n">
        <x:v>0.9</x:v>
      </x:c>
      <x:c r="O27" s="85" t="n">
        <x:v>2.7</x:v>
      </x:c>
      <x:c r="P27" s="85" t="str">
        <x:v>Alta</x:v>
      </x:c>
      <x:c r="Q27" s="85" t="n">
        <x:v>1</x:v>
      </x:c>
      <x:c r="R27" s="85" t="n">
        <x:v>1.45</x:v>
      </x:c>
      <x:c r="S27" s="85" t="n">
        <x:v>1.8</x:v>
      </x:c>
      <x:c r="T27" s="85" t="n">
        <x:v>2.7</x:v>
      </x:c>
      <x:c r="U27" s="85" t="n">
        <x:v>3.915</x:v>
      </x:c>
      <x:c r="V27" s="85" t="n">
        <x:v>4.86</x:v>
      </x:c>
      <x:c r="W27" s="73" t="str">
        <x:v>MNT2-006</x:v>
      </x:c>
      <x:c r="X27" s="73" t="str">
        <x:v>Servicio funcional</x:v>
      </x:c>
      <x:c r="Y27" s="73" t="str">
        <x:v>Consulta, persistencia y errores</x:v>
      </x:c>
      <x:c r="Z27" s="73"/>
      <x:c r="AA27" s="73" t="str">
        <x:v>Preliminar</x:v>
      </x:c>
      <x:c r="AB27" s="78" t="str">
        <x:v>Estimación técnica ISM · Validar</x:v>
      </x:c>
    </x:row>
    <x:row r="28">
      <x:c r="A28" s="77" t="str">
        <x:v>Mantenimiento y Evolución</x:v>
      </x:c>
      <x:c r="B28" s="73" t="str">
        <x:v>MNT-02</x:v>
      </x:c>
      <x:c r="C28" s="73" t="str">
        <x:v>Incorporación de nueva funcionalidad</x:v>
      </x:c>
      <x:c r="D28" s="73" t="str">
        <x:v>02 · Optimización digital</x:v>
      </x:c>
      <x:c r="E28" s="73" t="str">
        <x:v>Frontend</x:v>
      </x:c>
      <x:c r="F28" s="73" t="str">
        <x:v>MNT2-009</x:v>
      </x:c>
      <x:c r="G28" s="73" t="str">
        <x:v>Pantalla o componente de funcionalidad</x:v>
      </x:c>
      <x:c r="H28" s="73" t="str">
        <x:v>Pantalla</x:v>
      </x:c>
      <x:c r="I28" s="85" t="n">
        <x:v>2</x:v>
      </x:c>
      <x:c r="J28" s="85" t="str">
        <x:v>Sí</x:v>
      </x:c>
      <x:c r="K28" s="85" t="str">
        <x:v>No</x:v>
      </x:c>
      <x:c r="L28" s="85" t="n">
        <x:v>3</x:v>
      </x:c>
      <x:c r="M28" s="85" t="str">
        <x:v>Parcial</x:v>
      </x:c>
      <x:c r="N28" s="85" t="n">
        <x:v>0.8</x:v>
      </x:c>
      <x:c r="O28" s="85" t="n">
        <x:v>2.4000000000000004</x:v>
      </x:c>
      <x:c r="P28" s="85" t="str">
        <x:v>Alta</x:v>
      </x:c>
      <x:c r="Q28" s="85" t="n">
        <x:v>1</x:v>
      </x:c>
      <x:c r="R28" s="85" t="n">
        <x:v>1.45</x:v>
      </x:c>
      <x:c r="S28" s="85" t="n">
        <x:v>1.8</x:v>
      </x:c>
      <x:c r="T28" s="85" t="n">
        <x:v>4.800000000000001</x:v>
      </x:c>
      <x:c r="U28" s="85" t="n">
        <x:v>6.960000000000001</x:v>
      </x:c>
      <x:c r="V28" s="85" t="n">
        <x:v>8.640000000000002</x:v>
      </x:c>
      <x:c r="W28" s="73" t="str">
        <x:v>MNT2-005</x:v>
      </x:c>
      <x:c r="X28" s="73" t="str">
        <x:v>Interfaz funcional</x:v>
      </x:c>
      <x:c r="Y28" s="73" t="str">
        <x:v>Estados, validaciones y responsive</x:v>
      </x:c>
      <x:c r="Z28" s="73"/>
      <x:c r="AA28" s="73" t="str">
        <x:v>Preliminar</x:v>
      </x:c>
      <x:c r="AB28" s="78" t="str">
        <x:v>Estimación técnica ISM · Validar</x:v>
      </x:c>
    </x:row>
    <x:row r="29">
      <x:c r="A29" s="77" t="str">
        <x:v>Mantenimiento y Evolución</x:v>
      </x:c>
      <x:c r="B29" s="73" t="str">
        <x:v>MNT-02</x:v>
      </x:c>
      <x:c r="C29" s="73" t="str">
        <x:v>Incorporación de nueva funcionalidad</x:v>
      </x:c>
      <x:c r="D29" s="73" t="str">
        <x:v>02 · Optimización digital</x:v>
      </x:c>
      <x:c r="E29" s="73" t="str">
        <x:v>Seguridad</x:v>
      </x:c>
      <x:c r="F29" s="73" t="str">
        <x:v>MNT2-010</x:v>
      </x:c>
      <x:c r="G29" s="73" t="str">
        <x:v>Ajuste de permisos y acceso</x:v>
      </x:c>
      <x:c r="H29" s="73" t="str">
        <x:v>Rol</x:v>
      </x:c>
      <x:c r="I29" s="85" t="n">
        <x:v>2</x:v>
      </x:c>
      <x:c r="J29" s="85" t="str">
        <x:v>Sí</x:v>
      </x:c>
      <x:c r="K29" s="85" t="str">
        <x:v>No</x:v>
      </x:c>
      <x:c r="L29" s="85" t="n">
        <x:v>1</x:v>
      </x:c>
      <x:c r="M29" s="85" t="str">
        <x:v>Parcial</x:v>
      </x:c>
      <x:c r="N29" s="85" t="n">
        <x:v>0.85</x:v>
      </x:c>
      <x:c r="O29" s="85" t="n">
        <x:v>0.85</x:v>
      </x:c>
      <x:c r="P29" s="85" t="str">
        <x:v>Alta</x:v>
      </x:c>
      <x:c r="Q29" s="85" t="n">
        <x:v>1</x:v>
      </x:c>
      <x:c r="R29" s="85" t="n">
        <x:v>1.45</x:v>
      </x:c>
      <x:c r="S29" s="85" t="n">
        <x:v>1.8</x:v>
      </x:c>
      <x:c r="T29" s="85" t="n">
        <x:v>1.7</x:v>
      </x:c>
      <x:c r="U29" s="85" t="n">
        <x:v>2.465</x:v>
      </x:c>
      <x:c r="V29" s="85" t="n">
        <x:v>3.06</x:v>
      </x:c>
      <x:c r="W29" s="73" t="str">
        <x:v>MNT2-002</x:v>
      </x:c>
      <x:c r="X29" s="73" t="str">
        <x:v>Permisos aplicados</x:v>
      </x:c>
      <x:c r="Y29" s="73" t="str">
        <x:v>Visibilidad y acciones por rol</x:v>
      </x:c>
      <x:c r="Z29" s="73"/>
      <x:c r="AA29" s="73" t="str">
        <x:v>Preliminar</x:v>
      </x:c>
      <x:c r="AB29" s="78" t="str">
        <x:v>Estimación técnica ISM · Validar</x:v>
      </x:c>
    </x:row>
    <x:row r="30">
      <x:c r="A30" s="77" t="str">
        <x:v>Mantenimiento y Evolución</x:v>
      </x:c>
      <x:c r="B30" s="73" t="str">
        <x:v>MNT-02</x:v>
      </x:c>
      <x:c r="C30" s="73" t="str">
        <x:v>Incorporación de nueva funcionalidad</x:v>
      </x:c>
      <x:c r="D30" s="73" t="str">
        <x:v>02 · Optimización digital</x:v>
      </x:c>
      <x:c r="E30" s="73" t="str">
        <x:v>Integración</x:v>
      </x:c>
      <x:c r="F30" s="73" t="str">
        <x:v>MNT2-011</x:v>
      </x:c>
      <x:c r="G30" s="73" t="str">
        <x:v>Notificación o exportación asociada</x:v>
      </x:c>
      <x:c r="H30" s="73" t="str">
        <x:v>Integración</x:v>
      </x:c>
      <x:c r="I30" s="85" t="n">
        <x:v>0</x:v>
      </x:c>
      <x:c r="J30" s="85" t="str">
        <x:v>No</x:v>
      </x:c>
      <x:c r="K30" s="85" t="str">
        <x:v>No</x:v>
      </x:c>
      <x:c r="L30" s="85" t="n">
        <x:v>3</x:v>
      </x:c>
      <x:c r="M30" s="85" t="str">
        <x:v>Parcial</x:v>
      </x:c>
      <x:c r="N30" s="85" t="n">
        <x:v>0.85</x:v>
      </x:c>
      <x:c r="O30" s="85" t="n">
        <x:v>2.55</x:v>
      </x:c>
      <x:c r="P30" s="85" t="str">
        <x:v>Alta</x:v>
      </x:c>
      <x:c r="Q30" s="85" t="n">
        <x:v>1</x:v>
      </x:c>
      <x:c r="R30" s="85" t="n">
        <x:v>1.45</x:v>
      </x:c>
      <x:c r="S30" s="85" t="n">
        <x:v>1.8</x:v>
      </x:c>
      <x:c r="T30" s="85" t="n">
        <x:v>0</x:v>
      </x:c>
      <x:c r="U30" s="85" t="n">
        <x:v>0</x:v>
      </x:c>
      <x:c r="V30" s="85" t="n">
        <x:v>0</x:v>
      </x:c>
      <x:c r="W30" s="73"/>
      <x:c r="X30" s="73" t="str">
        <x:v>Integración funcional</x:v>
      </x:c>
      <x:c r="Y30" s="73" t="str">
        <x:v>Correo, Excel, PDF u otro canal</x:v>
      </x:c>
      <x:c r="Z30" s="73"/>
      <x:c r="AA30" s="73" t="str">
        <x:v>Preliminar</x:v>
      </x:c>
      <x:c r="AB30" s="78" t="str">
        <x:v>Estimación técnica ISM · Validar</x:v>
      </x:c>
    </x:row>
    <x:row r="31">
      <x:c r="A31" s="77" t="str">
        <x:v>Mantenimiento y Evolución</x:v>
      </x:c>
      <x:c r="B31" s="73" t="str">
        <x:v>MNT-02</x:v>
      </x:c>
      <x:c r="C31" s="73" t="str">
        <x:v>Incorporación de nueva funcionalidad</x:v>
      </x:c>
      <x:c r="D31" s="73" t="str">
        <x:v>02 · Optimización digital</x:v>
      </x:c>
      <x:c r="E31" s="73" t="str">
        <x:v>Calidad</x:v>
      </x:c>
      <x:c r="F31" s="73" t="str">
        <x:v>MNT2-012</x:v>
      </x:c>
      <x:c r="G31" s="73" t="str">
        <x:v>Pruebas unitarias y de reglas</x:v>
      </x:c>
      <x:c r="H31" s="73" t="str">
        <x:v>Caso</x:v>
      </x:c>
      <x:c r="I31" s="85" t="n">
        <x:v>3</x:v>
      </x:c>
      <x:c r="J31" s="85" t="str">
        <x:v>Sí</x:v>
      </x:c>
      <x:c r="K31" s="85" t="str">
        <x:v>No</x:v>
      </x:c>
      <x:c r="L31" s="85" t="n">
        <x:v>1</x:v>
      </x:c>
      <x:c r="M31" s="85" t="str">
        <x:v>Parcial</x:v>
      </x:c>
      <x:c r="N31" s="85" t="n">
        <x:v>0.9</x:v>
      </x:c>
      <x:c r="O31" s="85" t="n">
        <x:v>0.9</x:v>
      </x:c>
      <x:c r="P31" s="85" t="str">
        <x:v>Alta</x:v>
      </x:c>
      <x:c r="Q31" s="85" t="n">
        <x:v>1</x:v>
      </x:c>
      <x:c r="R31" s="85" t="n">
        <x:v>1.45</x:v>
      </x:c>
      <x:c r="S31" s="85" t="n">
        <x:v>1.8</x:v>
      </x:c>
      <x:c r="T31" s="85" t="n">
        <x:v>2.7</x:v>
      </x:c>
      <x:c r="U31" s="85" t="n">
        <x:v>3.915</x:v>
      </x:c>
      <x:c r="V31" s="85" t="n">
        <x:v>4.86</x:v>
      </x:c>
      <x:c r="W31" s="73" t="str">
        <x:v>MNT2-007</x:v>
      </x:c>
      <x:c r="X31" s="73" t="str">
        <x:v>Pruebas ejecutadas</x:v>
      </x:c>
      <x:c r="Y31" s="73" t="str">
        <x:v>Casos normales, errores y límites</x:v>
      </x:c>
      <x:c r="Z31" s="73"/>
      <x:c r="AA31" s="73" t="str">
        <x:v>Preliminar</x:v>
      </x:c>
      <x:c r="AB31" s="78" t="str">
        <x:v>Estimación técnica ISM · Validar</x:v>
      </x:c>
    </x:row>
    <x:row r="32">
      <x:c r="A32" s="77" t="str">
        <x:v>Mantenimiento y Evolución</x:v>
      </x:c>
      <x:c r="B32" s="73" t="str">
        <x:v>MNT-02</x:v>
      </x:c>
      <x:c r="C32" s="73" t="str">
        <x:v>Incorporación de nueva funcionalidad</x:v>
      </x:c>
      <x:c r="D32" s="73" t="str">
        <x:v>02 · Optimización digital</x:v>
      </x:c>
      <x:c r="E32" s="73" t="str">
        <x:v>Calidad</x:v>
      </x:c>
      <x:c r="F32" s="73" t="str">
        <x:v>MNT2-013</x:v>
      </x:c>
      <x:c r="G32" s="73" t="str">
        <x:v>Pruebas de integración y regresión</x:v>
      </x:c>
      <x:c r="H32" s="73" t="str">
        <x:v>Proyecto</x:v>
      </x:c>
      <x:c r="I32" s="85" t="n">
        <x:v>1</x:v>
      </x:c>
      <x:c r="J32" s="85" t="str">
        <x:v>Sí</x:v>
      </x:c>
      <x:c r="K32" s="85" t="str">
        <x:v>Sí</x:v>
      </x:c>
      <x:c r="L32" s="85" t="n">
        <x:v>3</x:v>
      </x:c>
      <x:c r="M32" s="85" t="str">
        <x:v>No</x:v>
      </x:c>
      <x:c r="N32" s="85" t="n">
        <x:v>1</x:v>
      </x:c>
      <x:c r="O32" s="85" t="n">
        <x:v>3</x:v>
      </x:c>
      <x:c r="P32" s="85" t="str">
        <x:v>Alta</x:v>
      </x:c>
      <x:c r="Q32" s="85" t="n">
        <x:v>1</x:v>
      </x:c>
      <x:c r="R32" s="85" t="n">
        <x:v>1.45</x:v>
      </x:c>
      <x:c r="S32" s="85" t="n">
        <x:v>1.8</x:v>
      </x:c>
      <x:c r="T32" s="85" t="n">
        <x:v>3</x:v>
      </x:c>
      <x:c r="U32" s="85" t="n">
        <x:v>4.35</x:v>
      </x:c>
      <x:c r="V32" s="85" t="n">
        <x:v>5.4</x:v>
      </x:c>
      <x:c r="W32" s="73"/>
      <x:c r="X32" s="73" t="str">
        <x:v>Informe QA</x:v>
      </x:c>
      <x:c r="Y32" s="73" t="str">
        <x:v>Flujo nuevo y funciones existentes relacionadas</x:v>
      </x:c>
      <x:c r="Z32" s="73"/>
      <x:c r="AA32" s="73" t="str">
        <x:v>Preliminar</x:v>
      </x:c>
      <x:c r="AB32" s="78" t="str">
        <x:v>Estimación técnica ISM · Validar</x:v>
      </x:c>
    </x:row>
    <x:row r="33">
      <x:c r="A33" s="77" t="str">
        <x:v>Mantenimiento y Evolución</x:v>
      </x:c>
      <x:c r="B33" s="73" t="str">
        <x:v>MNT-02</x:v>
      </x:c>
      <x:c r="C33" s="73" t="str">
        <x:v>Incorporación de nueva funcionalidad</x:v>
      </x:c>
      <x:c r="D33" s="73" t="str">
        <x:v>02 · Optimización digital</x:v>
      </x:c>
      <x:c r="E33" s="73" t="str">
        <x:v>Despliegue</x:v>
      </x:c>
      <x:c r="F33" s="73" t="str">
        <x:v>MNT2-014</x:v>
      </x:c>
      <x:c r="G33" s="73" t="str">
        <x:v>Migración y despliegue controlado</x:v>
      </x:c>
      <x:c r="H33" s="73" t="str">
        <x:v>Entorno</x:v>
      </x:c>
      <x:c r="I33" s="85" t="n">
        <x:v>1</x:v>
      </x:c>
      <x:c r="J33" s="85" t="str">
        <x:v>Sí</x:v>
      </x:c>
      <x:c r="K33" s="85" t="str">
        <x:v>Sí</x:v>
      </x:c>
      <x:c r="L33" s="85" t="n">
        <x:v>2</x:v>
      </x:c>
      <x:c r="M33" s="85" t="str">
        <x:v>Parcial</x:v>
      </x:c>
      <x:c r="N33" s="85" t="n">
        <x:v>0.85</x:v>
      </x:c>
      <x:c r="O33" s="85" t="n">
        <x:v>1.7</x:v>
      </x:c>
      <x:c r="P33" s="85" t="str">
        <x:v>Alta</x:v>
      </x:c>
      <x:c r="Q33" s="85" t="n">
        <x:v>1</x:v>
      </x:c>
      <x:c r="R33" s="85" t="n">
        <x:v>1.45</x:v>
      </x:c>
      <x:c r="S33" s="85" t="n">
        <x:v>1.8</x:v>
      </x:c>
      <x:c r="T33" s="85" t="n">
        <x:v>1.7</x:v>
      </x:c>
      <x:c r="U33" s="85" t="n">
        <x:v>2.465</x:v>
      </x:c>
      <x:c r="V33" s="85" t="n">
        <x:v>3.06</x:v>
      </x:c>
      <x:c r="W33" s="73" t="str">
        <x:v>MNT2-013</x:v>
      </x:c>
      <x:c r="X33" s="73" t="str">
        <x:v>Versión desplegada</x:v>
      </x:c>
      <x:c r="Y33" s="73" t="str">
        <x:v>Respaldo, migración, build y validación</x:v>
      </x:c>
      <x:c r="Z33" s="73"/>
      <x:c r="AA33" s="73" t="str">
        <x:v>Preliminar</x:v>
      </x:c>
      <x:c r="AB33" s="78" t="str">
        <x:v>Estimación técnica ISM · Validar</x:v>
      </x:c>
    </x:row>
    <x:row r="34">
      <x:c r="A34" s="77" t="str">
        <x:v>Mantenimiento y Evolución</x:v>
      </x:c>
      <x:c r="B34" s="73" t="str">
        <x:v>MNT-02</x:v>
      </x:c>
      <x:c r="C34" s="73" t="str">
        <x:v>Incorporación de nueva funcionalidad</x:v>
      </x:c>
      <x:c r="D34" s="73" t="str">
        <x:v>02 · Optimización digital</x:v>
      </x:c>
      <x:c r="E34" s="73" t="str">
        <x:v>Cierre</x:v>
      </x:c>
      <x:c r="F34" s="73" t="str">
        <x:v>MNT2-015</x:v>
      </x:c>
      <x:c r="G34" s="73" t="str">
        <x:v>Documentación y capacitación breve</x:v>
      </x:c>
      <x:c r="H34" s="73" t="str">
        <x:v>Funcionalidad</x:v>
      </x:c>
      <x:c r="I34" s="85" t="n">
        <x:v>1</x:v>
      </x:c>
      <x:c r="J34" s="85" t="str">
        <x:v>Sí</x:v>
      </x:c>
      <x:c r="K34" s="85" t="str">
        <x:v>No</x:v>
      </x:c>
      <x:c r="L34" s="85" t="n">
        <x:v>1.5</x:v>
      </x:c>
      <x:c r="M34" s="85" t="str">
        <x:v>No</x:v>
      </x:c>
      <x:c r="N34" s="85" t="n">
        <x:v>1</x:v>
      </x:c>
      <x:c r="O34" s="85" t="n">
        <x:v>1.5</x:v>
      </x:c>
      <x:c r="P34" s="85" t="str">
        <x:v>Media</x:v>
      </x:c>
      <x:c r="Q34" s="85" t="n">
        <x:v>1</x:v>
      </x:c>
      <x:c r="R34" s="85" t="n">
        <x:v>1.3</x:v>
      </x:c>
      <x:c r="S34" s="85" t="n">
        <x:v>1.55</x:v>
      </x:c>
      <x:c r="T34" s="85" t="n">
        <x:v>1.5</x:v>
      </x:c>
      <x:c r="U34" s="85" t="n">
        <x:v>1.9500000000000002</x:v>
      </x:c>
      <x:c r="V34" s="85" t="n">
        <x:v>2.325</x:v>
      </x:c>
      <x:c r="W34" s="73"/>
      <x:c r="X34" s="73" t="str">
        <x:v>Guía de uso</x:v>
      </x:c>
      <x:c r="Y34" s="73" t="str">
        <x:v>Cambios, uso y consideraciones</x:v>
      </x:c>
      <x:c r="Z34" s="73"/>
      <x:c r="AA34" s="73" t="str">
        <x:v>Preliminar</x:v>
      </x:c>
      <x:c r="AB34" s="78" t="str">
        <x:v>Estimación técnica ISM · Validar</x:v>
      </x:c>
    </x:row>
    <x:row r="35">
      <x:c r="A35" s="77" t="str">
        <x:v>Mantenimiento y Evolución</x:v>
      </x:c>
      <x:c r="B35" s="73" t="str">
        <x:v>MNT-03</x:v>
      </x:c>
      <x:c r="C35" s="73" t="str">
        <x:v>Modernización, refactorización y actualización tecnológica</x:v>
      </x:c>
      <x:c r="D35" s="73" t="str">
        <x:v>03 · Consolidación digital</x:v>
      </x:c>
      <x:c r="E35" s="73" t="str">
        <x:v>Auditoría</x:v>
      </x:c>
      <x:c r="F35" s="73" t="str">
        <x:v>MNT3-001</x:v>
      </x:c>
      <x:c r="G35" s="73" t="str">
        <x:v>Inventario técnico de componentes y versiones</x:v>
      </x:c>
      <x:c r="H35" s="73" t="str">
        <x:v>Proyecto</x:v>
      </x:c>
      <x:c r="I35" s="85" t="n">
        <x:v>1</x:v>
      </x:c>
      <x:c r="J35" s="85" t="str">
        <x:v>Sí</x:v>
      </x:c>
      <x:c r="K35" s="85" t="str">
        <x:v>Sí</x:v>
      </x:c>
      <x:c r="L35" s="85" t="n">
        <x:v>3</x:v>
      </x:c>
      <x:c r="M35" s="85" t="str">
        <x:v>No</x:v>
      </x:c>
      <x:c r="N35" s="85" t="n">
        <x:v>1</x:v>
      </x:c>
      <x:c r="O35" s="85" t="n">
        <x:v>3</x:v>
      </x:c>
      <x:c r="P35" s="85" t="str">
        <x:v>Alta</x:v>
      </x:c>
      <x:c r="Q35" s="85" t="n">
        <x:v>1</x:v>
      </x:c>
      <x:c r="R35" s="85" t="n">
        <x:v>1.45</x:v>
      </x:c>
      <x:c r="S35" s="85" t="n">
        <x:v>1.8</x:v>
      </x:c>
      <x:c r="T35" s="85" t="n">
        <x:v>3</x:v>
      </x:c>
      <x:c r="U35" s="85" t="n">
        <x:v>4.35</x:v>
      </x:c>
      <x:c r="V35" s="85" t="n">
        <x:v>5.4</x:v>
      </x:c>
      <x:c r="W35" s="73"/>
      <x:c r="X35" s="73" t="str">
        <x:v>Inventario técnico</x:v>
      </x:c>
      <x:c r="Y35" s="73" t="str">
        <x:v>Frameworks, dependencias, servicios y despliegues</x:v>
      </x:c>
      <x:c r="Z35" s="73"/>
      <x:c r="AA35" s="73" t="str">
        <x:v>Preliminar</x:v>
      </x:c>
      <x:c r="AB35" s="78" t="str">
        <x:v>Estimación técnica ISM · Validar</x:v>
      </x:c>
    </x:row>
    <x:row r="36">
      <x:c r="A36" s="77" t="str">
        <x:v>Mantenimiento y Evolución</x:v>
      </x:c>
      <x:c r="B36" s="73" t="str">
        <x:v>MNT-03</x:v>
      </x:c>
      <x:c r="C36" s="73" t="str">
        <x:v>Modernización, refactorización y actualización tecnológica</x:v>
      </x:c>
      <x:c r="D36" s="73" t="str">
        <x:v>03 · Consolidación digital</x:v>
      </x:c>
      <x:c r="E36" s="73" t="str">
        <x:v>Auditoría</x:v>
      </x:c>
      <x:c r="F36" s="73" t="str">
        <x:v>MNT3-002</x:v>
      </x:c>
      <x:c r="G36" s="73" t="str">
        <x:v>Análisis de deuda técnica y riesgos</x:v>
      </x:c>
      <x:c r="H36" s="73" t="str">
        <x:v>Proyecto</x:v>
      </x:c>
      <x:c r="I36" s="85" t="n">
        <x:v>1</x:v>
      </x:c>
      <x:c r="J36" s="85" t="str">
        <x:v>Sí</x:v>
      </x:c>
      <x:c r="K36" s="85" t="str">
        <x:v>Sí</x:v>
      </x:c>
      <x:c r="L36" s="85" t="n">
        <x:v>4</x:v>
      </x:c>
      <x:c r="M36" s="85" t="str">
        <x:v>No</x:v>
      </x:c>
      <x:c r="N36" s="85" t="n">
        <x:v>1</x:v>
      </x:c>
      <x:c r="O36" s="85" t="n">
        <x:v>4</x:v>
      </x:c>
      <x:c r="P36" s="85" t="str">
        <x:v>Alta</x:v>
      </x:c>
      <x:c r="Q36" s="85" t="n">
        <x:v>1</x:v>
      </x:c>
      <x:c r="R36" s="85" t="n">
        <x:v>1.45</x:v>
      </x:c>
      <x:c r="S36" s="85" t="n">
        <x:v>1.8</x:v>
      </x:c>
      <x:c r="T36" s="85" t="n">
        <x:v>4</x:v>
      </x:c>
      <x:c r="U36" s="85" t="n">
        <x:v>5.8</x:v>
      </x:c>
      <x:c r="V36" s="85" t="n">
        <x:v>7.2</x:v>
      </x:c>
      <x:c r="W36" s="73" t="str">
        <x:v>MNT3-001</x:v>
      </x:c>
      <x:c r="X36" s="73" t="str">
        <x:v>Matriz de deuda</x:v>
      </x:c>
      <x:c r="Y36" s="73" t="str">
        <x:v>Complejidad, obsolescencia, seguridad y mantenibilidad</x:v>
      </x:c>
      <x:c r="Z36" s="73"/>
      <x:c r="AA36" s="73" t="str">
        <x:v>Preliminar</x:v>
      </x:c>
      <x:c r="AB36" s="78" t="str">
        <x:v>Estimación técnica ISM · Validar</x:v>
      </x:c>
    </x:row>
    <x:row r="37">
      <x:c r="A37" s="77" t="str">
        <x:v>Mantenimiento y Evolución</x:v>
      </x:c>
      <x:c r="B37" s="73" t="str">
        <x:v>MNT-03</x:v>
      </x:c>
      <x:c r="C37" s="73" t="str">
        <x:v>Modernización, refactorización y actualización tecnológica</x:v>
      </x:c>
      <x:c r="D37" s="73" t="str">
        <x:v>03 · Consolidación digital</x:v>
      </x:c>
      <x:c r="E37" s="73" t="str">
        <x:v>Planificación</x:v>
      </x:c>
      <x:c r="F37" s="73" t="str">
        <x:v>MNT3-003</x:v>
      </x:c>
      <x:c r="G37" s="73" t="str">
        <x:v>Definición de estrategia de modernización</x:v>
      </x:c>
      <x:c r="H37" s="73" t="str">
        <x:v>Proyecto</x:v>
      </x:c>
      <x:c r="I37" s="85" t="n">
        <x:v>1</x:v>
      </x:c>
      <x:c r="J37" s="85" t="str">
        <x:v>Sí</x:v>
      </x:c>
      <x:c r="K37" s="85" t="str">
        <x:v>Sí</x:v>
      </x:c>
      <x:c r="L37" s="85" t="n">
        <x:v>3</x:v>
      </x:c>
      <x:c r="M37" s="85" t="str">
        <x:v>No</x:v>
      </x:c>
      <x:c r="N37" s="85" t="n">
        <x:v>1</x:v>
      </x:c>
      <x:c r="O37" s="85" t="n">
        <x:v>3</x:v>
      </x:c>
      <x:c r="P37" s="85" t="str">
        <x:v>Alta</x:v>
      </x:c>
      <x:c r="Q37" s="85" t="n">
        <x:v>1</x:v>
      </x:c>
      <x:c r="R37" s="85" t="n">
        <x:v>1.45</x:v>
      </x:c>
      <x:c r="S37" s="85" t="n">
        <x:v>1.8</x:v>
      </x:c>
      <x:c r="T37" s="85" t="n">
        <x:v>3</x:v>
      </x:c>
      <x:c r="U37" s="85" t="n">
        <x:v>4.35</x:v>
      </x:c>
      <x:c r="V37" s="85" t="n">
        <x:v>5.4</x:v>
      </x:c>
      <x:c r="W37" s="73" t="str">
        <x:v>MNT3-002</x:v>
      </x:c>
      <x:c r="X37" s="73" t="str">
        <x:v>Roadmap técnico</x:v>
      </x:c>
      <x:c r="Y37" s="73" t="str">
        <x:v>Fases, prioridades, dependencias y reversa</x:v>
      </x:c>
      <x:c r="Z37" s="73"/>
      <x:c r="AA37" s="73" t="str">
        <x:v>Preliminar</x:v>
      </x:c>
      <x:c r="AB37" s="78" t="str">
        <x:v>Estimación técnica ISM · Validar</x:v>
      </x:c>
    </x:row>
    <x:row r="38">
      <x:c r="A38" s="77" t="str">
        <x:v>Mantenimiento y Evolución</x:v>
      </x:c>
      <x:c r="B38" s="73" t="str">
        <x:v>MNT-03</x:v>
      </x:c>
      <x:c r="C38" s="73" t="str">
        <x:v>Modernización, refactorización y actualización tecnológica</x:v>
      </x:c>
      <x:c r="D38" s="73" t="str">
        <x:v>03 · Consolidación digital</x:v>
      </x:c>
      <x:c r="E38" s="73" t="str">
        <x:v>Preparación</x:v>
      </x:c>
      <x:c r="F38" s="73" t="str">
        <x:v>MNT3-004</x:v>
      </x:c>
      <x:c r="G38" s="73" t="str">
        <x:v>Creación de línea base de pruebas</x:v>
      </x:c>
      <x:c r="H38" s="73" t="str">
        <x:v>Flujo</x:v>
      </x:c>
      <x:c r="I38" s="85" t="n">
        <x:v>3</x:v>
      </x:c>
      <x:c r="J38" s="85" t="str">
        <x:v>Sí</x:v>
      </x:c>
      <x:c r="K38" s="85" t="str">
        <x:v>Sí</x:v>
      </x:c>
      <x:c r="L38" s="85" t="n">
        <x:v>2</x:v>
      </x:c>
      <x:c r="M38" s="85" t="str">
        <x:v>No</x:v>
      </x:c>
      <x:c r="N38" s="85" t="n">
        <x:v>1</x:v>
      </x:c>
      <x:c r="O38" s="85" t="n">
        <x:v>2</x:v>
      </x:c>
      <x:c r="P38" s="85" t="str">
        <x:v>Alta</x:v>
      </x:c>
      <x:c r="Q38" s="85" t="n">
        <x:v>1</x:v>
      </x:c>
      <x:c r="R38" s="85" t="n">
        <x:v>1.45</x:v>
      </x:c>
      <x:c r="S38" s="85" t="n">
        <x:v>1.8</x:v>
      </x:c>
      <x:c r="T38" s="85" t="n">
        <x:v>6</x:v>
      </x:c>
      <x:c r="U38" s="85" t="n">
        <x:v>8.7</x:v>
      </x:c>
      <x:c r="V38" s="85" t="n">
        <x:v>10.8</x:v>
      </x:c>
      <x:c r="W38" s="73" t="str">
        <x:v>MNT3-003</x:v>
      </x:c>
      <x:c r="X38" s="73" t="str">
        <x:v>Pruebas base</x:v>
      </x:c>
      <x:c r="Y38" s="73" t="str">
        <x:v>Comportamiento actual protegido antes de cambios</x:v>
      </x:c>
      <x:c r="Z38" s="73"/>
      <x:c r="AA38" s="73" t="str">
        <x:v>Preliminar</x:v>
      </x:c>
      <x:c r="AB38" s="78" t="str">
        <x:v>Estimación técnica ISM · Validar</x:v>
      </x:c>
    </x:row>
    <x:row r="39">
      <x:c r="A39" s="77" t="str">
        <x:v>Mantenimiento y Evolución</x:v>
      </x:c>
      <x:c r="B39" s="73" t="str">
        <x:v>MNT-03</x:v>
      </x:c>
      <x:c r="C39" s="73" t="str">
        <x:v>Modernización, refactorización y actualización tecnológica</x:v>
      </x:c>
      <x:c r="D39" s="73" t="str">
        <x:v>03 · Consolidación digital</x:v>
      </x:c>
      <x:c r="E39" s="73" t="str">
        <x:v>Dependencias</x:v>
      </x:c>
      <x:c r="F39" s="73" t="str">
        <x:v>MNT3-005</x:v>
      </x:c>
      <x:c r="G39" s="73" t="str">
        <x:v>Actualización de dependencia estándar</x:v>
      </x:c>
      <x:c r="H39" s="73" t="str">
        <x:v>Dependencia</x:v>
      </x:c>
      <x:c r="I39" s="85" t="n">
        <x:v>5</x:v>
      </x:c>
      <x:c r="J39" s="85" t="str">
        <x:v>Sí</x:v>
      </x:c>
      <x:c r="K39" s="85" t="str">
        <x:v>No</x:v>
      </x:c>
      <x:c r="L39" s="85" t="n">
        <x:v>0.75</x:v>
      </x:c>
      <x:c r="M39" s="85" t="str">
        <x:v>Parcial</x:v>
      </x:c>
      <x:c r="N39" s="85" t="n">
        <x:v>0.9</x:v>
      </x:c>
      <x:c r="O39" s="85" t="n">
        <x:v>0.675</x:v>
      </x:c>
      <x:c r="P39" s="85" t="str">
        <x:v>Media</x:v>
      </x:c>
      <x:c r="Q39" s="85" t="n">
        <x:v>1</x:v>
      </x:c>
      <x:c r="R39" s="85" t="n">
        <x:v>1.3</x:v>
      </x:c>
      <x:c r="S39" s="85" t="n">
        <x:v>1.55</x:v>
      </x:c>
      <x:c r="T39" s="85" t="n">
        <x:v>3.375</x:v>
      </x:c>
      <x:c r="U39" s="85" t="n">
        <x:v>4.3875</x:v>
      </x:c>
      <x:c r="V39" s="85" t="n">
        <x:v>5.23125</x:v>
      </x:c>
      <x:c r="W39" s="73" t="str">
        <x:v>MNT3-004</x:v>
      </x:c>
      <x:c r="X39" s="73" t="str">
        <x:v>Dependencias actualizadas</x:v>
      </x:c>
      <x:c r="Y39" s="73" t="str">
        <x:v>Actualización rutinaria de versión compatible, ajustes menores y verificación básica por dependencia.</x:v>
      </x:c>
      <x:c r="Z39" s="73" t="str">
        <x:v>La remediación adicional de vulnerabilidades complejas se contabiliza en MNT3-009.</x:v>
      </x:c>
      <x:c r="AA39" s="73" t="str">
        <x:v>Preliminar</x:v>
      </x:c>
      <x:c r="AB39" s="78" t="str">
        <x:v>Estimación técnica ISM · Validar</x:v>
      </x:c>
    </x:row>
    <x:row r="40">
      <x:c r="A40" s="77" t="str">
        <x:v>Mantenimiento y Evolución</x:v>
      </x:c>
      <x:c r="B40" s="73" t="str">
        <x:v>MNT-03</x:v>
      </x:c>
      <x:c r="C40" s="73" t="str">
        <x:v>Modernización, refactorización y actualización tecnológica</x:v>
      </x:c>
      <x:c r="D40" s="73" t="str">
        <x:v>03 · Consolidación digital</x:v>
      </x:c>
      <x:c r="E40" s="73" t="str">
        <x:v>Código</x:v>
      </x:c>
      <x:c r="F40" s="73" t="str">
        <x:v>MNT3-006</x:v>
      </x:c>
      <x:c r="G40" s="73" t="str">
        <x:v>Refactorización de módulo</x:v>
      </x:c>
      <x:c r="H40" s="73" t="str">
        <x:v>Módulo</x:v>
      </x:c>
      <x:c r="I40" s="85" t="n">
        <x:v>2</x:v>
      </x:c>
      <x:c r="J40" s="85" t="str">
        <x:v>Sí</x:v>
      </x:c>
      <x:c r="K40" s="85" t="str">
        <x:v>No</x:v>
      </x:c>
      <x:c r="L40" s="85" t="n">
        <x:v>5</x:v>
      </x:c>
      <x:c r="M40" s="85" t="str">
        <x:v>No</x:v>
      </x:c>
      <x:c r="N40" s="85" t="n">
        <x:v>1</x:v>
      </x:c>
      <x:c r="O40" s="85" t="n">
        <x:v>5</x:v>
      </x:c>
      <x:c r="P40" s="85" t="str">
        <x:v>Alta</x:v>
      </x:c>
      <x:c r="Q40" s="85" t="n">
        <x:v>1</x:v>
      </x:c>
      <x:c r="R40" s="85" t="n">
        <x:v>1.45</x:v>
      </x:c>
      <x:c r="S40" s="85" t="n">
        <x:v>1.8</x:v>
      </x:c>
      <x:c r="T40" s="85" t="n">
        <x:v>10</x:v>
      </x:c>
      <x:c r="U40" s="85" t="n">
        <x:v>14.5</x:v>
      </x:c>
      <x:c r="V40" s="85" t="n">
        <x:v>18</x:v>
      </x:c>
      <x:c r="W40" s="73" t="str">
        <x:v>MNT3-004</x:v>
      </x:c>
      <x:c r="X40" s="73" t="str">
        <x:v>Módulos refactorizados</x:v>
      </x:c>
      <x:c r="Y40" s="73" t="str">
        <x:v>Separación de responsabilidades y legibilidad</x:v>
      </x:c>
      <x:c r="Z40" s="73"/>
      <x:c r="AA40" s="73" t="str">
        <x:v>Preliminar</x:v>
      </x:c>
      <x:c r="AB40" s="78" t="str">
        <x:v>Estimación técnica ISM · Validar</x:v>
      </x:c>
    </x:row>
    <x:row r="41">
      <x:c r="A41" s="77" t="str">
        <x:v>Mantenimiento y Evolución</x:v>
      </x:c>
      <x:c r="B41" s="73" t="str">
        <x:v>MNT-03</x:v>
      </x:c>
      <x:c r="C41" s="73" t="str">
        <x:v>Modernización, refactorización y actualización tecnológica</x:v>
      </x:c>
      <x:c r="D41" s="73" t="str">
        <x:v>03 · Consolidación digital</x:v>
      </x:c>
      <x:c r="E41" s="73" t="str">
        <x:v>Arquitectura</x:v>
      </x:c>
      <x:c r="F41" s="73" t="str">
        <x:v>MNT3-007</x:v>
      </x:c>
      <x:c r="G41" s="73" t="str">
        <x:v>Extracción de componente reutilizable</x:v>
      </x:c>
      <x:c r="H41" s="73" t="str">
        <x:v>Componente</x:v>
      </x:c>
      <x:c r="I41" s="85" t="n">
        <x:v>2</x:v>
      </x:c>
      <x:c r="J41" s="85" t="str">
        <x:v>No</x:v>
      </x:c>
      <x:c r="K41" s="85" t="str">
        <x:v>No</x:v>
      </x:c>
      <x:c r="L41" s="85" t="n">
        <x:v>3</x:v>
      </x:c>
      <x:c r="M41" s="85" t="str">
        <x:v>Parcial</x:v>
      </x:c>
      <x:c r="N41" s="85" t="n">
        <x:v>0.9</x:v>
      </x:c>
      <x:c r="O41" s="85" t="n">
        <x:v>2.7</x:v>
      </x:c>
      <x:c r="P41" s="85" t="str">
        <x:v>Alta</x:v>
      </x:c>
      <x:c r="Q41" s="85" t="n">
        <x:v>1</x:v>
      </x:c>
      <x:c r="R41" s="85" t="n">
        <x:v>1.45</x:v>
      </x:c>
      <x:c r="S41" s="85" t="n">
        <x:v>1.8</x:v>
      </x:c>
      <x:c r="T41" s="85" t="n">
        <x:v>0</x:v>
      </x:c>
      <x:c r="U41" s="85" t="n">
        <x:v>0</x:v>
      </x:c>
      <x:c r="V41" s="85" t="n">
        <x:v>0</x:v>
      </x:c>
      <x:c r="W41" s="73" t="str">
        <x:v>MNT3-006</x:v>
      </x:c>
      <x:c r="X41" s="73" t="str">
        <x:v>Componente reusable</x:v>
      </x:c>
      <x:c r="Y41" s="73" t="str">
        <x:v>Interfaces, pruebas y documentación</x:v>
      </x:c>
      <x:c r="Z41" s="73"/>
      <x:c r="AA41" s="73" t="str">
        <x:v>Preliminar</x:v>
      </x:c>
      <x:c r="AB41" s="78" t="str">
        <x:v>Estimación técnica ISM · Validar</x:v>
      </x:c>
    </x:row>
    <x:row r="42">
      <x:c r="A42" s="77" t="str">
        <x:v>Mantenimiento y Evolución</x:v>
      </x:c>
      <x:c r="B42" s="73" t="str">
        <x:v>MNT-03</x:v>
      </x:c>
      <x:c r="C42" s="73" t="str">
        <x:v>Modernización, refactorización y actualización tecnológica</x:v>
      </x:c>
      <x:c r="D42" s="73" t="str">
        <x:v>03 · Consolidación digital</x:v>
      </x:c>
      <x:c r="E42" s="73" t="str">
        <x:v>Datos</x:v>
      </x:c>
      <x:c r="F42" s="73" t="str">
        <x:v>MNT3-008</x:v>
      </x:c>
      <x:c r="G42" s="73" t="str">
        <x:v>Migración o ajuste de esquema de datos</x:v>
      </x:c>
      <x:c r="H42" s="73" t="str">
        <x:v>Migración</x:v>
      </x:c>
      <x:c r="I42" s="85" t="n">
        <x:v>1</x:v>
      </x:c>
      <x:c r="J42" s="85" t="str">
        <x:v>No</x:v>
      </x:c>
      <x:c r="K42" s="85" t="str">
        <x:v>No</x:v>
      </x:c>
      <x:c r="L42" s="85" t="n">
        <x:v>4</x:v>
      </x:c>
      <x:c r="M42" s="85" t="str">
        <x:v>No</x:v>
      </x:c>
      <x:c r="N42" s="85" t="n">
        <x:v>1</x:v>
      </x:c>
      <x:c r="O42" s="85" t="n">
        <x:v>4</x:v>
      </x:c>
      <x:c r="P42" s="85" t="str">
        <x:v>Alta</x:v>
      </x:c>
      <x:c r="Q42" s="85" t="n">
        <x:v>1</x:v>
      </x:c>
      <x:c r="R42" s="85" t="n">
        <x:v>1.45</x:v>
      </x:c>
      <x:c r="S42" s="85" t="n">
        <x:v>1.8</x:v>
      </x:c>
      <x:c r="T42" s="85" t="n">
        <x:v>0</x:v>
      </x:c>
      <x:c r="U42" s="85" t="n">
        <x:v>0</x:v>
      </x:c>
      <x:c r="V42" s="85" t="n">
        <x:v>0</x:v>
      </x:c>
      <x:c r="W42" s="73" t="str">
        <x:v>MNT3-003</x:v>
      </x:c>
      <x:c r="X42" s="73" t="str">
        <x:v>Migración validada</x:v>
      </x:c>
      <x:c r="Y42" s="73" t="str">
        <x:v>Transformación, respaldo y conciliación</x:v>
      </x:c>
      <x:c r="Z42" s="73"/>
      <x:c r="AA42" s="73" t="str">
        <x:v>Preliminar</x:v>
      </x:c>
      <x:c r="AB42" s="78" t="str">
        <x:v>Estimación técnica ISM · Validar</x:v>
      </x:c>
    </x:row>
    <x:row r="43">
      <x:c r="A43" s="77" t="str">
        <x:v>Mantenimiento y Evolución</x:v>
      </x:c>
      <x:c r="B43" s="73" t="str">
        <x:v>MNT-03</x:v>
      </x:c>
      <x:c r="C43" s="73" t="str">
        <x:v>Modernización, refactorización y actualización tecnológica</x:v>
      </x:c>
      <x:c r="D43" s="73" t="str">
        <x:v>03 · Consolidación digital</x:v>
      </x:c>
      <x:c r="E43" s="73" t="str">
        <x:v>Seguridad</x:v>
      </x:c>
      <x:c r="F43" s="73" t="str">
        <x:v>MNT3-009</x:v>
      </x:c>
      <x:c r="G43" s="73" t="str">
        <x:v>Corrección de dependencias vulnerables</x:v>
      </x:c>
      <x:c r="H43" s="73" t="str">
        <x:v>Hallazgo</x:v>
      </x:c>
      <x:c r="I43" s="85" t="n">
        <x:v>0</x:v>
      </x:c>
      <x:c r="J43" s="85" t="str">
        <x:v>No</x:v>
      </x:c>
      <x:c r="K43" s="85" t="str">
        <x:v>No</x:v>
      </x:c>
      <x:c r="L43" s="85" t="n">
        <x:v>1.5</x:v>
      </x:c>
      <x:c r="M43" s="85" t="str">
        <x:v>Parcial</x:v>
      </x:c>
      <x:c r="N43" s="85" t="n">
        <x:v>0.9</x:v>
      </x:c>
      <x:c r="O43" s="85" t="n">
        <x:v>1.35</x:v>
      </x:c>
      <x:c r="P43" s="85" t="str">
        <x:v>Alta</x:v>
      </x:c>
      <x:c r="Q43" s="85" t="n">
        <x:v>1</x:v>
      </x:c>
      <x:c r="R43" s="85" t="n">
        <x:v>1.45</x:v>
      </x:c>
      <x:c r="S43" s="85" t="n">
        <x:v>1.8</x:v>
      </x:c>
      <x:c r="T43" s="85" t="n">
        <x:v>4.050000000000001</x:v>
      </x:c>
      <x:c r="U43" s="85" t="n">
        <x:v>5.8725000000000005</x:v>
      </x:c>
      <x:c r="V43" s="85" t="n">
        <x:v>7.290000000000002</x:v>
      </x:c>
      <x:c r="W43" s="73" t="str">
        <x:v>MNT3-005</x:v>
      </x:c>
      <x:c r="X43" s="73" t="str">
        <x:v>Hallazgos cerrados</x:v>
      </x:c>
      <x:c r="Y43" s="73" t="str">
        <x:v>Análisis y remediación adicional cuando la actualización estándar no resuelve el hallazgo.</x:v>
      </x:c>
      <x:c r="Z43" s="73" t="str">
        <x:v>No sumar si el hallazgo queda resuelto únicamente con MNT3-005.</x:v>
      </x:c>
      <x:c r="AA43" s="73" t="str">
        <x:v>Preliminar</x:v>
      </x:c>
      <x:c r="AB43" s="78" t="str">
        <x:v>Estimación técnica ISM · Validar</x:v>
      </x:c>
    </x:row>
    <x:row r="44">
      <x:c r="A44" s="77" t="str">
        <x:v>Mantenimiento y Evolución</x:v>
      </x:c>
      <x:c r="B44" s="73" t="str">
        <x:v>MNT-03</x:v>
      </x:c>
      <x:c r="C44" s="73" t="str">
        <x:v>Modernización, refactorización y actualización tecnológica</x:v>
      </x:c>
      <x:c r="D44" s="73" t="str">
        <x:v>03 · Consolidación digital</x:v>
      </x:c>
      <x:c r="E44" s="73" t="str">
        <x:v>Calidad</x:v>
      </x:c>
      <x:c r="F44" s="73" t="str">
        <x:v>MNT3-010</x:v>
      </x:c>
      <x:c r="G44" s="73" t="str">
        <x:v>Pruebas de regresión ampliadas</x:v>
      </x:c>
      <x:c r="H44" s="73" t="str">
        <x:v>Flujo</x:v>
      </x:c>
      <x:c r="I44" s="85" t="n">
        <x:v>5</x:v>
      </x:c>
      <x:c r="J44" s="85" t="str">
        <x:v>Sí</x:v>
      </x:c>
      <x:c r="K44" s="85" t="str">
        <x:v>Sí</x:v>
      </x:c>
      <x:c r="L44" s="85" t="n">
        <x:v>1</x:v>
      </x:c>
      <x:c r="M44" s="85" t="str">
        <x:v>No</x:v>
      </x:c>
      <x:c r="N44" s="85" t="n">
        <x:v>1</x:v>
      </x:c>
      <x:c r="O44" s="85" t="n">
        <x:v>1</x:v>
      </x:c>
      <x:c r="P44" s="85" t="str">
        <x:v>Alta</x:v>
      </x:c>
      <x:c r="Q44" s="85" t="n">
        <x:v>1</x:v>
      </x:c>
      <x:c r="R44" s="85" t="n">
        <x:v>1.45</x:v>
      </x:c>
      <x:c r="S44" s="85" t="n">
        <x:v>1.8</x:v>
      </x:c>
      <x:c r="T44" s="85" t="n">
        <x:v>5</x:v>
      </x:c>
      <x:c r="U44" s="85" t="n">
        <x:v>7.25</x:v>
      </x:c>
      <x:c r="V44" s="85" t="n">
        <x:v>9</x:v>
      </x:c>
      <x:c r="W44" s="73"/>
      <x:c r="X44" s="73" t="str">
        <x:v>Suite de regresión</x:v>
      </x:c>
      <x:c r="Y44" s="73" t="str">
        <x:v>Flujos críticos y casos de error</x:v>
      </x:c>
      <x:c r="Z44" s="73"/>
      <x:c r="AA44" s="73" t="str">
        <x:v>Preliminar</x:v>
      </x:c>
      <x:c r="AB44" s="78" t="str">
        <x:v>Estimación técnica ISM · Validar</x:v>
      </x:c>
    </x:row>
    <x:row r="45">
      <x:c r="A45" s="77" t="str">
        <x:v>Mantenimiento y Evolución</x:v>
      </x:c>
      <x:c r="B45" s="73" t="str">
        <x:v>MNT-03</x:v>
      </x:c>
      <x:c r="C45" s="73" t="str">
        <x:v>Modernización, refactorización y actualización tecnológica</x:v>
      </x:c>
      <x:c r="D45" s="73" t="str">
        <x:v>03 · Consolidación digital</x:v>
      </x:c>
      <x:c r="E45" s="73" t="str">
        <x:v>Rendimiento</x:v>
      </x:c>
      <x:c r="F45" s="73" t="str">
        <x:v>MNT3-011</x:v>
      </x:c>
      <x:c r="G45" s="73" t="str">
        <x:v>Comparación de rendimiento antes y después</x:v>
      </x:c>
      <x:c r="H45" s="73" t="str">
        <x:v>Proyecto</x:v>
      </x:c>
      <x:c r="I45" s="85" t="n">
        <x:v>1</x:v>
      </x:c>
      <x:c r="J45" s="85" t="str">
        <x:v>No</x:v>
      </x:c>
      <x:c r="K45" s="85" t="str">
        <x:v>No</x:v>
      </x:c>
      <x:c r="L45" s="85" t="n">
        <x:v>3</x:v>
      </x:c>
      <x:c r="M45" s="85" t="str">
        <x:v>No</x:v>
      </x:c>
      <x:c r="N45" s="85" t="n">
        <x:v>1</x:v>
      </x:c>
      <x:c r="O45" s="85" t="n">
        <x:v>3</x:v>
      </x:c>
      <x:c r="P45" s="85" t="str">
        <x:v>Alta</x:v>
      </x:c>
      <x:c r="Q45" s="85" t="n">
        <x:v>1</x:v>
      </x:c>
      <x:c r="R45" s="85" t="n">
        <x:v>1.45</x:v>
      </x:c>
      <x:c r="S45" s="85" t="n">
        <x:v>1.8</x:v>
      </x:c>
      <x:c r="T45" s="85" t="n">
        <x:v>0</x:v>
      </x:c>
      <x:c r="U45" s="85" t="n">
        <x:v>0</x:v>
      </x:c>
      <x:c r="V45" s="85" t="n">
        <x:v>0</x:v>
      </x:c>
      <x:c r="W45" s="73"/>
      <x:c r="X45" s="73" t="str">
        <x:v>Informe comparativo</x:v>
      </x:c>
      <x:c r="Y45" s="73" t="str">
        <x:v>Métricas acordadas y resultados</x:v>
      </x:c>
      <x:c r="Z45" s="73"/>
      <x:c r="AA45" s="73" t="str">
        <x:v>Preliminar</x:v>
      </x:c>
      <x:c r="AB45" s="78" t="str">
        <x:v>Estimación técnica ISM · Validar</x:v>
      </x:c>
    </x:row>
    <x:row r="46">
      <x:c r="A46" s="77" t="str">
        <x:v>Mantenimiento y Evolución</x:v>
      </x:c>
      <x:c r="B46" s="73" t="str">
        <x:v>MNT-03</x:v>
      </x:c>
      <x:c r="C46" s="73" t="str">
        <x:v>Modernización, refactorización y actualización tecnológica</x:v>
      </x:c>
      <x:c r="D46" s="73" t="str">
        <x:v>03 · Consolidación digital</x:v>
      </x:c>
      <x:c r="E46" s="73" t="str">
        <x:v>Despliegue</x:v>
      </x:c>
      <x:c r="F46" s="73" t="str">
        <x:v>MNT3-012</x:v>
      </x:c>
      <x:c r="G46" s="73" t="str">
        <x:v>Plan de migración y reversa</x:v>
      </x:c>
      <x:c r="H46" s="73" t="str">
        <x:v>Entorno</x:v>
      </x:c>
      <x:c r="I46" s="85" t="n">
        <x:v>1</x:v>
      </x:c>
      <x:c r="J46" s="85" t="str">
        <x:v>Sí</x:v>
      </x:c>
      <x:c r="K46" s="85" t="str">
        <x:v>Sí</x:v>
      </x:c>
      <x:c r="L46" s="85" t="n">
        <x:v>2</x:v>
      </x:c>
      <x:c r="M46" s="85" t="str">
        <x:v>No</x:v>
      </x:c>
      <x:c r="N46" s="85" t="n">
        <x:v>1</x:v>
      </x:c>
      <x:c r="O46" s="85" t="n">
        <x:v>2</x:v>
      </x:c>
      <x:c r="P46" s="85" t="str">
        <x:v>Alta</x:v>
      </x:c>
      <x:c r="Q46" s="85" t="n">
        <x:v>1</x:v>
      </x:c>
      <x:c r="R46" s="85" t="n">
        <x:v>1.45</x:v>
      </x:c>
      <x:c r="S46" s="85" t="n">
        <x:v>1.8</x:v>
      </x:c>
      <x:c r="T46" s="85" t="n">
        <x:v>2</x:v>
      </x:c>
      <x:c r="U46" s="85" t="n">
        <x:v>2.9</x:v>
      </x:c>
      <x:c r="V46" s="85" t="n">
        <x:v>3.6</x:v>
      </x:c>
      <x:c r="W46" s="73" t="str">
        <x:v>MNT3-003</x:v>
      </x:c>
      <x:c r="X46" s="73" t="str">
        <x:v>Plan operativo</x:v>
      </x:c>
      <x:c r="Y46" s="73" t="str">
        <x:v>Pasos, responsables, respaldo y retorno</x:v>
      </x:c>
      <x:c r="Z46" s="73"/>
      <x:c r="AA46" s="73" t="str">
        <x:v>Preliminar</x:v>
      </x:c>
      <x:c r="AB46" s="78" t="str">
        <x:v>Estimación técnica ISM · Validar</x:v>
      </x:c>
    </x:row>
    <x:row r="47">
      <x:c r="A47" s="77" t="str">
        <x:v>Mantenimiento y Evolución</x:v>
      </x:c>
      <x:c r="B47" s="73" t="str">
        <x:v>MNT-03</x:v>
      </x:c>
      <x:c r="C47" s="73" t="str">
        <x:v>Modernización, refactorización y actualización tecnológica</x:v>
      </x:c>
      <x:c r="D47" s="73" t="str">
        <x:v>03 · Consolidación digital</x:v>
      </x:c>
      <x:c r="E47" s="73" t="str">
        <x:v>Despliegue</x:v>
      </x:c>
      <x:c r="F47" s="73" t="str">
        <x:v>MNT3-013</x:v>
      </x:c>
      <x:c r="G47" s="73" t="str">
        <x:v>Despliegue de modernización</x:v>
      </x:c>
      <x:c r="H47" s="73" t="str">
        <x:v>Entorno</x:v>
      </x:c>
      <x:c r="I47" s="85" t="n">
        <x:v>1</x:v>
      </x:c>
      <x:c r="J47" s="85" t="str">
        <x:v>Sí</x:v>
      </x:c>
      <x:c r="K47" s="85" t="str">
        <x:v>Sí</x:v>
      </x:c>
      <x:c r="L47" s="85" t="n">
        <x:v>3</x:v>
      </x:c>
      <x:c r="M47" s="85" t="str">
        <x:v>No</x:v>
      </x:c>
      <x:c r="N47" s="85" t="n">
        <x:v>1</x:v>
      </x:c>
      <x:c r="O47" s="85" t="n">
        <x:v>3</x:v>
      </x:c>
      <x:c r="P47" s="85" t="str">
        <x:v>Alta</x:v>
      </x:c>
      <x:c r="Q47" s="85" t="n">
        <x:v>1</x:v>
      </x:c>
      <x:c r="R47" s="85" t="n">
        <x:v>1.45</x:v>
      </x:c>
      <x:c r="S47" s="85" t="n">
        <x:v>1.8</x:v>
      </x:c>
      <x:c r="T47" s="85" t="n">
        <x:v>3</x:v>
      </x:c>
      <x:c r="U47" s="85" t="n">
        <x:v>4.35</x:v>
      </x:c>
      <x:c r="V47" s="85" t="n">
        <x:v>5.4</x:v>
      </x:c>
      <x:c r="W47" s="73" t="str">
        <x:v>MNT3-012</x:v>
      </x:c>
      <x:c r="X47" s="73" t="str">
        <x:v>Versión modernizada</x:v>
      </x:c>
      <x:c r="Y47" s="73" t="str">
        <x:v>Ejecución, validación y seguimiento</x:v>
      </x:c>
      <x:c r="Z47" s="73"/>
      <x:c r="AA47" s="73" t="str">
        <x:v>Preliminar</x:v>
      </x:c>
      <x:c r="AB47" s="78" t="str">
        <x:v>Estimación técnica ISM · Validar</x:v>
      </x:c>
    </x:row>
    <x:row r="48">
      <x:c r="A48" s="77" t="str">
        <x:v>Mantenimiento y Evolución</x:v>
      </x:c>
      <x:c r="B48" s="73" t="str">
        <x:v>MNT-03</x:v>
      </x:c>
      <x:c r="C48" s="73" t="str">
        <x:v>Modernización, refactorización y actualización tecnológica</x:v>
      </x:c>
      <x:c r="D48" s="73" t="str">
        <x:v>03 · Consolidación digital</x:v>
      </x:c>
      <x:c r="E48" s="73" t="str">
        <x:v>Cierre</x:v>
      </x:c>
      <x:c r="F48" s="73" t="str">
        <x:v>MNT3-014</x:v>
      </x:c>
      <x:c r="G48" s="73" t="str">
        <x:v>Actualización de documentación técnica</x:v>
      </x:c>
      <x:c r="H48" s="73" t="str">
        <x:v>Proyecto</x:v>
      </x:c>
      <x:c r="I48" s="85" t="n">
        <x:v>1</x:v>
      </x:c>
      <x:c r="J48" s="85" t="str">
        <x:v>Sí</x:v>
      </x:c>
      <x:c r="K48" s="85" t="str">
        <x:v>Sí</x:v>
      </x:c>
      <x:c r="L48" s="85" t="n">
        <x:v>2.5</x:v>
      </x:c>
      <x:c r="M48" s="85" t="str">
        <x:v>No</x:v>
      </x:c>
      <x:c r="N48" s="85" t="n">
        <x:v>1</x:v>
      </x:c>
      <x:c r="O48" s="85" t="n">
        <x:v>2.5</x:v>
      </x:c>
      <x:c r="P48" s="85" t="str">
        <x:v>Media</x:v>
      </x:c>
      <x:c r="Q48" s="85" t="n">
        <x:v>1</x:v>
      </x:c>
      <x:c r="R48" s="85" t="n">
        <x:v>1.3</x:v>
      </x:c>
      <x:c r="S48" s="85" t="n">
        <x:v>1.55</x:v>
      </x:c>
      <x:c r="T48" s="85" t="n">
        <x:v>2.5</x:v>
      </x:c>
      <x:c r="U48" s="85" t="n">
        <x:v>3.25</x:v>
      </x:c>
      <x:c r="V48" s="85" t="n">
        <x:v>3.875</x:v>
      </x:c>
      <x:c r="W48" s="73"/>
      <x:c r="X48" s="73" t="str">
        <x:v>Documentación actualizada</x:v>
      </x:c>
      <x:c r="Y48" s="73" t="str">
        <x:v>Arquitectura, dependencias y operación</x:v>
      </x:c>
      <x:c r="Z48" s="73"/>
      <x:c r="AA48" s="73" t="str">
        <x:v>Preliminar</x:v>
      </x:c>
      <x:c r="AB48" s="78" t="str">
        <x:v>Estimación técnica ISM · Validar</x:v>
      </x:c>
    </x:row>
    <x:row r="49">
      <x:c r="A49" s="77" t="str">
        <x:v>Mantenimiento y Evolución</x:v>
      </x:c>
      <x:c r="B49" s="73" t="str">
        <x:v>MNT-04</x:v>
      </x:c>
      <x:c r="C49" s="73" t="str">
        <x:v>Optimización de rendimiento</x:v>
      </x:c>
      <x:c r="D49" s="73" t="str">
        <x:v>03 · Consolidación digital</x:v>
      </x:c>
      <x:c r="E49" s="73" t="str">
        <x:v>Medición</x:v>
      </x:c>
      <x:c r="F49" s="73" t="str">
        <x:v>MNT4-001</x:v>
      </x:c>
      <x:c r="G49" s="73" t="str">
        <x:v>Definición de indicadores y objetivos</x:v>
      </x:c>
      <x:c r="H49" s="73" t="str">
        <x:v>Proyecto</x:v>
      </x:c>
      <x:c r="I49" s="85" t="n">
        <x:v>1</x:v>
      </x:c>
      <x:c r="J49" s="85" t="str">
        <x:v>Sí</x:v>
      </x:c>
      <x:c r="K49" s="85" t="str">
        <x:v>Sí</x:v>
      </x:c>
      <x:c r="L49" s="85" t="n">
        <x:v>1.5</x:v>
      </x:c>
      <x:c r="M49" s="85" t="str">
        <x:v>No</x:v>
      </x:c>
      <x:c r="N49" s="85" t="n">
        <x:v>1</x:v>
      </x:c>
      <x:c r="O49" s="85" t="n">
        <x:v>1.5</x:v>
      </x:c>
      <x:c r="P49" s="85" t="str">
        <x:v>Media</x:v>
      </x:c>
      <x:c r="Q49" s="85" t="n">
        <x:v>1</x:v>
      </x:c>
      <x:c r="R49" s="85" t="n">
        <x:v>1.3</x:v>
      </x:c>
      <x:c r="S49" s="85" t="n">
        <x:v>1.55</x:v>
      </x:c>
      <x:c r="T49" s="85" t="n">
        <x:v>1.5</x:v>
      </x:c>
      <x:c r="U49" s="85" t="n">
        <x:v>1.9500000000000002</x:v>
      </x:c>
      <x:c r="V49" s="85" t="n">
        <x:v>2.325</x:v>
      </x:c>
      <x:c r="W49" s="73"/>
      <x:c r="X49" s="73" t="str">
        <x:v>Métricas objetivo</x:v>
      </x:c>
      <x:c r="Y49" s="73" t="str">
        <x:v>Tiempos, volumen y experiencia esperada</x:v>
      </x:c>
      <x:c r="Z49" s="73"/>
      <x:c r="AA49" s="73" t="str">
        <x:v>Preliminar</x:v>
      </x:c>
      <x:c r="AB49" s="78" t="str">
        <x:v>Estimación técnica ISM · Validar</x:v>
      </x:c>
    </x:row>
    <x:row r="50">
      <x:c r="A50" s="77" t="str">
        <x:v>Mantenimiento y Evolución</x:v>
      </x:c>
      <x:c r="B50" s="73" t="str">
        <x:v>MNT-04</x:v>
      </x:c>
      <x:c r="C50" s="73" t="str">
        <x:v>Optimización de rendimiento</x:v>
      </x:c>
      <x:c r="D50" s="73" t="str">
        <x:v>03 · Consolidación digital</x:v>
      </x:c>
      <x:c r="E50" s="73" t="str">
        <x:v>Medición</x:v>
      </x:c>
      <x:c r="F50" s="73" t="str">
        <x:v>MNT4-002</x:v>
      </x:c>
      <x:c r="G50" s="73" t="str">
        <x:v>Captura de línea base previa a la optimización</x:v>
      </x:c>
      <x:c r="H50" s="73" t="str">
        <x:v>Entorno</x:v>
      </x:c>
      <x:c r="I50" s="85" t="n">
        <x:v>1</x:v>
      </x:c>
      <x:c r="J50" s="85" t="str">
        <x:v>Sí</x:v>
      </x:c>
      <x:c r="K50" s="85" t="str">
        <x:v>Sí</x:v>
      </x:c>
      <x:c r="L50" s="85" t="n">
        <x:v>2.5</x:v>
      </x:c>
      <x:c r="M50" s="85" t="str">
        <x:v>No</x:v>
      </x:c>
      <x:c r="N50" s="85" t="n">
        <x:v>1</x:v>
      </x:c>
      <x:c r="O50" s="85" t="n">
        <x:v>2.5</x:v>
      </x:c>
      <x:c r="P50" s="85" t="str">
        <x:v>Alta</x:v>
      </x:c>
      <x:c r="Q50" s="85" t="n">
        <x:v>1</x:v>
      </x:c>
      <x:c r="R50" s="85" t="n">
        <x:v>1.45</x:v>
      </x:c>
      <x:c r="S50" s="85" t="n">
        <x:v>1.8</x:v>
      </x:c>
      <x:c r="T50" s="85" t="n">
        <x:v>2.5</x:v>
      </x:c>
      <x:c r="U50" s="85" t="n">
        <x:v>3.625</x:v>
      </x:c>
      <x:c r="V50" s="85" t="n">
        <x:v>4.5</x:v>
      </x:c>
      <x:c r="W50" s="73" t="str">
        <x:v>MNT4-001</x:v>
      </x:c>
      <x:c r="X50" s="73" t="str">
        <x:v>Línea base</x:v>
      </x:c>
      <x:c r="Y50" s="73" t="str">
        <x:v>Medición inicial reproducible antes de realizar cambios.</x:v>
      </x:c>
      <x:c r="Z50" s="73" t="str">
        <x:v>La comparación final se contabiliza en MNT4-010.</x:v>
      </x:c>
      <x:c r="AA50" s="73" t="str">
        <x:v>Preliminar</x:v>
      </x:c>
      <x:c r="AB50" s="78" t="str">
        <x:v>Estimación técnica ISM · Validar</x:v>
      </x:c>
    </x:row>
    <x:row r="51">
      <x:c r="A51" s="77" t="str">
        <x:v>Mantenimiento y Evolución</x:v>
      </x:c>
      <x:c r="B51" s="73" t="str">
        <x:v>MNT-04</x:v>
      </x:c>
      <x:c r="C51" s="73" t="str">
        <x:v>Optimización de rendimiento</x:v>
      </x:c>
      <x:c r="D51" s="73" t="str">
        <x:v>03 · Consolidación digital</x:v>
      </x:c>
      <x:c r="E51" s="73" t="str">
        <x:v>Diagnóstico</x:v>
      </x:c>
      <x:c r="F51" s="73" t="str">
        <x:v>MNT4-003</x:v>
      </x:c>
      <x:c r="G51" s="73" t="str">
        <x:v>Perfilamiento de frontend</x:v>
      </x:c>
      <x:c r="H51" s="73" t="str">
        <x:v>Proyecto</x:v>
      </x:c>
      <x:c r="I51" s="85" t="n">
        <x:v>1</x:v>
      </x:c>
      <x:c r="J51" s="85" t="str">
        <x:v>Sí</x:v>
      </x:c>
      <x:c r="K51" s="85" t="str">
        <x:v>No</x:v>
      </x:c>
      <x:c r="L51" s="85" t="n">
        <x:v>2.5</x:v>
      </x:c>
      <x:c r="M51" s="85" t="str">
        <x:v>No</x:v>
      </x:c>
      <x:c r="N51" s="85" t="n">
        <x:v>1</x:v>
      </x:c>
      <x:c r="O51" s="85" t="n">
        <x:v>2.5</x:v>
      </x:c>
      <x:c r="P51" s="85" t="str">
        <x:v>Alta</x:v>
      </x:c>
      <x:c r="Q51" s="85" t="n">
        <x:v>1</x:v>
      </x:c>
      <x:c r="R51" s="85" t="n">
        <x:v>1.45</x:v>
      </x:c>
      <x:c r="S51" s="85" t="n">
        <x:v>1.8</x:v>
      </x:c>
      <x:c r="T51" s="85" t="n">
        <x:v>2.5</x:v>
      </x:c>
      <x:c r="U51" s="85" t="n">
        <x:v>3.625</x:v>
      </x:c>
      <x:c r="V51" s="85" t="n">
        <x:v>4.5</x:v>
      </x:c>
      <x:c r="W51" s="73" t="str">
        <x:v>MNT4-002</x:v>
      </x:c>
      <x:c r="X51" s="73" t="str">
        <x:v>Hallazgos frontend</x:v>
      </x:c>
      <x:c r="Y51" s="73" t="str">
        <x:v>Carga, renderizado, recursos y red</x:v>
      </x:c>
      <x:c r="Z51" s="73"/>
      <x:c r="AA51" s="73" t="str">
        <x:v>Preliminar</x:v>
      </x:c>
      <x:c r="AB51" s="78" t="str">
        <x:v>Estimación técnica ISM · Validar</x:v>
      </x:c>
    </x:row>
    <x:row r="52">
      <x:c r="A52" s="77" t="str">
        <x:v>Mantenimiento y Evolución</x:v>
      </x:c>
      <x:c r="B52" s="73" t="str">
        <x:v>MNT-04</x:v>
      </x:c>
      <x:c r="C52" s="73" t="str">
        <x:v>Optimización de rendimiento</x:v>
      </x:c>
      <x:c r="D52" s="73" t="str">
        <x:v>03 · Consolidación digital</x:v>
      </x:c>
      <x:c r="E52" s="73" t="str">
        <x:v>Diagnóstico</x:v>
      </x:c>
      <x:c r="F52" s="73" t="str">
        <x:v>MNT4-004</x:v>
      </x:c>
      <x:c r="G52" s="73" t="str">
        <x:v>Perfilamiento de backend y consultas</x:v>
      </x:c>
      <x:c r="H52" s="73" t="str">
        <x:v>Proyecto</x:v>
      </x:c>
      <x:c r="I52" s="85" t="n">
        <x:v>1</x:v>
      </x:c>
      <x:c r="J52" s="85" t="str">
        <x:v>Sí</x:v>
      </x:c>
      <x:c r="K52" s="85" t="str">
        <x:v>No</x:v>
      </x:c>
      <x:c r="L52" s="85" t="n">
        <x:v>3</x:v>
      </x:c>
      <x:c r="M52" s="85" t="str">
        <x:v>No</x:v>
      </x:c>
      <x:c r="N52" s="85" t="n">
        <x:v>1</x:v>
      </x:c>
      <x:c r="O52" s="85" t="n">
        <x:v>3</x:v>
      </x:c>
      <x:c r="P52" s="85" t="str">
        <x:v>Alta</x:v>
      </x:c>
      <x:c r="Q52" s="85" t="n">
        <x:v>1</x:v>
      </x:c>
      <x:c r="R52" s="85" t="n">
        <x:v>1.45</x:v>
      </x:c>
      <x:c r="S52" s="85" t="n">
        <x:v>1.8</x:v>
      </x:c>
      <x:c r="T52" s="85" t="n">
        <x:v>3</x:v>
      </x:c>
      <x:c r="U52" s="85" t="n">
        <x:v>4.35</x:v>
      </x:c>
      <x:c r="V52" s="85" t="n">
        <x:v>5.4</x:v>
      </x:c>
      <x:c r="W52" s="73" t="str">
        <x:v>MNT4-002</x:v>
      </x:c>
      <x:c r="X52" s="73" t="str">
        <x:v>Hallazgos backend</x:v>
      </x:c>
      <x:c r="Y52" s="73" t="str">
        <x:v>Tiempos, consultas, bloqueos y recursos</x:v>
      </x:c>
      <x:c r="Z52" s="73"/>
      <x:c r="AA52" s="73" t="str">
        <x:v>Preliminar</x:v>
      </x:c>
      <x:c r="AB52" s="78" t="str">
        <x:v>Estimación técnica ISM · Validar</x:v>
      </x:c>
    </x:row>
    <x:row r="53">
      <x:c r="A53" s="77" t="str">
        <x:v>Mantenimiento y Evolución</x:v>
      </x:c>
      <x:c r="B53" s="73" t="str">
        <x:v>MNT-04</x:v>
      </x:c>
      <x:c r="C53" s="73" t="str">
        <x:v>Optimización de rendimiento</x:v>
      </x:c>
      <x:c r="D53" s="73" t="str">
        <x:v>03 · Consolidación digital</x:v>
      </x:c>
      <x:c r="E53" s="73" t="str">
        <x:v>Optimización</x:v>
      </x:c>
      <x:c r="F53" s="73" t="str">
        <x:v>MNT4-005</x:v>
      </x:c>
      <x:c r="G53" s="73" t="str">
        <x:v>Optimización de recursos frontend</x:v>
      </x:c>
      <x:c r="H53" s="73" t="str">
        <x:v>Proyecto</x:v>
      </x:c>
      <x:c r="I53" s="85" t="n">
        <x:v>1</x:v>
      </x:c>
      <x:c r="J53" s="85" t="str">
        <x:v>Sí</x:v>
      </x:c>
      <x:c r="K53" s="85" t="str">
        <x:v>No</x:v>
      </x:c>
      <x:c r="L53" s="85" t="n">
        <x:v>3</x:v>
      </x:c>
      <x:c r="M53" s="85" t="str">
        <x:v>Parcial</x:v>
      </x:c>
      <x:c r="N53" s="85" t="n">
        <x:v>0.85</x:v>
      </x:c>
      <x:c r="O53" s="85" t="n">
        <x:v>2.55</x:v>
      </x:c>
      <x:c r="P53" s="85" t="str">
        <x:v>Alta</x:v>
      </x:c>
      <x:c r="Q53" s="85" t="n">
        <x:v>1</x:v>
      </x:c>
      <x:c r="R53" s="85" t="n">
        <x:v>1.45</x:v>
      </x:c>
      <x:c r="S53" s="85" t="n">
        <x:v>1.8</x:v>
      </x:c>
      <x:c r="T53" s="85" t="n">
        <x:v>2.55</x:v>
      </x:c>
      <x:c r="U53" s="85" t="n">
        <x:v>3.6975</x:v>
      </x:c>
      <x:c r="V53" s="85" t="n">
        <x:v>4.59</x:v>
      </x:c>
      <x:c r="W53" s="73" t="str">
        <x:v>MNT4-003</x:v>
      </x:c>
      <x:c r="X53" s="73" t="str">
        <x:v>Frontend optimizado</x:v>
      </x:c>
      <x:c r="Y53" s="73" t="str">
        <x:v>Imágenes, carga diferida y empaquetado</x:v>
      </x:c>
      <x:c r="Z53" s="73"/>
      <x:c r="AA53" s="73" t="str">
        <x:v>Preliminar</x:v>
      </x:c>
      <x:c r="AB53" s="78" t="str">
        <x:v>Estimación técnica ISM · Validar</x:v>
      </x:c>
    </x:row>
    <x:row r="54">
      <x:c r="A54" s="77" t="str">
        <x:v>Mantenimiento y Evolución</x:v>
      </x:c>
      <x:c r="B54" s="73" t="str">
        <x:v>MNT-04</x:v>
      </x:c>
      <x:c r="C54" s="73" t="str">
        <x:v>Optimización de rendimiento</x:v>
      </x:c>
      <x:c r="D54" s="73" t="str">
        <x:v>03 · Consolidación digital</x:v>
      </x:c>
      <x:c r="E54" s="73" t="str">
        <x:v>Optimización</x:v>
      </x:c>
      <x:c r="F54" s="73" t="str">
        <x:v>MNT4-006</x:v>
      </x:c>
      <x:c r="G54" s="73" t="str">
        <x:v>Optimización de consulta o endpoint</x:v>
      </x:c>
      <x:c r="H54" s="73" t="str">
        <x:v>Consulta</x:v>
      </x:c>
      <x:c r="I54" s="85" t="n">
        <x:v>3</x:v>
      </x:c>
      <x:c r="J54" s="85" t="str">
        <x:v>Sí</x:v>
      </x:c>
      <x:c r="K54" s="85" t="str">
        <x:v>No</x:v>
      </x:c>
      <x:c r="L54" s="85" t="n">
        <x:v>1.5</x:v>
      </x:c>
      <x:c r="M54" s="85" t="str">
        <x:v>No</x:v>
      </x:c>
      <x:c r="N54" s="85" t="n">
        <x:v>1</x:v>
      </x:c>
      <x:c r="O54" s="85" t="n">
        <x:v>1.5</x:v>
      </x:c>
      <x:c r="P54" s="85" t="str">
        <x:v>Alta</x:v>
      </x:c>
      <x:c r="Q54" s="85" t="n">
        <x:v>1</x:v>
      </x:c>
      <x:c r="R54" s="85" t="n">
        <x:v>1.45</x:v>
      </x:c>
      <x:c r="S54" s="85" t="n">
        <x:v>1.8</x:v>
      </x:c>
      <x:c r="T54" s="85" t="n">
        <x:v>4.5</x:v>
      </x:c>
      <x:c r="U54" s="85" t="n">
        <x:v>6.5249999999999995</x:v>
      </x:c>
      <x:c r="V54" s="85" t="n">
        <x:v>8.1</x:v>
      </x:c>
      <x:c r="W54" s="73" t="str">
        <x:v>MNT4-004</x:v>
      </x:c>
      <x:c r="X54" s="73" t="str">
        <x:v>Consultas optimizadas</x:v>
      </x:c>
      <x:c r="Y54" s="73" t="str">
        <x:v>Índices, filtros, caché o reescritura</x:v>
      </x:c>
      <x:c r="Z54" s="73"/>
      <x:c r="AA54" s="73" t="str">
        <x:v>Preliminar</x:v>
      </x:c>
      <x:c r="AB54" s="78" t="str">
        <x:v>Estimación técnica ISM · Validar</x:v>
      </x:c>
    </x:row>
    <x:row r="55">
      <x:c r="A55" s="77" t="str">
        <x:v>Mantenimiento y Evolución</x:v>
      </x:c>
      <x:c r="B55" s="73" t="str">
        <x:v>MNT-04</x:v>
      </x:c>
      <x:c r="C55" s="73" t="str">
        <x:v>Optimización de rendimiento</x:v>
      </x:c>
      <x:c r="D55" s="73" t="str">
        <x:v>03 · Consolidación digital</x:v>
      </x:c>
      <x:c r="E55" s="73" t="str">
        <x:v>Optimización</x:v>
      </x:c>
      <x:c r="F55" s="73" t="str">
        <x:v>MNT4-007</x:v>
      </x:c>
      <x:c r="G55" s="73" t="str">
        <x:v>Configuración de caché</x:v>
      </x:c>
      <x:c r="H55" s="73" t="str">
        <x:v>Capa</x:v>
      </x:c>
      <x:c r="I55" s="85" t="n">
        <x:v>1</x:v>
      </x:c>
      <x:c r="J55" s="85" t="str">
        <x:v>No</x:v>
      </x:c>
      <x:c r="K55" s="85" t="str">
        <x:v>No</x:v>
      </x:c>
      <x:c r="L55" s="85" t="n">
        <x:v>2.5</x:v>
      </x:c>
      <x:c r="M55" s="85" t="str">
        <x:v>Parcial</x:v>
      </x:c>
      <x:c r="N55" s="85" t="n">
        <x:v>0.9</x:v>
      </x:c>
      <x:c r="O55" s="85" t="n">
        <x:v>2.25</x:v>
      </x:c>
      <x:c r="P55" s="85" t="str">
        <x:v>Alta</x:v>
      </x:c>
      <x:c r="Q55" s="85" t="n">
        <x:v>1</x:v>
      </x:c>
      <x:c r="R55" s="85" t="n">
        <x:v>1.45</x:v>
      </x:c>
      <x:c r="S55" s="85" t="n">
        <x:v>1.8</x:v>
      </x:c>
      <x:c r="T55" s="85" t="n">
        <x:v>0</x:v>
      </x:c>
      <x:c r="U55" s="85" t="n">
        <x:v>0</x:v>
      </x:c>
      <x:c r="V55" s="85" t="n">
        <x:v>0</x:v>
      </x:c>
      <x:c r="W55" s="73"/>
      <x:c r="X55" s="73" t="str">
        <x:v>Caché operativa</x:v>
      </x:c>
      <x:c r="Y55" s="73" t="str">
        <x:v>Política, expiración e invalidación</x:v>
      </x:c>
      <x:c r="Z55" s="73"/>
      <x:c r="AA55" s="73" t="str">
        <x:v>Preliminar</x:v>
      </x:c>
      <x:c r="AB55" s="78" t="str">
        <x:v>Estimación técnica ISM · Validar</x:v>
      </x:c>
    </x:row>
    <x:row r="56">
      <x:c r="A56" s="77" t="str">
        <x:v>Mantenimiento y Evolución</x:v>
      </x:c>
      <x:c r="B56" s="73" t="str">
        <x:v>MNT-04</x:v>
      </x:c>
      <x:c r="C56" s="73" t="str">
        <x:v>Optimización de rendimiento</x:v>
      </x:c>
      <x:c r="D56" s="73" t="str">
        <x:v>03 · Consolidación digital</x:v>
      </x:c>
      <x:c r="E56" s="73" t="str">
        <x:v>Optimización</x:v>
      </x:c>
      <x:c r="F56" s="73" t="str">
        <x:v>MNT4-008</x:v>
      </x:c>
      <x:c r="G56" s="73" t="str">
        <x:v>Paginación y reducción de volumen</x:v>
      </x:c>
      <x:c r="H56" s="73" t="str">
        <x:v>Flujo</x:v>
      </x:c>
      <x:c r="I56" s="85" t="n">
        <x:v>1</x:v>
      </x:c>
      <x:c r="J56" s="85" t="str">
        <x:v>No</x:v>
      </x:c>
      <x:c r="K56" s="85" t="str">
        <x:v>No</x:v>
      </x:c>
      <x:c r="L56" s="85" t="n">
        <x:v>2</x:v>
      </x:c>
      <x:c r="M56" s="85" t="str">
        <x:v>Parcial</x:v>
      </x:c>
      <x:c r="N56" s="85" t="n">
        <x:v>0.9</x:v>
      </x:c>
      <x:c r="O56" s="85" t="n">
        <x:v>1.8</x:v>
      </x:c>
      <x:c r="P56" s="85" t="str">
        <x:v>Alta</x:v>
      </x:c>
      <x:c r="Q56" s="85" t="n">
        <x:v>1</x:v>
      </x:c>
      <x:c r="R56" s="85" t="n">
        <x:v>1.45</x:v>
      </x:c>
      <x:c r="S56" s="85" t="n">
        <x:v>1.8</x:v>
      </x:c>
      <x:c r="T56" s="85" t="n">
        <x:v>0</x:v>
      </x:c>
      <x:c r="U56" s="85" t="n">
        <x:v>0</x:v>
      </x:c>
      <x:c r="V56" s="85" t="n">
        <x:v>0</x:v>
      </x:c>
      <x:c r="W56" s="73"/>
      <x:c r="X56" s="73" t="str">
        <x:v>Flujo optimizado</x:v>
      </x:c>
      <x:c r="Y56" s="73" t="str">
        <x:v>Carga incremental y límites</x:v>
      </x:c>
      <x:c r="Z56" s="73"/>
      <x:c r="AA56" s="73" t="str">
        <x:v>Preliminar</x:v>
      </x:c>
      <x:c r="AB56" s="78" t="str">
        <x:v>Estimación técnica ISM · Validar</x:v>
      </x:c>
    </x:row>
    <x:row r="57">
      <x:c r="A57" s="77" t="str">
        <x:v>Mantenimiento y Evolución</x:v>
      </x:c>
      <x:c r="B57" s="73" t="str">
        <x:v>MNT-04</x:v>
      </x:c>
      <x:c r="C57" s="73" t="str">
        <x:v>Optimización de rendimiento</x:v>
      </x:c>
      <x:c r="D57" s="73" t="str">
        <x:v>03 · Consolidación digital</x:v>
      </x:c>
      <x:c r="E57" s="73" t="str">
        <x:v>Validación</x:v>
      </x:c>
      <x:c r="F57" s="73" t="str">
        <x:v>MNT4-009</x:v>
      </x:c>
      <x:c r="G57" s="73" t="str">
        <x:v>Prueba de carga controlada</x:v>
      </x:c>
      <x:c r="H57" s="73" t="str">
        <x:v>Prueba</x:v>
      </x:c>
      <x:c r="I57" s="85" t="n">
        <x:v>1</x:v>
      </x:c>
      <x:c r="J57" s="85" t="str">
        <x:v>No</x:v>
      </x:c>
      <x:c r="K57" s="85" t="str">
        <x:v>No</x:v>
      </x:c>
      <x:c r="L57" s="85" t="n">
        <x:v>3</x:v>
      </x:c>
      <x:c r="M57" s="85" t="str">
        <x:v>No</x:v>
      </x:c>
      <x:c r="N57" s="85" t="n">
        <x:v>1</x:v>
      </x:c>
      <x:c r="O57" s="85" t="n">
        <x:v>3</x:v>
      </x:c>
      <x:c r="P57" s="85" t="str">
        <x:v>Alta</x:v>
      </x:c>
      <x:c r="Q57" s="85" t="n">
        <x:v>1</x:v>
      </x:c>
      <x:c r="R57" s="85" t="n">
        <x:v>1.45</x:v>
      </x:c>
      <x:c r="S57" s="85" t="n">
        <x:v>1.8</x:v>
      </x:c>
      <x:c r="T57" s="85" t="n">
        <x:v>0</x:v>
      </x:c>
      <x:c r="U57" s="85" t="n">
        <x:v>0</x:v>
      </x:c>
      <x:c r="V57" s="85" t="n">
        <x:v>0</x:v>
      </x:c>
      <x:c r="W57" s="73"/>
      <x:c r="X57" s="73" t="str">
        <x:v>Resultado de carga</x:v>
      </x:c>
      <x:c r="Y57" s="73" t="str">
        <x:v>Volumen y concurrencia acordados</x:v>
      </x:c>
      <x:c r="Z57" s="73" t="str">
        <x:v>Pruebas de estrés masivas</x:v>
      </x:c>
      <x:c r="AA57" s="73" t="str">
        <x:v>Preliminar</x:v>
      </x:c>
      <x:c r="AB57" s="78" t="str">
        <x:v>Estimación técnica ISM · Validar</x:v>
      </x:c>
    </x:row>
    <x:row r="58">
      <x:c r="A58" s="77" t="str">
        <x:v>Mantenimiento y Evolución</x:v>
      </x:c>
      <x:c r="B58" s="73" t="str">
        <x:v>MNT-04</x:v>
      </x:c>
      <x:c r="C58" s="73" t="str">
        <x:v>Optimización de rendimiento</x:v>
      </x:c>
      <x:c r="D58" s="73" t="str">
        <x:v>03 · Consolidación digital</x:v>
      </x:c>
      <x:c r="E58" s="73" t="str">
        <x:v>Validación</x:v>
      </x:c>
      <x:c r="F58" s="73" t="str">
        <x:v>MNT4-010</x:v>
      </x:c>
      <x:c r="G58" s="73" t="str">
        <x:v>Medición final y comparación antes/después</x:v>
      </x:c>
      <x:c r="H58" s="73" t="str">
        <x:v>Proyecto</x:v>
      </x:c>
      <x:c r="I58" s="85" t="n">
        <x:v>1</x:v>
      </x:c>
      <x:c r="J58" s="85" t="str">
        <x:v>Sí</x:v>
      </x:c>
      <x:c r="K58" s="85" t="str">
        <x:v>Sí</x:v>
      </x:c>
      <x:c r="L58" s="85" t="n">
        <x:v>2</x:v>
      </x:c>
      <x:c r="M58" s="85" t="str">
        <x:v>No</x:v>
      </x:c>
      <x:c r="N58" s="85" t="n">
        <x:v>1</x:v>
      </x:c>
      <x:c r="O58" s="85" t="n">
        <x:v>2</x:v>
      </x:c>
      <x:c r="P58" s="85" t="str">
        <x:v>Media</x:v>
      </x:c>
      <x:c r="Q58" s="85" t="n">
        <x:v>1</x:v>
      </x:c>
      <x:c r="R58" s="85" t="n">
        <x:v>1.3</x:v>
      </x:c>
      <x:c r="S58" s="85" t="n">
        <x:v>1.55</x:v>
      </x:c>
      <x:c r="T58" s="85" t="n">
        <x:v>2</x:v>
      </x:c>
      <x:c r="U58" s="85" t="n">
        <x:v>2.6</x:v>
      </x:c>
      <x:c r="V58" s="85" t="n">
        <x:v>3.1</x:v>
      </x:c>
      <x:c r="W58" s="73" t="str">
        <x:v>MNT4-002</x:v>
      </x:c>
      <x:c r="X58" s="73" t="str">
        <x:v>Informe comparativo</x:v>
      </x:c>
      <x:c r="Y58" s="73" t="str">
        <x:v>Repetición de la medición inicial y comparación documentada de resultados.</x:v>
      </x:c>
      <x:c r="Z58" s="73" t="str">
        <x:v>No vuelve a incluir la captura inicial de MNT4-002.</x:v>
      </x:c>
      <x:c r="AA58" s="73" t="str">
        <x:v>Preliminar</x:v>
      </x:c>
      <x:c r="AB58" s="78" t="str">
        <x:v>Estimación técnica ISM · Validar</x:v>
      </x:c>
    </x:row>
    <x:row r="59">
      <x:c r="A59" s="77" t="str">
        <x:v>Mantenimiento y Evolución</x:v>
      </x:c>
      <x:c r="B59" s="73" t="str">
        <x:v>MNT-04</x:v>
      </x:c>
      <x:c r="C59" s="73" t="str">
        <x:v>Optimización de rendimiento</x:v>
      </x:c>
      <x:c r="D59" s="73" t="str">
        <x:v>03 · Consolidación digital</x:v>
      </x:c>
      <x:c r="E59" s="73" t="str">
        <x:v>Despliegue</x:v>
      </x:c>
      <x:c r="F59" s="73" t="str">
        <x:v>MNT4-011</x:v>
      </x:c>
      <x:c r="G59" s="73" t="str">
        <x:v>Despliegue y monitoreo posterior</x:v>
      </x:c>
      <x:c r="H59" s="73" t="str">
        <x:v>Entorno</x:v>
      </x:c>
      <x:c r="I59" s="85" t="n">
        <x:v>1</x:v>
      </x:c>
      <x:c r="J59" s="85" t="str">
        <x:v>Sí</x:v>
      </x:c>
      <x:c r="K59" s="85" t="str">
        <x:v>Sí</x:v>
      </x:c>
      <x:c r="L59" s="85" t="n">
        <x:v>2</x:v>
      </x:c>
      <x:c r="M59" s="85" t="str">
        <x:v>No</x:v>
      </x:c>
      <x:c r="N59" s="85" t="n">
        <x:v>1</x:v>
      </x:c>
      <x:c r="O59" s="85" t="n">
        <x:v>2</x:v>
      </x:c>
      <x:c r="P59" s="85" t="str">
        <x:v>Alta</x:v>
      </x:c>
      <x:c r="Q59" s="85" t="n">
        <x:v>1</x:v>
      </x:c>
      <x:c r="R59" s="85" t="n">
        <x:v>1.45</x:v>
      </x:c>
      <x:c r="S59" s="85" t="n">
        <x:v>1.8</x:v>
      </x:c>
      <x:c r="T59" s="85" t="n">
        <x:v>2</x:v>
      </x:c>
      <x:c r="U59" s="85" t="n">
        <x:v>2.9</x:v>
      </x:c>
      <x:c r="V59" s="85" t="n">
        <x:v>3.6</x:v>
      </x:c>
      <x:c r="W59" s="73"/>
      <x:c r="X59" s="73" t="str">
        <x:v>Cambio estabilizado</x:v>
      </x:c>
      <x:c r="Y59" s="73" t="str">
        <x:v>Despliegue, métricas y seguimiento</x:v>
      </x:c>
      <x:c r="Z59" s="73"/>
      <x:c r="AA59" s="73" t="str">
        <x:v>Preliminar</x:v>
      </x:c>
      <x:c r="AB59" s="78" t="str">
        <x:v>Estimación técnica ISM · Validar</x:v>
      </x:c>
    </x:row>
    <x:row r="60">
      <x:c r="A60" s="80" t="str">
        <x:v>Mantenimiento y Evolución</x:v>
      </x:c>
      <x:c r="B60" s="81" t="str">
        <x:v>MNT-04</x:v>
      </x:c>
      <x:c r="C60" s="81" t="str">
        <x:v>Optimización de rendimiento</x:v>
      </x:c>
      <x:c r="D60" s="81" t="str">
        <x:v>03 · Consolidación digital</x:v>
      </x:c>
      <x:c r="E60" s="81" t="str">
        <x:v>Cierre</x:v>
      </x:c>
      <x:c r="F60" s="81" t="str">
        <x:v>MNT4-012</x:v>
      </x:c>
      <x:c r="G60" s="81" t="str">
        <x:v>Documentación de optimizaciones</x:v>
      </x:c>
      <x:c r="H60" s="81" t="str">
        <x:v>Proyecto</x:v>
      </x:c>
      <x:c r="I60" s="101" t="n">
        <x:v>1</x:v>
      </x:c>
      <x:c r="J60" s="101" t="str">
        <x:v>Sí</x:v>
      </x:c>
      <x:c r="K60" s="101" t="str">
        <x:v>Sí</x:v>
      </x:c>
      <x:c r="L60" s="101" t="n">
        <x:v>1</x:v>
      </x:c>
      <x:c r="M60" s="101" t="str">
        <x:v>No</x:v>
      </x:c>
      <x:c r="N60" s="101" t="n">
        <x:v>1</x:v>
      </x:c>
      <x:c r="O60" s="101" t="n">
        <x:v>1</x:v>
      </x:c>
      <x:c r="P60" s="101" t="str">
        <x:v>Baja</x:v>
      </x:c>
      <x:c r="Q60" s="101" t="n">
        <x:v>1</x:v>
      </x:c>
      <x:c r="R60" s="101" t="n">
        <x:v>1.15</x:v>
      </x:c>
      <x:c r="S60" s="101" t="n">
        <x:v>1.3</x:v>
      </x:c>
      <x:c r="T60" s="101" t="n">
        <x:v>1</x:v>
      </x:c>
      <x:c r="U60" s="101" t="n">
        <x:v>1.15</x:v>
      </x:c>
      <x:c r="V60" s="101" t="n">
        <x:v>1.3</x:v>
      </x:c>
      <x:c r="W60" s="81"/>
      <x:c r="X60" s="81" t="str">
        <x:v>Registro técnico</x:v>
      </x:c>
      <x:c r="Y60" s="81" t="str">
        <x:v>Cambios, resultados y próximos pasos</x:v>
      </x:c>
      <x:c r="Z60" s="81"/>
      <x:c r="AA60" s="81" t="str">
        <x:v>Preliminar</x:v>
      </x:c>
      <x:c r="AB60" s="82" t="str">
        <x:v>Estimación técnica ISM · Validar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b250583aa37a44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5" hidden="0" customWidth="1"/>
    <x:col min="5" max="5" width="18" hidden="0" customWidth="1"/>
    <x:col min="6" max="6" width="14" hidden="0" customWidth="1"/>
    <x:col min="7" max="7" width="42" hidden="0" customWidth="1"/>
    <x:col min="8" max="8" width="16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4" hidden="0" customWidth="1"/>
    <x:col min="24" max="24" width="28" hidden="0" customWidth="1"/>
    <x:col min="25" max="25" width="38" hidden="0" customWidth="1"/>
    <x:col min="26" max="26" width="32" hidden="0" customWidth="1"/>
    <x:col min="27" max="27" width="18" hidden="0" customWidth="1"/>
    <x:col min="28" max="28" width="30" hidden="0" customWidth="1"/>
  </x:cols>
  <x:sheetData>
    <x:row r="1">
      <x:c r="A1" s="5" t="str">
        <x:v>CATÁLOGO TÉCNICO · MONITOREO Y OBSERVABILIDAD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>
      <x:c r="A2" s="55" t="str">
        <x:v>Disponibilidad, logs, alertas, métricas y rendimiento operacional.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</x:row>
    <x:row r="3">
      <x:c r="A3" s="103" t="str">
        <x:v>Servicios</x:v>
      </x:c>
      <x:c r="B3" s="104" t="n">
        <x:v>3</x:v>
      </x:c>
      <x:c r="C3" s="104" t="str">
        <x:v>Actividades</x:v>
      </x:c>
      <x:c r="D3" s="104" t="n">
        <x:v>30</x:v>
      </x:c>
      <x:c r="E3" s="104" t="str">
        <x:v>HH Inicial</x:v>
      </x:c>
      <x:c r="F3" s="109" t="n">
        <x:v>60.56249999999998</x:v>
      </x:c>
      <x:c r="G3" s="109" t="str">
        <x:v>HH Estándar</x:v>
      </x:c>
      <x:c r="H3" s="109" t="n">
        <x:v>83.799375</x:v>
      </x:c>
      <x:c r="I3" s="109" t="str">
        <x:v>HH Avanzado</x:v>
      </x:c>
      <x:c r="J3" s="109" t="n">
        <x:v>102.31875000000001</x:v>
      </x:c>
      <x:c r="K3" s="104" t="str">
        <x:v>Estado</x:v>
      </x:c>
      <x:c r="L3" s="105" t="str">
        <x:v>Preliminar</x:v>
      </x:c>
    </x:row>
    <x:row r="5">
      <x:c r="A5" s="20" t="str">
        <x:v>Línea de servicio</x:v>
      </x:c>
      <x:c r="B5" s="21" t="str">
        <x:v>Código servicio</x:v>
      </x:c>
      <x:c r="C5" s="21" t="str">
        <x:v>Servicio / solución</x:v>
      </x:c>
      <x:c r="D5" s="21" t="str">
        <x:v>Madurez</x:v>
      </x:c>
      <x:c r="E5" s="21" t="str">
        <x:v>Fase</x:v>
      </x:c>
      <x:c r="F5" s="21" t="str">
        <x:v>Código actividad</x:v>
      </x:c>
      <x:c r="G5" s="21" t="str">
        <x:v>Actividad / entregable</x:v>
      </x:c>
      <x:c r="H5" s="21" t="str">
        <x:v>Unidad</x:v>
      </x:c>
      <x:c r="I5" s="21" t="str">
        <x:v>Cantidad base</x:v>
      </x:c>
      <x:c r="J5" s="21" t="str">
        <x:v>Incluida base</x:v>
      </x:c>
      <x:c r="K5" s="21" t="str">
        <x:v>Obligatoria</x:v>
      </x:c>
      <x:c r="L5" s="21" t="str">
        <x:v>HH unitarias desde cero</x:v>
      </x:c>
      <x:c r="M5" s="21" t="str">
        <x:v>Reutilización</x:v>
      </x:c>
      <x:c r="N5" s="21" t="str">
        <x:v>Factor reutilización ISM</x:v>
      </x:c>
      <x:c r="O5" s="21" t="str">
        <x:v>HH unitarias configurador</x:v>
      </x:c>
      <x:c r="P5" s="21" t="str">
        <x:v>Complejidad</x:v>
      </x:c>
      <x:c r="Q5" s="21" t="str">
        <x:v>Factor Inicial</x:v>
      </x:c>
      <x:c r="R5" s="21" t="str">
        <x:v>Factor Estándar</x:v>
      </x:c>
      <x:c r="S5" s="21" t="str">
        <x:v>Factor Avanzado</x:v>
      </x:c>
      <x:c r="T5" s="21" t="str">
        <x:v>HH Inicial</x:v>
      </x:c>
      <x:c r="U5" s="21" t="str">
        <x:v>HH Estándar</x:v>
      </x:c>
      <x:c r="V5" s="21" t="str">
        <x:v>HH Avanzado</x:v>
      </x:c>
      <x:c r="W5" s="21" t="str">
        <x:v>Dependencias</x:v>
      </x:c>
      <x:c r="X5" s="21" t="str">
        <x:v>Entregable verificable</x:v>
      </x:c>
      <x:c r="Y5" s="21" t="str">
        <x:v>Alcance / criterio</x:v>
      </x:c>
      <x:c r="Z5" s="21" t="str">
        <x:v>Exclusiones</x:v>
      </x:c>
      <x:c r="AA5" s="21" t="str">
        <x:v>Estado validación</x:v>
      </x:c>
      <x:c r="AB5" s="22" t="str">
        <x:v>Fuente / calibración</x:v>
      </x:c>
    </x:row>
    <x:row r="6">
      <x:c r="A6" s="74" t="str">
        <x:v>Monitoreo y Observabilidad</x:v>
      </x:c>
      <x:c r="B6" s="75" t="str">
        <x:v>MON-01</x:v>
      </x:c>
      <x:c r="C6" s="75" t="str">
        <x:v>Monitoreo de disponibilidad</x:v>
      </x:c>
      <x:c r="D6" s="75" t="str">
        <x:v>03 · Consolidación digital</x:v>
      </x:c>
      <x:c r="E6" s="75" t="str">
        <x:v>Diagnóstico</x:v>
      </x:c>
      <x:c r="F6" s="75" t="str">
        <x:v>MON1-001</x:v>
      </x:c>
      <x:c r="G6" s="75" t="str">
        <x:v>Inventario de servicios y endpoints</x:v>
      </x:c>
      <x:c r="H6" s="75" t="str">
        <x:v>Servicio</x:v>
      </x:c>
      <x:c r="I6" s="84" t="n">
        <x:v>3</x:v>
      </x:c>
      <x:c r="J6" s="84" t="str">
        <x:v>Sí</x:v>
      </x:c>
      <x:c r="K6" s="84" t="str">
        <x:v>Sí</x:v>
      </x:c>
      <x:c r="L6" s="84" t="n">
        <x:v>0.75</x:v>
      </x:c>
      <x:c r="M6" s="84" t="str">
        <x:v>Parcial</x:v>
      </x:c>
      <x:c r="N6" s="84" t="n">
        <x:v>0.85</x:v>
      </x:c>
      <x:c r="O6" s="84" t="n">
        <x:v>0.6375</x:v>
      </x:c>
      <x:c r="P6" s="84" t="str">
        <x:v>Media</x:v>
      </x:c>
      <x:c r="Q6" s="84" t="n">
        <x:v>1</x:v>
      </x:c>
      <x:c r="R6" s="84" t="n">
        <x:v>1.3</x:v>
      </x:c>
      <x:c r="S6" s="84" t="n">
        <x:v>1.55</x:v>
      </x:c>
      <x:c r="T6" s="84" t="n">
        <x:v>1.9124999999999999</x:v>
      </x:c>
      <x:c r="U6" s="84" t="n">
        <x:v>2.48625</x:v>
      </x:c>
      <x:c r="V6" s="84" t="n">
        <x:v>2.964375</x:v>
      </x:c>
      <x:c r="W6" s="75"/>
      <x:c r="X6" s="75" t="str">
        <x:v>Inventario monitoreable</x:v>
      </x:c>
      <x:c r="Y6" s="75" t="str">
        <x:v>URLs, APIs, jobs y dependencias</x:v>
      </x:c>
      <x:c r="Z6" s="75"/>
      <x:c r="AA6" s="75" t="str">
        <x:v>Preliminar</x:v>
      </x:c>
      <x:c r="AB6" s="76" t="str">
        <x:v>Estimación técnica ISM · Validar</x:v>
      </x:c>
    </x:row>
    <x:row r="7">
      <x:c r="A7" s="77" t="str">
        <x:v>Monitoreo y Observabilidad</x:v>
      </x:c>
      <x:c r="B7" s="73" t="str">
        <x:v>MON-01</x:v>
      </x:c>
      <x:c r="C7" s="73" t="str">
        <x:v>Monitoreo de disponibilidad</x:v>
      </x:c>
      <x:c r="D7" s="73" t="str">
        <x:v>03 · Consolidación digital</x:v>
      </x:c>
      <x:c r="E7" s="73" t="str">
        <x:v>Diseño</x:v>
      </x:c>
      <x:c r="F7" s="73" t="str">
        <x:v>MON1-002</x:v>
      </x:c>
      <x:c r="G7" s="73" t="str">
        <x:v>Definición de indicadores de disponibilidad</x:v>
      </x:c>
      <x:c r="H7" s="73" t="str">
        <x:v>Servicio</x:v>
      </x:c>
      <x:c r="I7" s="85" t="n">
        <x:v>3</x:v>
      </x:c>
      <x:c r="J7" s="85" t="str">
        <x:v>Sí</x:v>
      </x:c>
      <x:c r="K7" s="85" t="str">
        <x:v>Sí</x:v>
      </x:c>
      <x:c r="L7" s="85" t="n">
        <x:v>0.75</x:v>
      </x:c>
      <x:c r="M7" s="85" t="str">
        <x:v>Parcial</x:v>
      </x:c>
      <x:c r="N7" s="85" t="n">
        <x:v>0.85</x:v>
      </x:c>
      <x:c r="O7" s="85" t="n">
        <x:v>0.6375</x:v>
      </x:c>
      <x:c r="P7" s="85" t="str">
        <x:v>Media</x:v>
      </x:c>
      <x:c r="Q7" s="85" t="n">
        <x:v>1</x:v>
      </x:c>
      <x:c r="R7" s="85" t="n">
        <x:v>1.3</x:v>
      </x:c>
      <x:c r="S7" s="85" t="n">
        <x:v>1.55</x:v>
      </x:c>
      <x:c r="T7" s="85" t="n">
        <x:v>1.9124999999999999</x:v>
      </x:c>
      <x:c r="U7" s="85" t="n">
        <x:v>2.48625</x:v>
      </x:c>
      <x:c r="V7" s="85" t="n">
        <x:v>2.964375</x:v>
      </x:c>
      <x:c r="W7" s="73"/>
      <x:c r="X7" s="73" t="str">
        <x:v>Matriz de indicadores</x:v>
      </x:c>
      <x:c r="Y7" s="73" t="str">
        <x:v>Estado, latencia, código y contenido esperado</x:v>
      </x:c>
      <x:c r="Z7" s="73"/>
      <x:c r="AA7" s="73" t="str">
        <x:v>Preliminar</x:v>
      </x:c>
      <x:c r="AB7" s="78" t="str">
        <x:v>Estimación técnica ISM · Validar</x:v>
      </x:c>
    </x:row>
    <x:row r="8">
      <x:c r="A8" s="77" t="str">
        <x:v>Monitoreo y Observabilidad</x:v>
      </x:c>
      <x:c r="B8" s="73" t="str">
        <x:v>MON-01</x:v>
      </x:c>
      <x:c r="C8" s="73" t="str">
        <x:v>Monitoreo de disponibilidad</x:v>
      </x:c>
      <x:c r="D8" s="73" t="str">
        <x:v>03 · Consolidación digital</x:v>
      </x:c>
      <x:c r="E8" s="73" t="str">
        <x:v>Configuración</x:v>
      </x:c>
      <x:c r="F8" s="73" t="str">
        <x:v>MON1-003</x:v>
      </x:c>
      <x:c r="G8" s="73" t="str">
        <x:v>Configuración de chequeo HTTP o endpoint</x:v>
      </x:c>
      <x:c r="H8" s="73" t="str">
        <x:v>Servicio</x:v>
      </x:c>
      <x:c r="I8" s="85" t="n">
        <x:v>3</x:v>
      </x:c>
      <x:c r="J8" s="85" t="str">
        <x:v>Sí</x:v>
      </x:c>
      <x:c r="K8" s="85" t="str">
        <x:v>No</x:v>
      </x:c>
      <x:c r="L8" s="85" t="n">
        <x:v>1</x:v>
      </x:c>
      <x:c r="M8" s="85" t="str">
        <x:v>Parcial</x:v>
      </x:c>
      <x:c r="N8" s="85" t="n">
        <x:v>0.85</x:v>
      </x:c>
      <x:c r="O8" s="85" t="n">
        <x:v>0.85</x:v>
      </x:c>
      <x:c r="P8" s="85" t="str">
        <x:v>Media</x:v>
      </x:c>
      <x:c r="Q8" s="85" t="n">
        <x:v>1</x:v>
      </x:c>
      <x:c r="R8" s="85" t="n">
        <x:v>1.3</x:v>
      </x:c>
      <x:c r="S8" s="85" t="n">
        <x:v>1.55</x:v>
      </x:c>
      <x:c r="T8" s="85" t="n">
        <x:v>2.55</x:v>
      </x:c>
      <x:c r="U8" s="85" t="n">
        <x:v>3.315</x:v>
      </x:c>
      <x:c r="V8" s="85" t="n">
        <x:v>3.9524999999999997</x:v>
      </x:c>
      <x:c r="W8" s="73"/>
      <x:c r="X8" s="73" t="str">
        <x:v>Chequeos activos</x:v>
      </x:c>
      <x:c r="Y8" s="73" t="str">
        <x:v>Frecuencia, timeout y criterio de éxito</x:v>
      </x:c>
      <x:c r="Z8" s="73"/>
      <x:c r="AA8" s="73" t="str">
        <x:v>Preliminar</x:v>
      </x:c>
      <x:c r="AB8" s="78" t="str">
        <x:v>Estimación técnica ISM · Validar</x:v>
      </x:c>
    </x:row>
    <x:row r="9">
      <x:c r="A9" s="77" t="str">
        <x:v>Monitoreo y Observabilidad</x:v>
      </x:c>
      <x:c r="B9" s="73" t="str">
        <x:v>MON-01</x:v>
      </x:c>
      <x:c r="C9" s="73" t="str">
        <x:v>Monitoreo de disponibilidad</x:v>
      </x:c>
      <x:c r="D9" s="73" t="str">
        <x:v>03 · Consolidación digital</x:v>
      </x:c>
      <x:c r="E9" s="73" t="str">
        <x:v>Configuración</x:v>
      </x:c>
      <x:c r="F9" s="73" t="str">
        <x:v>MON1-004</x:v>
      </x:c>
      <x:c r="G9" s="73" t="str">
        <x:v>Configuración de alertas</x:v>
      </x:c>
      <x:c r="H9" s="73" t="str">
        <x:v>Canal</x:v>
      </x:c>
      <x:c r="I9" s="85" t="n">
        <x:v>2</x:v>
      </x:c>
      <x:c r="J9" s="85" t="str">
        <x:v>Sí</x:v>
      </x:c>
      <x:c r="K9" s="85" t="str">
        <x:v>No</x:v>
      </x:c>
      <x:c r="L9" s="85" t="n">
        <x:v>1</x:v>
      </x:c>
      <x:c r="M9" s="85" t="str">
        <x:v>Parcial</x:v>
      </x:c>
      <x:c r="N9" s="85" t="n">
        <x:v>0.85</x:v>
      </x:c>
      <x:c r="O9" s="85" t="n">
        <x:v>0.85</x:v>
      </x:c>
      <x:c r="P9" s="85" t="str">
        <x:v>Media</x:v>
      </x:c>
      <x:c r="Q9" s="85" t="n">
        <x:v>1</x:v>
      </x:c>
      <x:c r="R9" s="85" t="n">
        <x:v>1.3</x:v>
      </x:c>
      <x:c r="S9" s="85" t="n">
        <x:v>1.55</x:v>
      </x:c>
      <x:c r="T9" s="85" t="n">
        <x:v>1.7</x:v>
      </x:c>
      <x:c r="U9" s="85" t="n">
        <x:v>2.21</x:v>
      </x:c>
      <x:c r="V9" s="85" t="n">
        <x:v>2.635</x:v>
      </x:c>
      <x:c r="W9" s="73"/>
      <x:c r="X9" s="73" t="str">
        <x:v>Alertas operativas</x:v>
      </x:c>
      <x:c r="Y9" s="73" t="str">
        <x:v>Umbrales, destinatarios y escalamiento</x:v>
      </x:c>
      <x:c r="Z9" s="73"/>
      <x:c r="AA9" s="73" t="str">
        <x:v>Preliminar</x:v>
      </x:c>
      <x:c r="AB9" s="78" t="str">
        <x:v>Estimación técnica ISM · Validar</x:v>
      </x:c>
    </x:row>
    <x:row r="10">
      <x:c r="A10" s="77" t="str">
        <x:v>Monitoreo y Observabilidad</x:v>
      </x:c>
      <x:c r="B10" s="73" t="str">
        <x:v>MON-01</x:v>
      </x:c>
      <x:c r="C10" s="73" t="str">
        <x:v>Monitoreo de disponibilidad</x:v>
      </x:c>
      <x:c r="D10" s="73" t="str">
        <x:v>03 · Consolidación digital</x:v>
      </x:c>
      <x:c r="E10" s="73" t="str">
        <x:v>Configuración</x:v>
      </x:c>
      <x:c r="F10" s="73" t="str">
        <x:v>MON1-005</x:v>
      </x:c>
      <x:c r="G10" s="73" t="str">
        <x:v>Ventanas de mantenimiento</x:v>
      </x:c>
      <x:c r="H10" s="73" t="str">
        <x:v>Servicio</x:v>
      </x:c>
      <x:c r="I10" s="85" t="n">
        <x:v>3</x:v>
      </x:c>
      <x:c r="J10" s="85" t="str">
        <x:v>No</x:v>
      </x:c>
      <x:c r="K10" s="85" t="str">
        <x:v>No</x:v>
      </x:c>
      <x:c r="L10" s="85" t="n">
        <x:v>0.5</x:v>
      </x:c>
      <x:c r="M10" s="85" t="str">
        <x:v>Parcial</x:v>
      </x:c>
      <x:c r="N10" s="85" t="n">
        <x:v>0.85</x:v>
      </x:c>
      <x:c r="O10" s="85" t="n">
        <x:v>0.425</x:v>
      </x:c>
      <x:c r="P10" s="85" t="str">
        <x:v>Baja</x:v>
      </x:c>
      <x:c r="Q10" s="85" t="n">
        <x:v>1</x:v>
      </x:c>
      <x:c r="R10" s="85" t="n">
        <x:v>1.15</x:v>
      </x:c>
      <x:c r="S10" s="85" t="n">
        <x:v>1.3</x:v>
      </x:c>
      <x:c r="T10" s="85" t="n">
        <x:v>0</x:v>
      </x:c>
      <x:c r="U10" s="85" t="n">
        <x:v>0</x:v>
      </x:c>
      <x:c r="V10" s="85" t="n">
        <x:v>0</x:v>
      </x:c>
      <x:c r="W10" s="73"/>
      <x:c r="X10" s="73" t="str">
        <x:v>Ventanas definidas</x:v>
      </x:c>
      <x:c r="Y10" s="73" t="str">
        <x:v>Supresión de alertas planificadas</x:v>
      </x:c>
      <x:c r="Z10" s="73"/>
      <x:c r="AA10" s="73" t="str">
        <x:v>Preliminar</x:v>
      </x:c>
      <x:c r="AB10" s="78" t="str">
        <x:v>Estimación técnica ISM · Validar</x:v>
      </x:c>
    </x:row>
    <x:row r="11">
      <x:c r="A11" s="77" t="str">
        <x:v>Monitoreo y Observabilidad</x:v>
      </x:c>
      <x:c r="B11" s="73" t="str">
        <x:v>MON-01</x:v>
      </x:c>
      <x:c r="C11" s="73" t="str">
        <x:v>Monitoreo de disponibilidad</x:v>
      </x:c>
      <x:c r="D11" s="73" t="str">
        <x:v>03 · Consolidación digital</x:v>
      </x:c>
      <x:c r="E11" s="73" t="str">
        <x:v>Visualización</x:v>
      </x:c>
      <x:c r="F11" s="73" t="str">
        <x:v>MON1-006</x:v>
      </x:c>
      <x:c r="G11" s="73" t="str">
        <x:v>Dashboard de disponibilidad</x:v>
      </x:c>
      <x:c r="H11" s="73" t="str">
        <x:v>Dashboard</x:v>
      </x:c>
      <x:c r="I11" s="85" t="n">
        <x:v>1</x:v>
      </x:c>
      <x:c r="J11" s="85" t="str">
        <x:v>Sí</x:v>
      </x:c>
      <x:c r="K11" s="85" t="str">
        <x:v>No</x:v>
      </x:c>
      <x:c r="L11" s="85" t="n">
        <x:v>2.5</x:v>
      </x:c>
      <x:c r="M11" s="85" t="str">
        <x:v>Parcial</x:v>
      </x:c>
      <x:c r="N11" s="85" t="n">
        <x:v>0.85</x:v>
      </x:c>
      <x:c r="O11" s="85" t="n">
        <x:v>2.125</x:v>
      </x:c>
      <x:c r="P11" s="85" t="str">
        <x:v>Alta</x:v>
      </x:c>
      <x:c r="Q11" s="85" t="n">
        <x:v>1</x:v>
      </x:c>
      <x:c r="R11" s="85" t="n">
        <x:v>1.45</x:v>
      </x:c>
      <x:c r="S11" s="85" t="n">
        <x:v>1.8</x:v>
      </x:c>
      <x:c r="T11" s="85" t="n">
        <x:v>2.125</x:v>
      </x:c>
      <x:c r="U11" s="85" t="n">
        <x:v>3.08125</x:v>
      </x:c>
      <x:c r="V11" s="85" t="n">
        <x:v>3.825</x:v>
      </x:c>
      <x:c r="W11" s="73"/>
      <x:c r="X11" s="73" t="str">
        <x:v>Dashboard</x:v>
      </x:c>
      <x:c r="Y11" s="73" t="str">
        <x:v>Estado, histórico y tendencia</x:v>
      </x:c>
      <x:c r="Z11" s="73"/>
      <x:c r="AA11" s="73" t="str">
        <x:v>Preliminar</x:v>
      </x:c>
      <x:c r="AB11" s="78" t="str">
        <x:v>Estimación técnica ISM · Validar</x:v>
      </x:c>
    </x:row>
    <x:row r="12">
      <x:c r="A12" s="77" t="str">
        <x:v>Monitoreo y Observabilidad</x:v>
      </x:c>
      <x:c r="B12" s="73" t="str">
        <x:v>MON-01</x:v>
      </x:c>
      <x:c r="C12" s="73" t="str">
        <x:v>Monitoreo de disponibilidad</x:v>
      </x:c>
      <x:c r="D12" s="73" t="str">
        <x:v>03 · Consolidación digital</x:v>
      </x:c>
      <x:c r="E12" s="73" t="str">
        <x:v>Reportes</x:v>
      </x:c>
      <x:c r="F12" s="73" t="str">
        <x:v>MON1-007</x:v>
      </x:c>
      <x:c r="G12" s="73" t="str">
        <x:v>Reporte periódico de disponibilidad</x:v>
      </x:c>
      <x:c r="H12" s="73" t="str">
        <x:v>Reporte</x:v>
      </x:c>
      <x:c r="I12" s="85" t="n">
        <x:v>1</x:v>
      </x:c>
      <x:c r="J12" s="85" t="str">
        <x:v>Sí</x:v>
      </x:c>
      <x:c r="K12" s="85" t="str">
        <x:v>No</x:v>
      </x:c>
      <x:c r="L12" s="85" t="n">
        <x:v>2</x:v>
      </x:c>
      <x:c r="M12" s="85" t="str">
        <x:v>Parcial</x:v>
      </x:c>
      <x:c r="N12" s="85" t="n">
        <x:v>0.85</x:v>
      </x:c>
      <x:c r="O12" s="85" t="n">
        <x:v>1.7</x:v>
      </x:c>
      <x:c r="P12" s="85" t="str">
        <x:v>Media</x:v>
      </x:c>
      <x:c r="Q12" s="85" t="n">
        <x:v>1</x:v>
      </x:c>
      <x:c r="R12" s="85" t="n">
        <x:v>1.3</x:v>
      </x:c>
      <x:c r="S12" s="85" t="n">
        <x:v>1.55</x:v>
      </x:c>
      <x:c r="T12" s="85" t="n">
        <x:v>1.7</x:v>
      </x:c>
      <x:c r="U12" s="85" t="n">
        <x:v>2.21</x:v>
      </x:c>
      <x:c r="V12" s="85" t="n">
        <x:v>2.635</x:v>
      </x:c>
      <x:c r="W12" s="73"/>
      <x:c r="X12" s="73" t="str">
        <x:v>Reporte base</x:v>
      </x:c>
      <x:c r="Y12" s="73" t="str">
        <x:v>Disponibilidad, eventos y observaciones</x:v>
      </x:c>
      <x:c r="Z12" s="73"/>
      <x:c r="AA12" s="73" t="str">
        <x:v>Preliminar</x:v>
      </x:c>
      <x:c r="AB12" s="78" t="str">
        <x:v>Estimación técnica ISM · Validar</x:v>
      </x:c>
    </x:row>
    <x:row r="13">
      <x:c r="A13" s="77" t="str">
        <x:v>Monitoreo y Observabilidad</x:v>
      </x:c>
      <x:c r="B13" s="73" t="str">
        <x:v>MON-01</x:v>
      </x:c>
      <x:c r="C13" s="73" t="str">
        <x:v>Monitoreo de disponibilidad</x:v>
      </x:c>
      <x:c r="D13" s="73" t="str">
        <x:v>03 · Consolidación digital</x:v>
      </x:c>
      <x:c r="E13" s="73" t="str">
        <x:v>Calidad</x:v>
      </x:c>
      <x:c r="F13" s="73" t="str">
        <x:v>MON1-008</x:v>
      </x:c>
      <x:c r="G13" s="73" t="str">
        <x:v>Prueba de caída y recuperación</x:v>
      </x:c>
      <x:c r="H13" s="73" t="str">
        <x:v>Caso</x:v>
      </x:c>
      <x:c r="I13" s="85" t="n">
        <x:v>2</x:v>
      </x:c>
      <x:c r="J13" s="85" t="str">
        <x:v>Sí</x:v>
      </x:c>
      <x:c r="K13" s="85" t="str">
        <x:v>Sí</x:v>
      </x:c>
      <x:c r="L13" s="85" t="n">
        <x:v>1</x:v>
      </x:c>
      <x:c r="M13" s="85" t="str">
        <x:v>Parcial</x:v>
      </x:c>
      <x:c r="N13" s="85" t="n">
        <x:v>0.85</x:v>
      </x:c>
      <x:c r="O13" s="85" t="n">
        <x:v>0.85</x:v>
      </x:c>
      <x:c r="P13" s="85" t="str">
        <x:v>Alta</x:v>
      </x:c>
      <x:c r="Q13" s="85" t="n">
        <x:v>1</x:v>
      </x:c>
      <x:c r="R13" s="85" t="n">
        <x:v>1.45</x:v>
      </x:c>
      <x:c r="S13" s="85" t="n">
        <x:v>1.8</x:v>
      </x:c>
      <x:c r="T13" s="85" t="n">
        <x:v>1.7</x:v>
      </x:c>
      <x:c r="U13" s="85" t="n">
        <x:v>2.465</x:v>
      </x:c>
      <x:c r="V13" s="85" t="n">
        <x:v>3.06</x:v>
      </x:c>
      <x:c r="W13" s="73"/>
      <x:c r="X13" s="73" t="str">
        <x:v>Prueba de alertamiento</x:v>
      </x:c>
      <x:c r="Y13" s="73" t="str">
        <x:v>Detección, notificación y recuperación</x:v>
      </x:c>
      <x:c r="Z13" s="73"/>
      <x:c r="AA13" s="73" t="str">
        <x:v>Preliminar</x:v>
      </x:c>
      <x:c r="AB13" s="78" t="str">
        <x:v>Estimación técnica ISM · Validar</x:v>
      </x:c>
    </x:row>
    <x:row r="14">
      <x:c r="A14" s="77" t="str">
        <x:v>Monitoreo y Observabilidad</x:v>
      </x:c>
      <x:c r="B14" s="73" t="str">
        <x:v>MON-01</x:v>
      </x:c>
      <x:c r="C14" s="73" t="str">
        <x:v>Monitoreo de disponibilidad</x:v>
      </x:c>
      <x:c r="D14" s="73" t="str">
        <x:v>03 · Consolidación digital</x:v>
      </x:c>
      <x:c r="E14" s="73" t="str">
        <x:v>Operación</x:v>
      </x:c>
      <x:c r="F14" s="73" t="str">
        <x:v>MON1-009</x:v>
      </x:c>
      <x:c r="G14" s="73" t="str">
        <x:v>Runbook de respuesta a indisponibilidad</x:v>
      </x:c>
      <x:c r="H14" s="73" t="str">
        <x:v>Documento</x:v>
      </x:c>
      <x:c r="I14" s="85" t="n">
        <x:v>1</x:v>
      </x:c>
      <x:c r="J14" s="85" t="str">
        <x:v>Sí</x:v>
      </x:c>
      <x:c r="K14" s="85" t="str">
        <x:v>Sí</x:v>
      </x:c>
      <x:c r="L14" s="85" t="n">
        <x:v>1.5</x:v>
      </x:c>
      <x:c r="M14" s="85" t="str">
        <x:v>Parcial</x:v>
      </x:c>
      <x:c r="N14" s="85" t="n">
        <x:v>0.85</x:v>
      </x:c>
      <x:c r="O14" s="85" t="n">
        <x:v>1.275</x:v>
      </x:c>
      <x:c r="P14" s="85" t="str">
        <x:v>Media</x:v>
      </x:c>
      <x:c r="Q14" s="85" t="n">
        <x:v>1</x:v>
      </x:c>
      <x:c r="R14" s="85" t="n">
        <x:v>1.3</x:v>
      </x:c>
      <x:c r="S14" s="85" t="n">
        <x:v>1.55</x:v>
      </x:c>
      <x:c r="T14" s="85" t="n">
        <x:v>1.275</x:v>
      </x:c>
      <x:c r="U14" s="85" t="n">
        <x:v>1.6575</x:v>
      </x:c>
      <x:c r="V14" s="85" t="n">
        <x:v>1.9762499999999998</x:v>
      </x:c>
      <x:c r="W14" s="73"/>
      <x:c r="X14" s="73" t="str">
        <x:v>Runbook</x:v>
      </x:c>
      <x:c r="Y14" s="73" t="str">
        <x:v>Validación, escalamiento y comunicación</x:v>
      </x:c>
      <x:c r="Z14" s="73"/>
      <x:c r="AA14" s="73" t="str">
        <x:v>Preliminar</x:v>
      </x:c>
      <x:c r="AB14" s="78" t="str">
        <x:v>Estimación técnica ISM · Validar</x:v>
      </x:c>
    </x:row>
    <x:row r="15">
      <x:c r="A15" s="77" t="str">
        <x:v>Monitoreo y Observabilidad</x:v>
      </x:c>
      <x:c r="B15" s="73" t="str">
        <x:v>MON-01</x:v>
      </x:c>
      <x:c r="C15" s="73" t="str">
        <x:v>Monitoreo de disponibilidad</x:v>
      </x:c>
      <x:c r="D15" s="73" t="str">
        <x:v>03 · Consolidación digital</x:v>
      </x:c>
      <x:c r="E15" s="73" t="str">
        <x:v>Despliegue</x:v>
      </x:c>
      <x:c r="F15" s="73" t="str">
        <x:v>MON1-010</x:v>
      </x:c>
      <x:c r="G15" s="73" t="str">
        <x:v>Puesta en marcha y estabilización</x:v>
      </x:c>
      <x:c r="H15" s="73" t="str">
        <x:v>Entorno</x:v>
      </x:c>
      <x:c r="I15" s="85" t="n">
        <x:v>1</x:v>
      </x:c>
      <x:c r="J15" s="85" t="str">
        <x:v>Sí</x:v>
      </x:c>
      <x:c r="K15" s="85" t="str">
        <x:v>Sí</x:v>
      </x:c>
      <x:c r="L15" s="85" t="n">
        <x:v>1.5</x:v>
      </x:c>
      <x:c r="M15" s="85" t="str">
        <x:v>Parcial</x:v>
      </x:c>
      <x:c r="N15" s="85" t="n">
        <x:v>0.85</x:v>
      </x:c>
      <x:c r="O15" s="85" t="n">
        <x:v>1.275</x:v>
      </x:c>
      <x:c r="P15" s="85" t="str">
        <x:v>Alta</x:v>
      </x:c>
      <x:c r="Q15" s="85" t="n">
        <x:v>1</x:v>
      </x:c>
      <x:c r="R15" s="85" t="n">
        <x:v>1.45</x:v>
      </x:c>
      <x:c r="S15" s="85" t="n">
        <x:v>1.8</x:v>
      </x:c>
      <x:c r="T15" s="85" t="n">
        <x:v>1.275</x:v>
      </x:c>
      <x:c r="U15" s="85" t="n">
        <x:v>1.84875</x:v>
      </x:c>
      <x:c r="V15" s="85" t="n">
        <x:v>2.295</x:v>
      </x:c>
      <x:c r="W15" s="73"/>
      <x:c r="X15" s="73" t="str">
        <x:v>Monitoreo estabilizado</x:v>
      </x:c>
      <x:c r="Y15" s="73" t="str">
        <x:v>Activación, observación y ajustes</x:v>
      </x:c>
      <x:c r="Z15" s="73"/>
      <x:c r="AA15" s="73" t="str">
        <x:v>Preliminar</x:v>
      </x:c>
      <x:c r="AB15" s="78" t="str">
        <x:v>Estimación técnica ISM · Validar</x:v>
      </x:c>
    </x:row>
    <x:row r="16">
      <x:c r="A16" s="77" t="str">
        <x:v>Monitoreo y Observabilidad</x:v>
      </x:c>
      <x:c r="B16" s="73" t="str">
        <x:v>MON-02</x:v>
      </x:c>
      <x:c r="C16" s="73" t="str">
        <x:v>Centralización de logs y trazabilidad</x:v>
      </x:c>
      <x:c r="D16" s="73" t="str">
        <x:v>03 · Consolidación digital</x:v>
      </x:c>
      <x:c r="E16" s="73" t="str">
        <x:v>Diagnóstico</x:v>
      </x:c>
      <x:c r="F16" s="73" t="str">
        <x:v>MON2-001</x:v>
      </x:c>
      <x:c r="G16" s="73" t="str">
        <x:v>Inventario de fuentes de logs</x:v>
      </x:c>
      <x:c r="H16" s="73" t="str">
        <x:v>Fuente</x:v>
      </x:c>
      <x:c r="I16" s="85" t="n">
        <x:v>4</x:v>
      </x:c>
      <x:c r="J16" s="85" t="str">
        <x:v>Sí</x:v>
      </x:c>
      <x:c r="K16" s="85" t="str">
        <x:v>Sí</x:v>
      </x:c>
      <x:c r="L16" s="85" t="n">
        <x:v>0.75</x:v>
      </x:c>
      <x:c r="M16" s="85" t="str">
        <x:v>Parcial</x:v>
      </x:c>
      <x:c r="N16" s="85" t="n">
        <x:v>0.85</x:v>
      </x:c>
      <x:c r="O16" s="85" t="n">
        <x:v>0.6375</x:v>
      </x:c>
      <x:c r="P16" s="85" t="str">
        <x:v>Media</x:v>
      </x:c>
      <x:c r="Q16" s="85" t="n">
        <x:v>1</x:v>
      </x:c>
      <x:c r="R16" s="85" t="n">
        <x:v>1.3</x:v>
      </x:c>
      <x:c r="S16" s="85" t="n">
        <x:v>1.55</x:v>
      </x:c>
      <x:c r="T16" s="85" t="n">
        <x:v>2.55</x:v>
      </x:c>
      <x:c r="U16" s="85" t="n">
        <x:v>3.315</x:v>
      </x:c>
      <x:c r="V16" s="85" t="n">
        <x:v>3.9524999999999997</x:v>
      </x:c>
      <x:c r="W16" s="73"/>
      <x:c r="X16" s="73" t="str">
        <x:v>Inventario de logs</x:v>
      </x:c>
      <x:c r="Y16" s="73" t="str">
        <x:v>Aplicación, servidor, base de datos y servicios</x:v>
      </x:c>
      <x:c r="Z16" s="73"/>
      <x:c r="AA16" s="73" t="str">
        <x:v>Preliminar</x:v>
      </x:c>
      <x:c r="AB16" s="78" t="str">
        <x:v>Estimación técnica ISM · Validar</x:v>
      </x:c>
    </x:row>
    <x:row r="17">
      <x:c r="A17" s="77" t="str">
        <x:v>Monitoreo y Observabilidad</x:v>
      </x:c>
      <x:c r="B17" s="73" t="str">
        <x:v>MON-02</x:v>
      </x:c>
      <x:c r="C17" s="73" t="str">
        <x:v>Centralización de logs y trazabilidad</x:v>
      </x:c>
      <x:c r="D17" s="73" t="str">
        <x:v>03 · Consolidación digital</x:v>
      </x:c>
      <x:c r="E17" s="73" t="str">
        <x:v>Diseño</x:v>
      </x:c>
      <x:c r="F17" s="73" t="str">
        <x:v>MON2-002</x:v>
      </x:c>
      <x:c r="G17" s="73" t="str">
        <x:v>Definición de estructura y campos comunes</x:v>
      </x:c>
      <x:c r="H17" s="73" t="str">
        <x:v>Proyecto</x:v>
      </x:c>
      <x:c r="I17" s="85" t="n">
        <x:v>1</x:v>
      </x:c>
      <x:c r="J17" s="85" t="str">
        <x:v>Sí</x:v>
      </x:c>
      <x:c r="K17" s="85" t="str">
        <x:v>Sí</x:v>
      </x:c>
      <x:c r="L17" s="85" t="n">
        <x:v>2</x:v>
      </x:c>
      <x:c r="M17" s="85" t="str">
        <x:v>Parcial</x:v>
      </x:c>
      <x:c r="N17" s="85" t="n">
        <x:v>0.85</x:v>
      </x:c>
      <x:c r="O17" s="85" t="n">
        <x:v>1.7</x:v>
      </x:c>
      <x:c r="P17" s="85" t="str">
        <x:v>Alta</x:v>
      </x:c>
      <x:c r="Q17" s="85" t="n">
        <x:v>1</x:v>
      </x:c>
      <x:c r="R17" s="85" t="n">
        <x:v>1.45</x:v>
      </x:c>
      <x:c r="S17" s="85" t="n">
        <x:v>1.8</x:v>
      </x:c>
      <x:c r="T17" s="85" t="n">
        <x:v>1.7</x:v>
      </x:c>
      <x:c r="U17" s="85" t="n">
        <x:v>2.465</x:v>
      </x:c>
      <x:c r="V17" s="85" t="n">
        <x:v>3.06</x:v>
      </x:c>
      <x:c r="W17" s="73"/>
      <x:c r="X17" s="73" t="str">
        <x:v>Esquema de logs</x:v>
      </x:c>
      <x:c r="Y17" s="73" t="str">
        <x:v>Nivel, fecha, usuario, correlación y contexto</x:v>
      </x:c>
      <x:c r="Z17" s="73"/>
      <x:c r="AA17" s="73" t="str">
        <x:v>Preliminar</x:v>
      </x:c>
      <x:c r="AB17" s="78" t="str">
        <x:v>Estimación técnica ISM · Validar</x:v>
      </x:c>
    </x:row>
    <x:row r="18">
      <x:c r="A18" s="77" t="str">
        <x:v>Monitoreo y Observabilidad</x:v>
      </x:c>
      <x:c r="B18" s="73" t="str">
        <x:v>MON-02</x:v>
      </x:c>
      <x:c r="C18" s="73" t="str">
        <x:v>Centralización de logs y trazabilidad</x:v>
      </x:c>
      <x:c r="D18" s="73" t="str">
        <x:v>03 · Consolidación digital</x:v>
      </x:c>
      <x:c r="E18" s="73" t="str">
        <x:v>Implementación</x:v>
      </x:c>
      <x:c r="F18" s="73" t="str">
        <x:v>MON2-003</x:v>
      </x:c>
      <x:c r="G18" s="73" t="str">
        <x:v>Configuración de envío de logs</x:v>
      </x:c>
      <x:c r="H18" s="73" t="str">
        <x:v>Fuente</x:v>
      </x:c>
      <x:c r="I18" s="85" t="n">
        <x:v>4</x:v>
      </x:c>
      <x:c r="J18" s="85" t="str">
        <x:v>Sí</x:v>
      </x:c>
      <x:c r="K18" s="85" t="str">
        <x:v>No</x:v>
      </x:c>
      <x:c r="L18" s="85" t="n">
        <x:v>1.5</x:v>
      </x:c>
      <x:c r="M18" s="85" t="str">
        <x:v>Parcial</x:v>
      </x:c>
      <x:c r="N18" s="85" t="n">
        <x:v>0.85</x:v>
      </x:c>
      <x:c r="O18" s="85" t="n">
        <x:v>1.275</x:v>
      </x:c>
      <x:c r="P18" s="85" t="str">
        <x:v>Alta</x:v>
      </x:c>
      <x:c r="Q18" s="85" t="n">
        <x:v>1</x:v>
      </x:c>
      <x:c r="R18" s="85" t="n">
        <x:v>1.45</x:v>
      </x:c>
      <x:c r="S18" s="85" t="n">
        <x:v>1.8</x:v>
      </x:c>
      <x:c r="T18" s="85" t="n">
        <x:v>5.1</x:v>
      </x:c>
      <x:c r="U18" s="85" t="n">
        <x:v>7.395</x:v>
      </x:c>
      <x:c r="V18" s="85" t="n">
        <x:v>9.18</x:v>
      </x:c>
      <x:c r="W18" s="73"/>
      <x:c r="X18" s="73" t="str">
        <x:v>Fuentes conectadas</x:v>
      </x:c>
      <x:c r="Y18" s="73" t="str">
        <x:v>Agente, librería o integración</x:v>
      </x:c>
      <x:c r="Z18" s="73"/>
      <x:c r="AA18" s="73" t="str">
        <x:v>Preliminar</x:v>
      </x:c>
      <x:c r="AB18" s="78" t="str">
        <x:v>Estimación técnica ISM · Validar</x:v>
      </x:c>
    </x:row>
    <x:row r="19">
      <x:c r="A19" s="77" t="str">
        <x:v>Monitoreo y Observabilidad</x:v>
      </x:c>
      <x:c r="B19" s="73" t="str">
        <x:v>MON-02</x:v>
      </x:c>
      <x:c r="C19" s="73" t="str">
        <x:v>Centralización de logs y trazabilidad</x:v>
      </x:c>
      <x:c r="D19" s="73" t="str">
        <x:v>03 · Consolidación digital</x:v>
      </x:c>
      <x:c r="E19" s="73" t="str">
        <x:v>Implementación</x:v>
      </x:c>
      <x:c r="F19" s="73" t="str">
        <x:v>MON2-004</x:v>
      </x:c>
      <x:c r="G19" s="73" t="str">
        <x:v>Normalización y parseo</x:v>
      </x:c>
      <x:c r="H19" s="73" t="str">
        <x:v>Fuente</x:v>
      </x:c>
      <x:c r="I19" s="85" t="n">
        <x:v>4</x:v>
      </x:c>
      <x:c r="J19" s="85" t="str">
        <x:v>Sí</x:v>
      </x:c>
      <x:c r="K19" s="85" t="str">
        <x:v>No</x:v>
      </x:c>
      <x:c r="L19" s="85" t="n">
        <x:v>1</x:v>
      </x:c>
      <x:c r="M19" s="85" t="str">
        <x:v>Parcial</x:v>
      </x:c>
      <x:c r="N19" s="85" t="n">
        <x:v>0.85</x:v>
      </x:c>
      <x:c r="O19" s="85" t="n">
        <x:v>0.85</x:v>
      </x:c>
      <x:c r="P19" s="85" t="str">
        <x:v>Alta</x:v>
      </x:c>
      <x:c r="Q19" s="85" t="n">
        <x:v>1</x:v>
      </x:c>
      <x:c r="R19" s="85" t="n">
        <x:v>1.45</x:v>
      </x:c>
      <x:c r="S19" s="85" t="n">
        <x:v>1.8</x:v>
      </x:c>
      <x:c r="T19" s="85" t="n">
        <x:v>3.4</x:v>
      </x:c>
      <x:c r="U19" s="85" t="n">
        <x:v>4.93</x:v>
      </x:c>
      <x:c r="V19" s="85" t="n">
        <x:v>6.12</x:v>
      </x:c>
      <x:c r="W19" s="73"/>
      <x:c r="X19" s="73" t="str">
        <x:v>Logs normalizados</x:v>
      </x:c>
      <x:c r="Y19" s="73" t="str">
        <x:v>Campos, formatos y errores</x:v>
      </x:c>
      <x:c r="Z19" s="73"/>
      <x:c r="AA19" s="73" t="str">
        <x:v>Preliminar</x:v>
      </x:c>
      <x:c r="AB19" s="78" t="str">
        <x:v>Estimación técnica ISM · Validar</x:v>
      </x:c>
    </x:row>
    <x:row r="20">
      <x:c r="A20" s="77" t="str">
        <x:v>Monitoreo y Observabilidad</x:v>
      </x:c>
      <x:c r="B20" s="73" t="str">
        <x:v>MON-02</x:v>
      </x:c>
      <x:c r="C20" s="73" t="str">
        <x:v>Centralización de logs y trazabilidad</x:v>
      </x:c>
      <x:c r="D20" s="73" t="str">
        <x:v>03 · Consolidación digital</x:v>
      </x:c>
      <x:c r="E20" s="73" t="str">
        <x:v>Trazabilidad</x:v>
      </x:c>
      <x:c r="F20" s="73" t="str">
        <x:v>MON2-005</x:v>
      </x:c>
      <x:c r="G20" s="73" t="str">
        <x:v>Identificador de correlación</x:v>
      </x:c>
      <x:c r="H20" s="73" t="str">
        <x:v>Flujo</x:v>
      </x:c>
      <x:c r="I20" s="85" t="n">
        <x:v>2</x:v>
      </x:c>
      <x:c r="J20" s="85" t="str">
        <x:v>No</x:v>
      </x:c>
      <x:c r="K20" s="85" t="str">
        <x:v>No</x:v>
      </x:c>
      <x:c r="L20" s="85" t="n">
        <x:v>1.5</x:v>
      </x:c>
      <x:c r="M20" s="85" t="str">
        <x:v>Parcial</x:v>
      </x:c>
      <x:c r="N20" s="85" t="n">
        <x:v>0.85</x:v>
      </x:c>
      <x:c r="O20" s="85" t="n">
        <x:v>1.275</x:v>
      </x:c>
      <x:c r="P20" s="85" t="str">
        <x:v>Alta</x:v>
      </x:c>
      <x:c r="Q20" s="85" t="n">
        <x:v>1</x:v>
      </x:c>
      <x:c r="R20" s="85" t="n">
        <x:v>1.45</x:v>
      </x:c>
      <x:c r="S20" s="85" t="n">
        <x:v>1.8</x:v>
      </x:c>
      <x:c r="T20" s="85" t="n">
        <x:v>0</x:v>
      </x:c>
      <x:c r="U20" s="85" t="n">
        <x:v>0</x:v>
      </x:c>
      <x:c r="V20" s="85" t="n">
        <x:v>0</x:v>
      </x:c>
      <x:c r="W20" s="73"/>
      <x:c r="X20" s="73" t="str">
        <x:v>Trazas correlacionadas</x:v>
      </x:c>
      <x:c r="Y20" s="73" t="str">
        <x:v>Seguimiento entre componentes</x:v>
      </x:c>
      <x:c r="Z20" s="73"/>
      <x:c r="AA20" s="73" t="str">
        <x:v>Preliminar</x:v>
      </x:c>
      <x:c r="AB20" s="78" t="str">
        <x:v>Estimación técnica ISM · Validar</x:v>
      </x:c>
    </x:row>
    <x:row r="21">
      <x:c r="A21" s="77" t="str">
        <x:v>Monitoreo y Observabilidad</x:v>
      </x:c>
      <x:c r="B21" s="73" t="str">
        <x:v>MON-02</x:v>
      </x:c>
      <x:c r="C21" s="73" t="str">
        <x:v>Centralización de logs y trazabilidad</x:v>
      </x:c>
      <x:c r="D21" s="73" t="str">
        <x:v>03 · Consolidación digital</x:v>
      </x:c>
      <x:c r="E21" s="73" t="str">
        <x:v>Retención</x:v>
      </x:c>
      <x:c r="F21" s="73" t="str">
        <x:v>MON2-006</x:v>
      </x:c>
      <x:c r="G21" s="73" t="str">
        <x:v>Política de retención y rotación</x:v>
      </x:c>
      <x:c r="H21" s="73" t="str">
        <x:v>Entorno</x:v>
      </x:c>
      <x:c r="I21" s="85" t="n">
        <x:v>1</x:v>
      </x:c>
      <x:c r="J21" s="85" t="str">
        <x:v>Sí</x:v>
      </x:c>
      <x:c r="K21" s="85" t="str">
        <x:v>Sí</x:v>
      </x:c>
      <x:c r="L21" s="85" t="n">
        <x:v>1.5</x:v>
      </x:c>
      <x:c r="M21" s="85" t="str">
        <x:v>Parcial</x:v>
      </x:c>
      <x:c r="N21" s="85" t="n">
        <x:v>0.85</x:v>
      </x:c>
      <x:c r="O21" s="85" t="n">
        <x:v>1.275</x:v>
      </x:c>
      <x:c r="P21" s="85" t="str">
        <x:v>Media</x:v>
      </x:c>
      <x:c r="Q21" s="85" t="n">
        <x:v>1</x:v>
      </x:c>
      <x:c r="R21" s="85" t="n">
        <x:v>1.3</x:v>
      </x:c>
      <x:c r="S21" s="85" t="n">
        <x:v>1.55</x:v>
      </x:c>
      <x:c r="T21" s="85" t="n">
        <x:v>1.275</x:v>
      </x:c>
      <x:c r="U21" s="85" t="n">
        <x:v>1.6575</x:v>
      </x:c>
      <x:c r="V21" s="85" t="n">
        <x:v>1.9762499999999998</x:v>
      </x:c>
      <x:c r="W21" s="73"/>
      <x:c r="X21" s="73" t="str">
        <x:v>Política aplicada</x:v>
      </x:c>
      <x:c r="Y21" s="73" t="str">
        <x:v>Periodo, volumen y eliminación</x:v>
      </x:c>
      <x:c r="Z21" s="73"/>
      <x:c r="AA21" s="73" t="str">
        <x:v>Preliminar</x:v>
      </x:c>
      <x:c r="AB21" s="78" t="str">
        <x:v>Estimación técnica ISM · Validar</x:v>
      </x:c>
    </x:row>
    <x:row r="22">
      <x:c r="A22" s="77" t="str">
        <x:v>Monitoreo y Observabilidad</x:v>
      </x:c>
      <x:c r="B22" s="73" t="str">
        <x:v>MON-02</x:v>
      </x:c>
      <x:c r="C22" s="73" t="str">
        <x:v>Centralización de logs y trazabilidad</x:v>
      </x:c>
      <x:c r="D22" s="73" t="str">
        <x:v>03 · Consolidación digital</x:v>
      </x:c>
      <x:c r="E22" s="73" t="str">
        <x:v>Visualización</x:v>
      </x:c>
      <x:c r="F22" s="73" t="str">
        <x:v>MON2-007</x:v>
      </x:c>
      <x:c r="G22" s="73" t="str">
        <x:v>Dashboard de errores y eventos</x:v>
      </x:c>
      <x:c r="H22" s="73" t="str">
        <x:v>Dashboard</x:v>
      </x:c>
      <x:c r="I22" s="85" t="n">
        <x:v>1</x:v>
      </x:c>
      <x:c r="J22" s="85" t="str">
        <x:v>Sí</x:v>
      </x:c>
      <x:c r="K22" s="85" t="str">
        <x:v>No</x:v>
      </x:c>
      <x:c r="L22" s="85" t="n">
        <x:v>3</x:v>
      </x:c>
      <x:c r="M22" s="85" t="str">
        <x:v>Parcial</x:v>
      </x:c>
      <x:c r="N22" s="85" t="n">
        <x:v>0.85</x:v>
      </x:c>
      <x:c r="O22" s="85" t="n">
        <x:v>2.55</x:v>
      </x:c>
      <x:c r="P22" s="85" t="str">
        <x:v>Alta</x:v>
      </x:c>
      <x:c r="Q22" s="85" t="n">
        <x:v>1</x:v>
      </x:c>
      <x:c r="R22" s="85" t="n">
        <x:v>1.45</x:v>
      </x:c>
      <x:c r="S22" s="85" t="n">
        <x:v>1.8</x:v>
      </x:c>
      <x:c r="T22" s="85" t="n">
        <x:v>2.55</x:v>
      </x:c>
      <x:c r="U22" s="85" t="n">
        <x:v>3.6975</x:v>
      </x:c>
      <x:c r="V22" s="85" t="n">
        <x:v>4.59</x:v>
      </x:c>
      <x:c r="W22" s="73"/>
      <x:c r="X22" s="73" t="str">
        <x:v>Dashboard de logs</x:v>
      </x:c>
      <x:c r="Y22" s="73" t="str">
        <x:v>Errores, niveles y tendencias</x:v>
      </x:c>
      <x:c r="Z22" s="73"/>
      <x:c r="AA22" s="73" t="str">
        <x:v>Preliminar</x:v>
      </x:c>
      <x:c r="AB22" s="78" t="str">
        <x:v>Estimación técnica ISM · Validar</x:v>
      </x:c>
    </x:row>
    <x:row r="23">
      <x:c r="A23" s="77" t="str">
        <x:v>Monitoreo y Observabilidad</x:v>
      </x:c>
      <x:c r="B23" s="73" t="str">
        <x:v>MON-02</x:v>
      </x:c>
      <x:c r="C23" s="73" t="str">
        <x:v>Centralización de logs y trazabilidad</x:v>
      </x:c>
      <x:c r="D23" s="73" t="str">
        <x:v>03 · Consolidación digital</x:v>
      </x:c>
      <x:c r="E23" s="73" t="str">
        <x:v>Alertas</x:v>
      </x:c>
      <x:c r="F23" s="73" t="str">
        <x:v>MON2-008</x:v>
      </x:c>
      <x:c r="G23" s="73" t="str">
        <x:v>Alerta por patrón crítico</x:v>
      </x:c>
      <x:c r="H23" s="73" t="str">
        <x:v>Regla</x:v>
      </x:c>
      <x:c r="I23" s="85" t="n">
        <x:v>3</x:v>
      </x:c>
      <x:c r="J23" s="85" t="str">
        <x:v>Sí</x:v>
      </x:c>
      <x:c r="K23" s="85" t="str">
        <x:v>No</x:v>
      </x:c>
      <x:c r="L23" s="85" t="n">
        <x:v>1</x:v>
      </x:c>
      <x:c r="M23" s="85" t="str">
        <x:v>Parcial</x:v>
      </x:c>
      <x:c r="N23" s="85" t="n">
        <x:v>0.85</x:v>
      </x:c>
      <x:c r="O23" s="85" t="n">
        <x:v>0.85</x:v>
      </x:c>
      <x:c r="P23" s="85" t="str">
        <x:v>Alta</x:v>
      </x:c>
      <x:c r="Q23" s="85" t="n">
        <x:v>1</x:v>
      </x:c>
      <x:c r="R23" s="85" t="n">
        <x:v>1.45</x:v>
      </x:c>
      <x:c r="S23" s="85" t="n">
        <x:v>1.8</x:v>
      </x:c>
      <x:c r="T23" s="85" t="n">
        <x:v>2.55</x:v>
      </x:c>
      <x:c r="U23" s="85" t="n">
        <x:v>3.6975</x:v>
      </x:c>
      <x:c r="V23" s="85" t="n">
        <x:v>4.59</x:v>
      </x:c>
      <x:c r="W23" s="73"/>
      <x:c r="X23" s="73" t="str">
        <x:v>Reglas de alerta</x:v>
      </x:c>
      <x:c r="Y23" s="73" t="str">
        <x:v>Patrones, frecuencia y severidad</x:v>
      </x:c>
      <x:c r="Z23" s="73"/>
      <x:c r="AA23" s="73" t="str">
        <x:v>Preliminar</x:v>
      </x:c>
      <x:c r="AB23" s="78" t="str">
        <x:v>Estimación técnica ISM · Validar</x:v>
      </x:c>
    </x:row>
    <x:row r="24">
      <x:c r="A24" s="77" t="str">
        <x:v>Monitoreo y Observabilidad</x:v>
      </x:c>
      <x:c r="B24" s="73" t="str">
        <x:v>MON-02</x:v>
      </x:c>
      <x:c r="C24" s="73" t="str">
        <x:v>Centralización de logs y trazabilidad</x:v>
      </x:c>
      <x:c r="D24" s="73" t="str">
        <x:v>03 · Consolidación digital</x:v>
      </x:c>
      <x:c r="E24" s="73" t="str">
        <x:v>Calidad</x:v>
      </x:c>
      <x:c r="F24" s="73" t="str">
        <x:v>MON2-009</x:v>
      </x:c>
      <x:c r="G24" s="73" t="str">
        <x:v>Pruebas de generación y búsqueda</x:v>
      </x:c>
      <x:c r="H24" s="73" t="str">
        <x:v>Caso</x:v>
      </x:c>
      <x:c r="I24" s="85" t="n">
        <x:v>4</x:v>
      </x:c>
      <x:c r="J24" s="85" t="str">
        <x:v>Sí</x:v>
      </x:c>
      <x:c r="K24" s="85" t="str">
        <x:v>Sí</x:v>
      </x:c>
      <x:c r="L24" s="85" t="n">
        <x:v>0.75</x:v>
      </x:c>
      <x:c r="M24" s="85" t="str">
        <x:v>Parcial</x:v>
      </x:c>
      <x:c r="N24" s="85" t="n">
        <x:v>0.85</x:v>
      </x:c>
      <x:c r="O24" s="85" t="n">
        <x:v>0.6375</x:v>
      </x:c>
      <x:c r="P24" s="85" t="str">
        <x:v>Media</x:v>
      </x:c>
      <x:c r="Q24" s="85" t="n">
        <x:v>1</x:v>
      </x:c>
      <x:c r="R24" s="85" t="n">
        <x:v>1.3</x:v>
      </x:c>
      <x:c r="S24" s="85" t="n">
        <x:v>1.55</x:v>
      </x:c>
      <x:c r="T24" s="85" t="n">
        <x:v>2.55</x:v>
      </x:c>
      <x:c r="U24" s="85" t="n">
        <x:v>3.315</x:v>
      </x:c>
      <x:c r="V24" s="85" t="n">
        <x:v>3.9524999999999997</x:v>
      </x:c>
      <x:c r="W24" s="73"/>
      <x:c r="X24" s="73" t="str">
        <x:v>Pruebas de logs</x:v>
      </x:c>
      <x:c r="Y24" s="73" t="str">
        <x:v>Generación, recepción y consulta</x:v>
      </x:c>
      <x:c r="Z24" s="73"/>
      <x:c r="AA24" s="73" t="str">
        <x:v>Preliminar</x:v>
      </x:c>
      <x:c r="AB24" s="78" t="str">
        <x:v>Estimación técnica ISM · Validar</x:v>
      </x:c>
    </x:row>
    <x:row r="25">
      <x:c r="A25" s="77" t="str">
        <x:v>Monitoreo y Observabilidad</x:v>
      </x:c>
      <x:c r="B25" s="73" t="str">
        <x:v>MON-02</x:v>
      </x:c>
      <x:c r="C25" s="73" t="str">
        <x:v>Centralización de logs y trazabilidad</x:v>
      </x:c>
      <x:c r="D25" s="73" t="str">
        <x:v>03 · Consolidación digital</x:v>
      </x:c>
      <x:c r="E25" s="73" t="str">
        <x:v>Operación</x:v>
      </x:c>
      <x:c r="F25" s="73" t="str">
        <x:v>MON2-010</x:v>
      </x:c>
      <x:c r="G25" s="73" t="str">
        <x:v>Runbook de consulta y escalamiento</x:v>
      </x:c>
      <x:c r="H25" s="73" t="str">
        <x:v>Documento</x:v>
      </x:c>
      <x:c r="I25" s="85" t="n">
        <x:v>1</x:v>
      </x:c>
      <x:c r="J25" s="85" t="str">
        <x:v>Sí</x:v>
      </x:c>
      <x:c r="K25" s="85" t="str">
        <x:v>Sí</x:v>
      </x:c>
      <x:c r="L25" s="85" t="n">
        <x:v>1.5</x:v>
      </x:c>
      <x:c r="M25" s="85" t="str">
        <x:v>Parcial</x:v>
      </x:c>
      <x:c r="N25" s="85" t="n">
        <x:v>0.85</x:v>
      </x:c>
      <x:c r="O25" s="85" t="n">
        <x:v>1.275</x:v>
      </x:c>
      <x:c r="P25" s="85" t="str">
        <x:v>Media</x:v>
      </x:c>
      <x:c r="Q25" s="85" t="n">
        <x:v>1</x:v>
      </x:c>
      <x:c r="R25" s="85" t="n">
        <x:v>1.3</x:v>
      </x:c>
      <x:c r="S25" s="85" t="n">
        <x:v>1.55</x:v>
      </x:c>
      <x:c r="T25" s="85" t="n">
        <x:v>1.275</x:v>
      </x:c>
      <x:c r="U25" s="85" t="n">
        <x:v>1.6575</x:v>
      </x:c>
      <x:c r="V25" s="85" t="n">
        <x:v>1.9762499999999998</x:v>
      </x:c>
      <x:c r="W25" s="73"/>
      <x:c r="X25" s="73" t="str">
        <x:v>Runbook</x:v>
      </x:c>
      <x:c r="Y25" s="73" t="str">
        <x:v>Búsquedas, filtros y escalamiento</x:v>
      </x:c>
      <x:c r="Z25" s="73"/>
      <x:c r="AA25" s="73" t="str">
        <x:v>Preliminar</x:v>
      </x:c>
      <x:c r="AB25" s="78" t="str">
        <x:v>Estimación técnica ISM · Validar</x:v>
      </x:c>
    </x:row>
    <x:row r="26">
      <x:c r="A26" s="77" t="str">
        <x:v>Monitoreo y Observabilidad</x:v>
      </x:c>
      <x:c r="B26" s="73" t="str">
        <x:v>MON-03</x:v>
      </x:c>
      <x:c r="C26" s="73" t="str">
        <x:v>Métricas y rendimiento</x:v>
      </x:c>
      <x:c r="D26" s="73" t="str">
        <x:v>03 · Consolidación digital</x:v>
      </x:c>
      <x:c r="E26" s="73" t="str">
        <x:v>Diagnóstico</x:v>
      </x:c>
      <x:c r="F26" s="73" t="str">
        <x:v>MON3-001</x:v>
      </x:c>
      <x:c r="G26" s="73" t="str">
        <x:v>Definición de métricas técnicas</x:v>
      </x:c>
      <x:c r="H26" s="73" t="str">
        <x:v>Métrica</x:v>
      </x:c>
      <x:c r="I26" s="85" t="n">
        <x:v>6</x:v>
      </x:c>
      <x:c r="J26" s="85" t="str">
        <x:v>Sí</x:v>
      </x:c>
      <x:c r="K26" s="85" t="str">
        <x:v>Sí</x:v>
      </x:c>
      <x:c r="L26" s="85" t="n">
        <x:v>0.5</x:v>
      </x:c>
      <x:c r="M26" s="85" t="str">
        <x:v>Parcial</x:v>
      </x:c>
      <x:c r="N26" s="85" t="n">
        <x:v>0.85</x:v>
      </x:c>
      <x:c r="O26" s="85" t="n">
        <x:v>0.425</x:v>
      </x:c>
      <x:c r="P26" s="85" t="str">
        <x:v>Media</x:v>
      </x:c>
      <x:c r="Q26" s="85" t="n">
        <x:v>1</x:v>
      </x:c>
      <x:c r="R26" s="85" t="n">
        <x:v>1.3</x:v>
      </x:c>
      <x:c r="S26" s="85" t="n">
        <x:v>1.55</x:v>
      </x:c>
      <x:c r="T26" s="85" t="n">
        <x:v>2.55</x:v>
      </x:c>
      <x:c r="U26" s="85" t="n">
        <x:v>3.315</x:v>
      </x:c>
      <x:c r="V26" s="85" t="n">
        <x:v>3.9524999999999997</x:v>
      </x:c>
      <x:c r="W26" s="73"/>
      <x:c r="X26" s="73" t="str">
        <x:v>Catálogo de métricas</x:v>
      </x:c>
      <x:c r="Y26" s="73" t="str">
        <x:v>CPU, memoria, latencia, errores y volumen</x:v>
      </x:c>
      <x:c r="Z26" s="73"/>
      <x:c r="AA26" s="73" t="str">
        <x:v>Preliminar</x:v>
      </x:c>
      <x:c r="AB26" s="78" t="str">
        <x:v>Estimación técnica ISM · Validar</x:v>
      </x:c>
    </x:row>
    <x:row r="27">
      <x:c r="A27" s="77" t="str">
        <x:v>Monitoreo y Observabilidad</x:v>
      </x:c>
      <x:c r="B27" s="73" t="str">
        <x:v>MON-03</x:v>
      </x:c>
      <x:c r="C27" s="73" t="str">
        <x:v>Métricas y rendimiento</x:v>
      </x:c>
      <x:c r="D27" s="73" t="str">
        <x:v>03 · Consolidación digital</x:v>
      </x:c>
      <x:c r="E27" s="73" t="str">
        <x:v>Instrumentación</x:v>
      </x:c>
      <x:c r="F27" s="73" t="str">
        <x:v>MON3-002</x:v>
      </x:c>
      <x:c r="G27" s="73" t="str">
        <x:v>Instrumentación de métrica de aplicación</x:v>
      </x:c>
      <x:c r="H27" s="73" t="str">
        <x:v>Métrica</x:v>
      </x:c>
      <x:c r="I27" s="85" t="n">
        <x:v>4</x:v>
      </x:c>
      <x:c r="J27" s="85" t="str">
        <x:v>Sí</x:v>
      </x:c>
      <x:c r="K27" s="85" t="str">
        <x:v>No</x:v>
      </x:c>
      <x:c r="L27" s="85" t="n">
        <x:v>1.5</x:v>
      </x:c>
      <x:c r="M27" s="85" t="str">
        <x:v>Parcial</x:v>
      </x:c>
      <x:c r="N27" s="85" t="n">
        <x:v>0.85</x:v>
      </x:c>
      <x:c r="O27" s="85" t="n">
        <x:v>1.275</x:v>
      </x:c>
      <x:c r="P27" s="85" t="str">
        <x:v>Alta</x:v>
      </x:c>
      <x:c r="Q27" s="85" t="n">
        <x:v>1</x:v>
      </x:c>
      <x:c r="R27" s="85" t="n">
        <x:v>1.45</x:v>
      </x:c>
      <x:c r="S27" s="85" t="n">
        <x:v>1.8</x:v>
      </x:c>
      <x:c r="T27" s="85" t="n">
        <x:v>5.1</x:v>
      </x:c>
      <x:c r="U27" s="85" t="n">
        <x:v>7.395</x:v>
      </x:c>
      <x:c r="V27" s="85" t="n">
        <x:v>9.18</x:v>
      </x:c>
      <x:c r="W27" s="73"/>
      <x:c r="X27" s="73" t="str">
        <x:v>Métricas emitidas</x:v>
      </x:c>
      <x:c r="Y27" s="73" t="str">
        <x:v>Código, etiquetas y frecuencia</x:v>
      </x:c>
      <x:c r="Z27" s="73"/>
      <x:c r="AA27" s="73" t="str">
        <x:v>Preliminar</x:v>
      </x:c>
      <x:c r="AB27" s="78" t="str">
        <x:v>Estimación técnica ISM · Validar</x:v>
      </x:c>
    </x:row>
    <x:row r="28">
      <x:c r="A28" s="77" t="str">
        <x:v>Monitoreo y Observabilidad</x:v>
      </x:c>
      <x:c r="B28" s="73" t="str">
        <x:v>MON-03</x:v>
      </x:c>
      <x:c r="C28" s="73" t="str">
        <x:v>Métricas y rendimiento</x:v>
      </x:c>
      <x:c r="D28" s="73" t="str">
        <x:v>03 · Consolidación digital</x:v>
      </x:c>
      <x:c r="E28" s="73" t="str">
        <x:v>Infraestructura</x:v>
      </x:c>
      <x:c r="F28" s="73" t="str">
        <x:v>MON3-003</x:v>
      </x:c>
      <x:c r="G28" s="73" t="str">
        <x:v>Recolección de métricas de infraestructura</x:v>
      </x:c>
      <x:c r="H28" s="73" t="str">
        <x:v>Host</x:v>
      </x:c>
      <x:c r="I28" s="85" t="n">
        <x:v>2</x:v>
      </x:c>
      <x:c r="J28" s="85" t="str">
        <x:v>Sí</x:v>
      </x:c>
      <x:c r="K28" s="85" t="str">
        <x:v>No</x:v>
      </x:c>
      <x:c r="L28" s="85" t="n">
        <x:v>1.5</x:v>
      </x:c>
      <x:c r="M28" s="85" t="str">
        <x:v>Parcial</x:v>
      </x:c>
      <x:c r="N28" s="85" t="n">
        <x:v>0.85</x:v>
      </x:c>
      <x:c r="O28" s="85" t="n">
        <x:v>1.275</x:v>
      </x:c>
      <x:c r="P28" s="85" t="str">
        <x:v>Alta</x:v>
      </x:c>
      <x:c r="Q28" s="85" t="n">
        <x:v>1</x:v>
      </x:c>
      <x:c r="R28" s="85" t="n">
        <x:v>1.45</x:v>
      </x:c>
      <x:c r="S28" s="85" t="n">
        <x:v>1.8</x:v>
      </x:c>
      <x:c r="T28" s="85" t="n">
        <x:v>2.55</x:v>
      </x:c>
      <x:c r="U28" s="85" t="n">
        <x:v>3.6975</x:v>
      </x:c>
      <x:c r="V28" s="85" t="n">
        <x:v>4.59</x:v>
      </x:c>
      <x:c r="W28" s="73"/>
      <x:c r="X28" s="73" t="str">
        <x:v>Hosts monitoreados</x:v>
      </x:c>
      <x:c r="Y28" s="73" t="str">
        <x:v>Agente, permisos y conectividad</x:v>
      </x:c>
      <x:c r="Z28" s="73"/>
      <x:c r="AA28" s="73" t="str">
        <x:v>Preliminar</x:v>
      </x:c>
      <x:c r="AB28" s="78" t="str">
        <x:v>Estimación técnica ISM · Validar</x:v>
      </x:c>
    </x:row>
    <x:row r="29">
      <x:c r="A29" s="77" t="str">
        <x:v>Monitoreo y Observabilidad</x:v>
      </x:c>
      <x:c r="B29" s="73" t="str">
        <x:v>MON-03</x:v>
      </x:c>
      <x:c r="C29" s="73" t="str">
        <x:v>Métricas y rendimiento</x:v>
      </x:c>
      <x:c r="D29" s="73" t="str">
        <x:v>03 · Consolidación digital</x:v>
      </x:c>
      <x:c r="E29" s="73" t="str">
        <x:v>Visualización</x:v>
      </x:c>
      <x:c r="F29" s="73" t="str">
        <x:v>MON3-004</x:v>
      </x:c>
      <x:c r="G29" s="73" t="str">
        <x:v>Dashboard operacional</x:v>
      </x:c>
      <x:c r="H29" s="73" t="str">
        <x:v>Dashboard</x:v>
      </x:c>
      <x:c r="I29" s="85" t="n">
        <x:v>1</x:v>
      </x:c>
      <x:c r="J29" s="85" t="str">
        <x:v>Sí</x:v>
      </x:c>
      <x:c r="K29" s="85" t="str">
        <x:v>No</x:v>
      </x:c>
      <x:c r="L29" s="85" t="n">
        <x:v>3</x:v>
      </x:c>
      <x:c r="M29" s="85" t="str">
        <x:v>Parcial</x:v>
      </x:c>
      <x:c r="N29" s="85" t="n">
        <x:v>0.85</x:v>
      </x:c>
      <x:c r="O29" s="85" t="n">
        <x:v>2.55</x:v>
      </x:c>
      <x:c r="P29" s="85" t="str">
        <x:v>Alta</x:v>
      </x:c>
      <x:c r="Q29" s="85" t="n">
        <x:v>1</x:v>
      </x:c>
      <x:c r="R29" s="85" t="n">
        <x:v>1.45</x:v>
      </x:c>
      <x:c r="S29" s="85" t="n">
        <x:v>1.8</x:v>
      </x:c>
      <x:c r="T29" s="85" t="n">
        <x:v>2.55</x:v>
      </x:c>
      <x:c r="U29" s="85" t="n">
        <x:v>3.6975</x:v>
      </x:c>
      <x:c r="V29" s="85" t="n">
        <x:v>4.59</x:v>
      </x:c>
      <x:c r="W29" s="73"/>
      <x:c r="X29" s="73" t="str">
        <x:v>Dashboard operacional</x:v>
      </x:c>
      <x:c r="Y29" s="73" t="str">
        <x:v>Salud, capacidad y rendimiento</x:v>
      </x:c>
      <x:c r="Z29" s="73"/>
      <x:c r="AA29" s="73" t="str">
        <x:v>Preliminar</x:v>
      </x:c>
      <x:c r="AB29" s="78" t="str">
        <x:v>Estimación técnica ISM · Validar</x:v>
      </x:c>
    </x:row>
    <x:row r="30">
      <x:c r="A30" s="77" t="str">
        <x:v>Monitoreo y Observabilidad</x:v>
      </x:c>
      <x:c r="B30" s="73" t="str">
        <x:v>MON-03</x:v>
      </x:c>
      <x:c r="C30" s="73" t="str">
        <x:v>Métricas y rendimiento</x:v>
      </x:c>
      <x:c r="D30" s="73" t="str">
        <x:v>03 · Consolidación digital</x:v>
      </x:c>
      <x:c r="E30" s="73" t="str">
        <x:v>Alertas</x:v>
      </x:c>
      <x:c r="F30" s="73" t="str">
        <x:v>MON3-005</x:v>
      </x:c>
      <x:c r="G30" s="73" t="str">
        <x:v>Umbral y alerta de rendimiento</x:v>
      </x:c>
      <x:c r="H30" s="73" t="str">
        <x:v>Métrica</x:v>
      </x:c>
      <x:c r="I30" s="85" t="n">
        <x:v>5</x:v>
      </x:c>
      <x:c r="J30" s="85" t="str">
        <x:v>Sí</x:v>
      </x:c>
      <x:c r="K30" s="85" t="str">
        <x:v>No</x:v>
      </x:c>
      <x:c r="L30" s="85" t="n">
        <x:v>0.75</x:v>
      </x:c>
      <x:c r="M30" s="85" t="str">
        <x:v>Parcial</x:v>
      </x:c>
      <x:c r="N30" s="85" t="n">
        <x:v>0.85</x:v>
      </x:c>
      <x:c r="O30" s="85" t="n">
        <x:v>0.6375</x:v>
      </x:c>
      <x:c r="P30" s="85" t="str">
        <x:v>Alta</x:v>
      </x:c>
      <x:c r="Q30" s="85" t="n">
        <x:v>1</x:v>
      </x:c>
      <x:c r="R30" s="85" t="n">
        <x:v>1.45</x:v>
      </x:c>
      <x:c r="S30" s="85" t="n">
        <x:v>1.8</x:v>
      </x:c>
      <x:c r="T30" s="85" t="n">
        <x:v>3.1875</x:v>
      </x:c>
      <x:c r="U30" s="85" t="n">
        <x:v>4.621875</x:v>
      </x:c>
      <x:c r="V30" s="85" t="n">
        <x:v>5.7375</x:v>
      </x:c>
      <x:c r="W30" s="73"/>
      <x:c r="X30" s="73" t="str">
        <x:v>Alertas de rendimiento</x:v>
      </x:c>
      <x:c r="Y30" s="73" t="str">
        <x:v>Umbral, duración y severidad</x:v>
      </x:c>
      <x:c r="Z30" s="73"/>
      <x:c r="AA30" s="73" t="str">
        <x:v>Preliminar</x:v>
      </x:c>
      <x:c r="AB30" s="78" t="str">
        <x:v>Estimación técnica ISM · Validar</x:v>
      </x:c>
    </x:row>
    <x:row r="31">
      <x:c r="A31" s="77" t="str">
        <x:v>Monitoreo y Observabilidad</x:v>
      </x:c>
      <x:c r="B31" s="73" t="str">
        <x:v>MON-03</x:v>
      </x:c>
      <x:c r="C31" s="73" t="str">
        <x:v>Métricas y rendimiento</x:v>
      </x:c>
      <x:c r="D31" s="73" t="str">
        <x:v>03 · Consolidación digital</x:v>
      </x:c>
      <x:c r="E31" s="73" t="str">
        <x:v>Capacidad</x:v>
      </x:c>
      <x:c r="F31" s="73" t="str">
        <x:v>MON3-006</x:v>
      </x:c>
      <x:c r="G31" s="73" t="str">
        <x:v>Análisis de tendencia y capacidad</x:v>
      </x:c>
      <x:c r="H31" s="73" t="str">
        <x:v>Proyecto</x:v>
      </x:c>
      <x:c r="I31" s="85" t="n">
        <x:v>1</x:v>
      </x:c>
      <x:c r="J31" s="85" t="str">
        <x:v>No</x:v>
      </x:c>
      <x:c r="K31" s="85" t="str">
        <x:v>No</x:v>
      </x:c>
      <x:c r="L31" s="85" t="n">
        <x:v>2.5</x:v>
      </x:c>
      <x:c r="M31" s="85" t="str">
        <x:v>Parcial</x:v>
      </x:c>
      <x:c r="N31" s="85" t="n">
        <x:v>0.85</x:v>
      </x:c>
      <x:c r="O31" s="85" t="n">
        <x:v>2.125</x:v>
      </x:c>
      <x:c r="P31" s="85" t="str">
        <x:v>Alta</x:v>
      </x:c>
      <x:c r="Q31" s="85" t="n">
        <x:v>1</x:v>
      </x:c>
      <x:c r="R31" s="85" t="n">
        <x:v>1.45</x:v>
      </x:c>
      <x:c r="S31" s="85" t="n">
        <x:v>1.8</x:v>
      </x:c>
      <x:c r="T31" s="85" t="n">
        <x:v>0</x:v>
      </x:c>
      <x:c r="U31" s="85" t="n">
        <x:v>0</x:v>
      </x:c>
      <x:c r="V31" s="85" t="n">
        <x:v>0</x:v>
      </x:c>
      <x:c r="W31" s="73"/>
      <x:c r="X31" s="73" t="str">
        <x:v>Informe de capacidad</x:v>
      </x:c>
      <x:c r="Y31" s="73" t="str">
        <x:v>Consumo, tendencia y proyección</x:v>
      </x:c>
      <x:c r="Z31" s="73"/>
      <x:c r="AA31" s="73" t="str">
        <x:v>Preliminar</x:v>
      </x:c>
      <x:c r="AB31" s="78" t="str">
        <x:v>Estimación técnica ISM · Validar</x:v>
      </x:c>
    </x:row>
    <x:row r="32">
      <x:c r="A32" s="77" t="str">
        <x:v>Monitoreo y Observabilidad</x:v>
      </x:c>
      <x:c r="B32" s="73" t="str">
        <x:v>MON-03</x:v>
      </x:c>
      <x:c r="C32" s="73" t="str">
        <x:v>Métricas y rendimiento</x:v>
      </x:c>
      <x:c r="D32" s="73" t="str">
        <x:v>03 · Consolidación digital</x:v>
      </x:c>
      <x:c r="E32" s="73" t="str">
        <x:v>Experiencia</x:v>
      </x:c>
      <x:c r="F32" s="73" t="str">
        <x:v>MON3-007</x:v>
      </x:c>
      <x:c r="G32" s="73" t="str">
        <x:v>Métrica de experiencia o transacción</x:v>
      </x:c>
      <x:c r="H32" s="73" t="str">
        <x:v>Flujo</x:v>
      </x:c>
      <x:c r="I32" s="85" t="n">
        <x:v>2</x:v>
      </x:c>
      <x:c r="J32" s="85" t="str">
        <x:v>No</x:v>
      </x:c>
      <x:c r="K32" s="85" t="str">
        <x:v>No</x:v>
      </x:c>
      <x:c r="L32" s="85" t="n">
        <x:v>1.5</x:v>
      </x:c>
      <x:c r="M32" s="85" t="str">
        <x:v>Parcial</x:v>
      </x:c>
      <x:c r="N32" s="85" t="n">
        <x:v>0.85</x:v>
      </x:c>
      <x:c r="O32" s="85" t="n">
        <x:v>1.275</x:v>
      </x:c>
      <x:c r="P32" s="85" t="str">
        <x:v>Alta</x:v>
      </x:c>
      <x:c r="Q32" s="85" t="n">
        <x:v>1</x:v>
      </x:c>
      <x:c r="R32" s="85" t="n">
        <x:v>1.45</x:v>
      </x:c>
      <x:c r="S32" s="85" t="n">
        <x:v>1.8</x:v>
      </x:c>
      <x:c r="T32" s="85" t="n">
        <x:v>0</x:v>
      </x:c>
      <x:c r="U32" s="85" t="n">
        <x:v>0</x:v>
      </x:c>
      <x:c r="V32" s="85" t="n">
        <x:v>0</x:v>
      </x:c>
      <x:c r="W32" s="73"/>
      <x:c r="X32" s="73" t="str">
        <x:v>Métrica de negocio</x:v>
      </x:c>
      <x:c r="Y32" s="73" t="str">
        <x:v>Tiempo y resultado de transacción</x:v>
      </x:c>
      <x:c r="Z32" s="73"/>
      <x:c r="AA32" s="73" t="str">
        <x:v>Preliminar</x:v>
      </x:c>
      <x:c r="AB32" s="78" t="str">
        <x:v>Estimación técnica ISM · Validar</x:v>
      </x:c>
    </x:row>
    <x:row r="33">
      <x:c r="A33" s="77" t="str">
        <x:v>Monitoreo y Observabilidad</x:v>
      </x:c>
      <x:c r="B33" s="73" t="str">
        <x:v>MON-03</x:v>
      </x:c>
      <x:c r="C33" s="73" t="str">
        <x:v>Métricas y rendimiento</x:v>
      </x:c>
      <x:c r="D33" s="73" t="str">
        <x:v>03 · Consolidación digital</x:v>
      </x:c>
      <x:c r="E33" s="73" t="str">
        <x:v>Calidad</x:v>
      </x:c>
      <x:c r="F33" s="73" t="str">
        <x:v>MON3-008</x:v>
      </x:c>
      <x:c r="G33" s="73" t="str">
        <x:v>Prueba de umbrales y alertas</x:v>
      </x:c>
      <x:c r="H33" s="73" t="str">
        <x:v>Caso</x:v>
      </x:c>
      <x:c r="I33" s="85" t="n">
        <x:v>4</x:v>
      </x:c>
      <x:c r="J33" s="85" t="str">
        <x:v>Sí</x:v>
      </x:c>
      <x:c r="K33" s="85" t="str">
        <x:v>Sí</x:v>
      </x:c>
      <x:c r="L33" s="85" t="n">
        <x:v>0.75</x:v>
      </x:c>
      <x:c r="M33" s="85" t="str">
        <x:v>Parcial</x:v>
      </x:c>
      <x:c r="N33" s="85" t="n">
        <x:v>0.85</x:v>
      </x:c>
      <x:c r="O33" s="85" t="n">
        <x:v>0.6375</x:v>
      </x:c>
      <x:c r="P33" s="85" t="str">
        <x:v>Media</x:v>
      </x:c>
      <x:c r="Q33" s="85" t="n">
        <x:v>1</x:v>
      </x:c>
      <x:c r="R33" s="85" t="n">
        <x:v>1.3</x:v>
      </x:c>
      <x:c r="S33" s="85" t="n">
        <x:v>1.55</x:v>
      </x:c>
      <x:c r="T33" s="85" t="n">
        <x:v>2.55</x:v>
      </x:c>
      <x:c r="U33" s="85" t="n">
        <x:v>3.315</x:v>
      </x:c>
      <x:c r="V33" s="85" t="n">
        <x:v>3.9524999999999997</x:v>
      </x:c>
      <x:c r="W33" s="73"/>
      <x:c r="X33" s="73" t="str">
        <x:v>Pruebas de alertas</x:v>
      </x:c>
      <x:c r="Y33" s="73" t="str">
        <x:v>Generación y recepción</x:v>
      </x:c>
      <x:c r="Z33" s="73"/>
      <x:c r="AA33" s="73" t="str">
        <x:v>Preliminar</x:v>
      </x:c>
      <x:c r="AB33" s="78" t="str">
        <x:v>Estimación técnica ISM · Validar</x:v>
      </x:c>
    </x:row>
    <x:row r="34">
      <x:c r="A34" s="77" t="str">
        <x:v>Monitoreo y Observabilidad</x:v>
      </x:c>
      <x:c r="B34" s="73" t="str">
        <x:v>MON-03</x:v>
      </x:c>
      <x:c r="C34" s="73" t="str">
        <x:v>Métricas y rendimiento</x:v>
      </x:c>
      <x:c r="D34" s="73" t="str">
        <x:v>03 · Consolidación digital</x:v>
      </x:c>
      <x:c r="E34" s="73" t="str">
        <x:v>Reportes</x:v>
      </x:c>
      <x:c r="F34" s="73" t="str">
        <x:v>MON3-009</x:v>
      </x:c>
      <x:c r="G34" s="73" t="str">
        <x:v>Reporte periódico de rendimiento</x:v>
      </x:c>
      <x:c r="H34" s="73" t="str">
        <x:v>Reporte</x:v>
      </x:c>
      <x:c r="I34" s="85" t="n">
        <x:v>1</x:v>
      </x:c>
      <x:c r="J34" s="85" t="str">
        <x:v>Sí</x:v>
      </x:c>
      <x:c r="K34" s="85" t="str">
        <x:v>No</x:v>
      </x:c>
      <x:c r="L34" s="85" t="n">
        <x:v>2</x:v>
      </x:c>
      <x:c r="M34" s="85" t="str">
        <x:v>Parcial</x:v>
      </x:c>
      <x:c r="N34" s="85" t="n">
        <x:v>0.85</x:v>
      </x:c>
      <x:c r="O34" s="85" t="n">
        <x:v>1.7</x:v>
      </x:c>
      <x:c r="P34" s="85" t="str">
        <x:v>Media</x:v>
      </x:c>
      <x:c r="Q34" s="85" t="n">
        <x:v>1</x:v>
      </x:c>
      <x:c r="R34" s="85" t="n">
        <x:v>1.3</x:v>
      </x:c>
      <x:c r="S34" s="85" t="n">
        <x:v>1.55</x:v>
      </x:c>
      <x:c r="T34" s="85" t="n">
        <x:v>1.7</x:v>
      </x:c>
      <x:c r="U34" s="85" t="n">
        <x:v>2.21</x:v>
      </x:c>
      <x:c r="V34" s="85" t="n">
        <x:v>2.635</x:v>
      </x:c>
      <x:c r="W34" s="73"/>
      <x:c r="X34" s="73" t="str">
        <x:v>Reporte de rendimiento</x:v>
      </x:c>
      <x:c r="Y34" s="73" t="str">
        <x:v>Indicadores, eventos y recomendaciones</x:v>
      </x:c>
      <x:c r="Z34" s="73"/>
      <x:c r="AA34" s="73" t="str">
        <x:v>Preliminar</x:v>
      </x:c>
      <x:c r="AB34" s="78" t="str">
        <x:v>Estimación técnica ISM · Validar</x:v>
      </x:c>
    </x:row>
    <x:row r="35">
      <x:c r="A35" s="80" t="str">
        <x:v>Monitoreo y Observabilidad</x:v>
      </x:c>
      <x:c r="B35" s="81" t="str">
        <x:v>MON-03</x:v>
      </x:c>
      <x:c r="C35" s="81" t="str">
        <x:v>Métricas y rendimiento</x:v>
      </x:c>
      <x:c r="D35" s="81" t="str">
        <x:v>03 · Consolidación digital</x:v>
      </x:c>
      <x:c r="E35" s="81" t="str">
        <x:v>Operación</x:v>
      </x:c>
      <x:c r="F35" s="81" t="str">
        <x:v>MON3-010</x:v>
      </x:c>
      <x:c r="G35" s="81" t="str">
        <x:v>Documentación y transferencia</x:v>
      </x:c>
      <x:c r="H35" s="81" t="str">
        <x:v>Proyecto</x:v>
      </x:c>
      <x:c r="I35" s="101" t="n">
        <x:v>1</x:v>
      </x:c>
      <x:c r="J35" s="101" t="str">
        <x:v>Sí</x:v>
      </x:c>
      <x:c r="K35" s="101" t="str">
        <x:v>Sí</x:v>
      </x:c>
      <x:c r="L35" s="101" t="n">
        <x:v>1.5</x:v>
      </x:c>
      <x:c r="M35" s="101" t="str">
        <x:v>Parcial</x:v>
      </x:c>
      <x:c r="N35" s="101" t="n">
        <x:v>0.85</x:v>
      </x:c>
      <x:c r="O35" s="101" t="n">
        <x:v>1.275</x:v>
      </x:c>
      <x:c r="P35" s="101" t="str">
        <x:v>Media</x:v>
      </x:c>
      <x:c r="Q35" s="101" t="n">
        <x:v>1</x:v>
      </x:c>
      <x:c r="R35" s="101" t="n">
        <x:v>1.3</x:v>
      </x:c>
      <x:c r="S35" s="101" t="n">
        <x:v>1.55</x:v>
      </x:c>
      <x:c r="T35" s="101" t="n">
        <x:v>1.275</x:v>
      </x:c>
      <x:c r="U35" s="101" t="n">
        <x:v>1.6575</x:v>
      </x:c>
      <x:c r="V35" s="101" t="n">
        <x:v>1.9762499999999998</x:v>
      </x:c>
      <x:c r="W35" s="81"/>
      <x:c r="X35" s="81" t="str">
        <x:v>Guía operativa</x:v>
      </x:c>
      <x:c r="Y35" s="81" t="str">
        <x:v>Dashboards, alertas y mantenimiento</x:v>
      </x:c>
      <x:c r="Z35" s="81"/>
      <x:c r="AA35" s="81" t="str">
        <x:v>Preliminar</x:v>
      </x:c>
      <x:c r="AB35" s="82" t="str">
        <x:v>Estimación técnica ISM · Validar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046e5d59a05246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5" hidden="0" customWidth="1"/>
    <x:col min="5" max="5" width="18" hidden="0" customWidth="1"/>
    <x:col min="6" max="6" width="14" hidden="0" customWidth="1"/>
    <x:col min="7" max="7" width="42" hidden="0" customWidth="1"/>
    <x:col min="8" max="8" width="16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4" hidden="0" customWidth="1"/>
    <x:col min="24" max="24" width="28" hidden="0" customWidth="1"/>
    <x:col min="25" max="25" width="38" hidden="0" customWidth="1"/>
    <x:col min="26" max="26" width="32" hidden="0" customWidth="1"/>
    <x:col min="27" max="27" width="18" hidden="0" customWidth="1"/>
    <x:col min="28" max="28" width="30" hidden="0" customWidth="1"/>
  </x:cols>
  <x:sheetData>
    <x:row r="1">
      <x:c r="A1" s="5" t="str">
        <x:v>CATÁLOGO TÉCNICO · RESPALDO Y CONTINUIDAD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>
      <x:c r="A2" s="55" t="str">
        <x:v>Protección, recuperación, retención y continuidad de la información.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</x:row>
    <x:row r="3">
      <x:c r="A3" s="103" t="str">
        <x:v>Servicios</x:v>
      </x:c>
      <x:c r="B3" s="104" t="n">
        <x:v>3</x:v>
      </x:c>
      <x:c r="C3" s="104" t="str">
        <x:v>Actividades</x:v>
      </x:c>
      <x:c r="D3" s="104" t="n">
        <x:v>29</x:v>
      </x:c>
      <x:c r="E3" s="104" t="str">
        <x:v>HH Inicial</x:v>
      </x:c>
      <x:c r="F3" s="109" t="n">
        <x:v>73.26</x:v>
      </x:c>
      <x:c r="G3" s="109" t="str">
        <x:v>HH Estándar</x:v>
      </x:c>
      <x:c r="H3" s="109" t="n">
        <x:v>102.828</x:v>
      </x:c>
      <x:c r="I3" s="109" t="str">
        <x:v>HH Avanzado</x:v>
      </x:c>
      <x:c r="J3" s="109" t="n">
        <x:v>126.203</x:v>
      </x:c>
      <x:c r="K3" s="104" t="str">
        <x:v>Estado</x:v>
      </x:c>
      <x:c r="L3" s="105" t="str">
        <x:v>Preliminar</x:v>
      </x:c>
    </x:row>
    <x:row r="5">
      <x:c r="A5" s="20" t="str">
        <x:v>Línea de servicio</x:v>
      </x:c>
      <x:c r="B5" s="21" t="str">
        <x:v>Código servicio</x:v>
      </x:c>
      <x:c r="C5" s="21" t="str">
        <x:v>Servicio / solución</x:v>
      </x:c>
      <x:c r="D5" s="21" t="str">
        <x:v>Madurez</x:v>
      </x:c>
      <x:c r="E5" s="21" t="str">
        <x:v>Fase</x:v>
      </x:c>
      <x:c r="F5" s="21" t="str">
        <x:v>Código actividad</x:v>
      </x:c>
      <x:c r="G5" s="21" t="str">
        <x:v>Actividad / entregable</x:v>
      </x:c>
      <x:c r="H5" s="21" t="str">
        <x:v>Unidad</x:v>
      </x:c>
      <x:c r="I5" s="21" t="str">
        <x:v>Cantidad base</x:v>
      </x:c>
      <x:c r="J5" s="21" t="str">
        <x:v>Incluida base</x:v>
      </x:c>
      <x:c r="K5" s="21" t="str">
        <x:v>Obligatoria</x:v>
      </x:c>
      <x:c r="L5" s="21" t="str">
        <x:v>HH unitarias desde cero</x:v>
      </x:c>
      <x:c r="M5" s="21" t="str">
        <x:v>Reutilización</x:v>
      </x:c>
      <x:c r="N5" s="21" t="str">
        <x:v>Factor reutilización ISM</x:v>
      </x:c>
      <x:c r="O5" s="21" t="str">
        <x:v>HH unitarias configurador</x:v>
      </x:c>
      <x:c r="P5" s="21" t="str">
        <x:v>Complejidad</x:v>
      </x:c>
      <x:c r="Q5" s="21" t="str">
        <x:v>Factor Inicial</x:v>
      </x:c>
      <x:c r="R5" s="21" t="str">
        <x:v>Factor Estándar</x:v>
      </x:c>
      <x:c r="S5" s="21" t="str">
        <x:v>Factor Avanzado</x:v>
      </x:c>
      <x:c r="T5" s="21" t="str">
        <x:v>HH Inicial</x:v>
      </x:c>
      <x:c r="U5" s="21" t="str">
        <x:v>HH Estándar</x:v>
      </x:c>
      <x:c r="V5" s="21" t="str">
        <x:v>HH Avanzado</x:v>
      </x:c>
      <x:c r="W5" s="21" t="str">
        <x:v>Dependencias</x:v>
      </x:c>
      <x:c r="X5" s="21" t="str">
        <x:v>Entregable verificable</x:v>
      </x:c>
      <x:c r="Y5" s="21" t="str">
        <x:v>Alcance / criterio</x:v>
      </x:c>
      <x:c r="Z5" s="21" t="str">
        <x:v>Exclusiones</x:v>
      </x:c>
      <x:c r="AA5" s="21" t="str">
        <x:v>Estado validación</x:v>
      </x:c>
      <x:c r="AB5" s="22" t="str">
        <x:v>Fuente / calibración</x:v>
      </x:c>
    </x:row>
    <x:row r="6">
      <x:c r="A6" s="74" t="str">
        <x:v>Respaldo y Continuidad</x:v>
      </x:c>
      <x:c r="B6" s="75" t="str">
        <x:v>BCP-01</x:v>
      </x:c>
      <x:c r="C6" s="75" t="str">
        <x:v>Implementación de respaldos</x:v>
      </x:c>
      <x:c r="D6" s="75" t="str">
        <x:v>03 · Consolidación digital</x:v>
      </x:c>
      <x:c r="E6" s="75" t="str">
        <x:v>Diagnóstico</x:v>
      </x:c>
      <x:c r="F6" s="75" t="str">
        <x:v>BCP1-001</x:v>
      </x:c>
      <x:c r="G6" s="75" t="str">
        <x:v>Inventario de activos y datos críticos</x:v>
      </x:c>
      <x:c r="H6" s="75" t="str">
        <x:v>Activo</x:v>
      </x:c>
      <x:c r="I6" s="84" t="n">
        <x:v>4</x:v>
      </x:c>
      <x:c r="J6" s="84" t="str">
        <x:v>Sí</x:v>
      </x:c>
      <x:c r="K6" s="84" t="str">
        <x:v>Sí</x:v>
      </x:c>
      <x:c r="L6" s="84" t="n">
        <x:v>0.75</x:v>
      </x:c>
      <x:c r="M6" s="84" t="str">
        <x:v>Parcial</x:v>
      </x:c>
      <x:c r="N6" s="84" t="n">
        <x:v>0.88</x:v>
      </x:c>
      <x:c r="O6" s="84" t="n">
        <x:v>0.66</x:v>
      </x:c>
      <x:c r="P6" s="84" t="str">
        <x:v>Media</x:v>
      </x:c>
      <x:c r="Q6" s="84" t="n">
        <x:v>1</x:v>
      </x:c>
      <x:c r="R6" s="84" t="n">
        <x:v>1.3</x:v>
      </x:c>
      <x:c r="S6" s="84" t="n">
        <x:v>1.55</x:v>
      </x:c>
      <x:c r="T6" s="84" t="n">
        <x:v>2.64</x:v>
      </x:c>
      <x:c r="U6" s="84" t="n">
        <x:v>3.4320000000000004</x:v>
      </x:c>
      <x:c r="V6" s="84" t="n">
        <x:v>4.0920000000000005</x:v>
      </x:c>
      <x:c r="W6" s="75"/>
      <x:c r="X6" s="75" t="str">
        <x:v>Inventario de respaldo</x:v>
      </x:c>
      <x:c r="Y6" s="75" t="str">
        <x:v>Sistemas, datos, propietarios y criticidad</x:v>
      </x:c>
      <x:c r="Z6" s="75"/>
      <x:c r="AA6" s="75" t="str">
        <x:v>Preliminar</x:v>
      </x:c>
      <x:c r="AB6" s="76" t="str">
        <x:v>Estimación técnica ISM · Validar</x:v>
      </x:c>
    </x:row>
    <x:row r="7">
      <x:c r="A7" s="77" t="str">
        <x:v>Respaldo y Continuidad</x:v>
      </x:c>
      <x:c r="B7" s="73" t="str">
        <x:v>BCP-01</x:v>
      </x:c>
      <x:c r="C7" s="73" t="str">
        <x:v>Implementación de respaldos</x:v>
      </x:c>
      <x:c r="D7" s="73" t="str">
        <x:v>03 · Consolidación digital</x:v>
      </x:c>
      <x:c r="E7" s="73" t="str">
        <x:v>Diseño</x:v>
      </x:c>
      <x:c r="F7" s="73" t="str">
        <x:v>BCP1-002</x:v>
      </x:c>
      <x:c r="G7" s="73" t="str">
        <x:v>Confirmación de RPO y RTO operativo para respaldos</x:v>
      </x:c>
      <x:c r="H7" s="73" t="str">
        <x:v>Servicio</x:v>
      </x:c>
      <x:c r="I7" s="85" t="n">
        <x:v>3</x:v>
      </x:c>
      <x:c r="J7" s="85" t="str">
        <x:v>Sí</x:v>
      </x:c>
      <x:c r="K7" s="85" t="str">
        <x:v>Sí</x:v>
      </x:c>
      <x:c r="L7" s="85" t="n">
        <x:v>1</x:v>
      </x:c>
      <x:c r="M7" s="85" t="str">
        <x:v>Parcial</x:v>
      </x:c>
      <x:c r="N7" s="85" t="n">
        <x:v>0.88</x:v>
      </x:c>
      <x:c r="O7" s="85" t="n">
        <x:v>0.88</x:v>
      </x:c>
      <x:c r="P7" s="85" t="str">
        <x:v>Alta</x:v>
      </x:c>
      <x:c r="Q7" s="85" t="n">
        <x:v>1</x:v>
      </x:c>
      <x:c r="R7" s="85" t="n">
        <x:v>1.45</x:v>
      </x:c>
      <x:c r="S7" s="85" t="n">
        <x:v>1.8</x:v>
      </x:c>
      <x:c r="T7" s="85" t="n">
        <x:v>2.64</x:v>
      </x:c>
      <x:c r="U7" s="85" t="n">
        <x:v>3.828</x:v>
      </x:c>
      <x:c r="V7" s="85" t="n">
        <x:v>4.752000000000001</x:v>
      </x:c>
      <x:c r="W7" s="73"/>
      <x:c r="X7" s="73" t="str">
        <x:v>Objetivos de recuperación</x:v>
      </x:c>
      <x:c r="Y7" s="73" t="str">
        <x:v>Validación básica de objetivos necesarios para definir frecuencia y restauración del respaldo.</x:v>
      </x:c>
      <x:c r="Z7" s="73" t="str">
        <x:v>Si se incluye BCP-02, reutilizar la definición formal de BCP2-003 y no duplicar este esfuerzo.</x:v>
      </x:c>
      <x:c r="AA7" s="73" t="str">
        <x:v>Preliminar</x:v>
      </x:c>
      <x:c r="AB7" s="78" t="str">
        <x:v>Estimación técnica ISM · Validar</x:v>
      </x:c>
    </x:row>
    <x:row r="8">
      <x:c r="A8" s="77" t="str">
        <x:v>Respaldo y Continuidad</x:v>
      </x:c>
      <x:c r="B8" s="73" t="str">
        <x:v>BCP-01</x:v>
      </x:c>
      <x:c r="C8" s="73" t="str">
        <x:v>Implementación de respaldos</x:v>
      </x:c>
      <x:c r="D8" s="73" t="str">
        <x:v>03 · Consolidación digital</x:v>
      </x:c>
      <x:c r="E8" s="73" t="str">
        <x:v>Diseño</x:v>
      </x:c>
      <x:c r="F8" s="73" t="str">
        <x:v>BCP1-003</x:v>
      </x:c>
      <x:c r="G8" s="73" t="str">
        <x:v>Diseño de política de respaldo</x:v>
      </x:c>
      <x:c r="H8" s="73" t="str">
        <x:v>Proyecto</x:v>
      </x:c>
      <x:c r="I8" s="85" t="n">
        <x:v>1</x:v>
      </x:c>
      <x:c r="J8" s="85" t="str">
        <x:v>Sí</x:v>
      </x:c>
      <x:c r="K8" s="85" t="str">
        <x:v>Sí</x:v>
      </x:c>
      <x:c r="L8" s="85" t="n">
        <x:v>2</x:v>
      </x:c>
      <x:c r="M8" s="85" t="str">
        <x:v>Parcial</x:v>
      </x:c>
      <x:c r="N8" s="85" t="n">
        <x:v>0.88</x:v>
      </x:c>
      <x:c r="O8" s="85" t="n">
        <x:v>1.76</x:v>
      </x:c>
      <x:c r="P8" s="85" t="str">
        <x:v>Alta</x:v>
      </x:c>
      <x:c r="Q8" s="85" t="n">
        <x:v>1</x:v>
      </x:c>
      <x:c r="R8" s="85" t="n">
        <x:v>1.45</x:v>
      </x:c>
      <x:c r="S8" s="85" t="n">
        <x:v>1.8</x:v>
      </x:c>
      <x:c r="T8" s="85" t="n">
        <x:v>1.76</x:v>
      </x:c>
      <x:c r="U8" s="85" t="n">
        <x:v>2.552</x:v>
      </x:c>
      <x:c r="V8" s="85" t="n">
        <x:v>3.168</x:v>
      </x:c>
      <x:c r="W8" s="73"/>
      <x:c r="X8" s="73" t="str">
        <x:v>Política de respaldo</x:v>
      </x:c>
      <x:c r="Y8" s="73" t="str">
        <x:v>Frecuencia, retención, cifrado y ubicación</x:v>
      </x:c>
      <x:c r="Z8" s="73"/>
      <x:c r="AA8" s="73" t="str">
        <x:v>Preliminar</x:v>
      </x:c>
      <x:c r="AB8" s="78" t="str">
        <x:v>Estimación técnica ISM · Validar</x:v>
      </x:c>
    </x:row>
    <x:row r="9">
      <x:c r="A9" s="77" t="str">
        <x:v>Respaldo y Continuidad</x:v>
      </x:c>
      <x:c r="B9" s="73" t="str">
        <x:v>BCP-01</x:v>
      </x:c>
      <x:c r="C9" s="73" t="str">
        <x:v>Implementación de respaldos</x:v>
      </x:c>
      <x:c r="D9" s="73" t="str">
        <x:v>03 · Consolidación digital</x:v>
      </x:c>
      <x:c r="E9" s="73" t="str">
        <x:v>Implementación</x:v>
      </x:c>
      <x:c r="F9" s="73" t="str">
        <x:v>BCP1-004</x:v>
      </x:c>
      <x:c r="G9" s="73" t="str">
        <x:v>Configuración de job de respaldo</x:v>
      </x:c>
      <x:c r="H9" s="73" t="str">
        <x:v>Job</x:v>
      </x:c>
      <x:c r="I9" s="85" t="n">
        <x:v>3</x:v>
      </x:c>
      <x:c r="J9" s="85" t="str">
        <x:v>Sí</x:v>
      </x:c>
      <x:c r="K9" s="85" t="str">
        <x:v>No</x:v>
      </x:c>
      <x:c r="L9" s="85" t="n">
        <x:v>1.5</x:v>
      </x:c>
      <x:c r="M9" s="85" t="str">
        <x:v>Parcial</x:v>
      </x:c>
      <x:c r="N9" s="85" t="n">
        <x:v>0.88</x:v>
      </x:c>
      <x:c r="O9" s="85" t="n">
        <x:v>1.32</x:v>
      </x:c>
      <x:c r="P9" s="85" t="str">
        <x:v>Alta</x:v>
      </x:c>
      <x:c r="Q9" s="85" t="n">
        <x:v>1</x:v>
      </x:c>
      <x:c r="R9" s="85" t="n">
        <x:v>1.45</x:v>
      </x:c>
      <x:c r="S9" s="85" t="n">
        <x:v>1.8</x:v>
      </x:c>
      <x:c r="T9" s="85" t="n">
        <x:v>3.96</x:v>
      </x:c>
      <x:c r="U9" s="85" t="n">
        <x:v>5.742</x:v>
      </x:c>
      <x:c r="V9" s="85" t="n">
        <x:v>7.128</x:v>
      </x:c>
      <x:c r="W9" s="73"/>
      <x:c r="X9" s="73" t="str">
        <x:v>Jobs configurados</x:v>
      </x:c>
      <x:c r="Y9" s="73" t="str">
        <x:v>Origen, destino, horario y retención</x:v>
      </x:c>
      <x:c r="Z9" s="73"/>
      <x:c r="AA9" s="73" t="str">
        <x:v>Preliminar</x:v>
      </x:c>
      <x:c r="AB9" s="78" t="str">
        <x:v>Estimación técnica ISM · Validar</x:v>
      </x:c>
    </x:row>
    <x:row r="10">
      <x:c r="A10" s="77" t="str">
        <x:v>Respaldo y Continuidad</x:v>
      </x:c>
      <x:c r="B10" s="73" t="str">
        <x:v>BCP-01</x:v>
      </x:c>
      <x:c r="C10" s="73" t="str">
        <x:v>Implementación de respaldos</x:v>
      </x:c>
      <x:c r="D10" s="73" t="str">
        <x:v>03 · Consolidación digital</x:v>
      </x:c>
      <x:c r="E10" s="73" t="str">
        <x:v>Implementación</x:v>
      </x:c>
      <x:c r="F10" s="73" t="str">
        <x:v>BCP1-005</x:v>
      </x:c>
      <x:c r="G10" s="73" t="str">
        <x:v>Configuración de cifrado y acceso</x:v>
      </x:c>
      <x:c r="H10" s="73" t="str">
        <x:v>Entorno</x:v>
      </x:c>
      <x:c r="I10" s="85" t="n">
        <x:v>1</x:v>
      </x:c>
      <x:c r="J10" s="85" t="str">
        <x:v>Sí</x:v>
      </x:c>
      <x:c r="K10" s="85" t="str">
        <x:v>No</x:v>
      </x:c>
      <x:c r="L10" s="85" t="n">
        <x:v>1.5</x:v>
      </x:c>
      <x:c r="M10" s="85" t="str">
        <x:v>Parcial</x:v>
      </x:c>
      <x:c r="N10" s="85" t="n">
        <x:v>0.88</x:v>
      </x:c>
      <x:c r="O10" s="85" t="n">
        <x:v>1.32</x:v>
      </x:c>
      <x:c r="P10" s="85" t="str">
        <x:v>Alta</x:v>
      </x:c>
      <x:c r="Q10" s="85" t="n">
        <x:v>1</x:v>
      </x:c>
      <x:c r="R10" s="85" t="n">
        <x:v>1.45</x:v>
      </x:c>
      <x:c r="S10" s="85" t="n">
        <x:v>1.8</x:v>
      </x:c>
      <x:c r="T10" s="85" t="n">
        <x:v>1.32</x:v>
      </x:c>
      <x:c r="U10" s="85" t="n">
        <x:v>1.914</x:v>
      </x:c>
      <x:c r="V10" s="85" t="n">
        <x:v>2.3760000000000003</x:v>
      </x:c>
      <x:c r="W10" s="73"/>
      <x:c r="X10" s="73" t="str">
        <x:v>Respaldo protegido</x:v>
      </x:c>
      <x:c r="Y10" s="73" t="str">
        <x:v>Claves, permisos y acceso restringido</x:v>
      </x:c>
      <x:c r="Z10" s="73"/>
      <x:c r="AA10" s="73" t="str">
        <x:v>Preliminar</x:v>
      </x:c>
      <x:c r="AB10" s="78" t="str">
        <x:v>Estimación técnica ISM · Validar</x:v>
      </x:c>
    </x:row>
    <x:row r="11">
      <x:c r="A11" s="77" t="str">
        <x:v>Respaldo y Continuidad</x:v>
      </x:c>
      <x:c r="B11" s="73" t="str">
        <x:v>BCP-01</x:v>
      </x:c>
      <x:c r="C11" s="73" t="str">
        <x:v>Implementación de respaldos</x:v>
      </x:c>
      <x:c r="D11" s="73" t="str">
        <x:v>03 · Consolidación digital</x:v>
      </x:c>
      <x:c r="E11" s="73" t="str">
        <x:v>Implementación</x:v>
      </x:c>
      <x:c r="F11" s="73" t="str">
        <x:v>BCP1-006</x:v>
      </x:c>
      <x:c r="G11" s="73" t="str">
        <x:v>Copia externa o segunda ubicación</x:v>
      </x:c>
      <x:c r="H11" s="73" t="str">
        <x:v>Destino</x:v>
      </x:c>
      <x:c r="I11" s="85" t="n">
        <x:v>1</x:v>
      </x:c>
      <x:c r="J11" s="85" t="str">
        <x:v>No</x:v>
      </x:c>
      <x:c r="K11" s="85" t="str">
        <x:v>No</x:v>
      </x:c>
      <x:c r="L11" s="85" t="n">
        <x:v>2</x:v>
      </x:c>
      <x:c r="M11" s="85" t="str">
        <x:v>Parcial</x:v>
      </x:c>
      <x:c r="N11" s="85" t="n">
        <x:v>0.88</x:v>
      </x:c>
      <x:c r="O11" s="85" t="n">
        <x:v>1.76</x:v>
      </x:c>
      <x:c r="P11" s="85" t="str">
        <x:v>Alta</x:v>
      </x:c>
      <x:c r="Q11" s="85" t="n">
        <x:v>1</x:v>
      </x:c>
      <x:c r="R11" s="85" t="n">
        <x:v>1.45</x:v>
      </x:c>
      <x:c r="S11" s="85" t="n">
        <x:v>1.8</x:v>
      </x:c>
      <x:c r="T11" s="85" t="n">
        <x:v>0</x:v>
      </x:c>
      <x:c r="U11" s="85" t="n">
        <x:v>0</x:v>
      </x:c>
      <x:c r="V11" s="85" t="n">
        <x:v>0</x:v>
      </x:c>
      <x:c r="W11" s="73"/>
      <x:c r="X11" s="73" t="str">
        <x:v>Copia externa</x:v>
      </x:c>
      <x:c r="Y11" s="73" t="str">
        <x:v>Transferencia, validación y retención</x:v>
      </x:c>
      <x:c r="Z11" s="73"/>
      <x:c r="AA11" s="73" t="str">
        <x:v>Preliminar</x:v>
      </x:c>
      <x:c r="AB11" s="78" t="str">
        <x:v>Estimación técnica ISM · Validar</x:v>
      </x:c>
    </x:row>
    <x:row r="12">
      <x:c r="A12" s="77" t="str">
        <x:v>Respaldo y Continuidad</x:v>
      </x:c>
      <x:c r="B12" s="73" t="str">
        <x:v>BCP-01</x:v>
      </x:c>
      <x:c r="C12" s="73" t="str">
        <x:v>Implementación de respaldos</x:v>
      </x:c>
      <x:c r="D12" s="73" t="str">
        <x:v>03 · Consolidación digital</x:v>
      </x:c>
      <x:c r="E12" s="73" t="str">
        <x:v>Validación</x:v>
      </x:c>
      <x:c r="F12" s="73" t="str">
        <x:v>BCP1-007</x:v>
      </x:c>
      <x:c r="G12" s="73" t="str">
        <x:v>Prueba de respaldo completo</x:v>
      </x:c>
      <x:c r="H12" s="73" t="str">
        <x:v>Job</x:v>
      </x:c>
      <x:c r="I12" s="85" t="n">
        <x:v>3</x:v>
      </x:c>
      <x:c r="J12" s="85" t="str">
        <x:v>Sí</x:v>
      </x:c>
      <x:c r="K12" s="85" t="str">
        <x:v>Sí</x:v>
      </x:c>
      <x:c r="L12" s="85" t="n">
        <x:v>0.75</x:v>
      </x:c>
      <x:c r="M12" s="85" t="str">
        <x:v>Parcial</x:v>
      </x:c>
      <x:c r="N12" s="85" t="n">
        <x:v>0.88</x:v>
      </x:c>
      <x:c r="O12" s="85" t="n">
        <x:v>0.66</x:v>
      </x:c>
      <x:c r="P12" s="85" t="str">
        <x:v>Media</x:v>
      </x:c>
      <x:c r="Q12" s="85" t="n">
        <x:v>1</x:v>
      </x:c>
      <x:c r="R12" s="85" t="n">
        <x:v>1.3</x:v>
      </x:c>
      <x:c r="S12" s="85" t="n">
        <x:v>1.55</x:v>
      </x:c>
      <x:c r="T12" s="85" t="n">
        <x:v>1.98</x:v>
      </x:c>
      <x:c r="U12" s="85" t="n">
        <x:v>2.574</x:v>
      </x:c>
      <x:c r="V12" s="85" t="n">
        <x:v>3.069</x:v>
      </x:c>
      <x:c r="W12" s="73"/>
      <x:c r="X12" s="73" t="str">
        <x:v>Jobs validados</x:v>
      </x:c>
      <x:c r="Y12" s="73" t="str">
        <x:v>Ejecución, duración y resultado</x:v>
      </x:c>
      <x:c r="Z12" s="73"/>
      <x:c r="AA12" s="73" t="str">
        <x:v>Preliminar</x:v>
      </x:c>
      <x:c r="AB12" s="78" t="str">
        <x:v>Estimación técnica ISM · Validar</x:v>
      </x:c>
    </x:row>
    <x:row r="13">
      <x:c r="A13" s="77" t="str">
        <x:v>Respaldo y Continuidad</x:v>
      </x:c>
      <x:c r="B13" s="73" t="str">
        <x:v>BCP-01</x:v>
      </x:c>
      <x:c r="C13" s="73" t="str">
        <x:v>Implementación de respaldos</x:v>
      </x:c>
      <x:c r="D13" s="73" t="str">
        <x:v>03 · Consolidación digital</x:v>
      </x:c>
      <x:c r="E13" s="73" t="str">
        <x:v>Restauración</x:v>
      </x:c>
      <x:c r="F13" s="73" t="str">
        <x:v>BCP1-008</x:v>
      </x:c>
      <x:c r="G13" s="73" t="str">
        <x:v>Prueba de restauración</x:v>
      </x:c>
      <x:c r="H13" s="73" t="str">
        <x:v>Activo</x:v>
      </x:c>
      <x:c r="I13" s="85" t="n">
        <x:v>2</x:v>
      </x:c>
      <x:c r="J13" s="85" t="str">
        <x:v>Sí</x:v>
      </x:c>
      <x:c r="K13" s="85" t="str">
        <x:v>Sí</x:v>
      </x:c>
      <x:c r="L13" s="85" t="n">
        <x:v>2</x:v>
      </x:c>
      <x:c r="M13" s="85" t="str">
        <x:v>Parcial</x:v>
      </x:c>
      <x:c r="N13" s="85" t="n">
        <x:v>0.88</x:v>
      </x:c>
      <x:c r="O13" s="85" t="n">
        <x:v>1.76</x:v>
      </x:c>
      <x:c r="P13" s="85" t="str">
        <x:v>Alta</x:v>
      </x:c>
      <x:c r="Q13" s="85" t="n">
        <x:v>1</x:v>
      </x:c>
      <x:c r="R13" s="85" t="n">
        <x:v>1.45</x:v>
      </x:c>
      <x:c r="S13" s="85" t="n">
        <x:v>1.8</x:v>
      </x:c>
      <x:c r="T13" s="85" t="n">
        <x:v>3.52</x:v>
      </x:c>
      <x:c r="U13" s="85" t="n">
        <x:v>5.104</x:v>
      </x:c>
      <x:c r="V13" s="85" t="n">
        <x:v>6.336</x:v>
      </x:c>
      <x:c r="W13" s="73"/>
      <x:c r="X13" s="73" t="str">
        <x:v>Restauración probada</x:v>
      </x:c>
      <x:c r="Y13" s="73" t="str">
        <x:v>Recuperación y validación de integridad</x:v>
      </x:c>
      <x:c r="Z13" s="73"/>
      <x:c r="AA13" s="73" t="str">
        <x:v>Preliminar</x:v>
      </x:c>
      <x:c r="AB13" s="78" t="str">
        <x:v>Estimación técnica ISM · Validar</x:v>
      </x:c>
    </x:row>
    <x:row r="14">
      <x:c r="A14" s="77" t="str">
        <x:v>Respaldo y Continuidad</x:v>
      </x:c>
      <x:c r="B14" s="73" t="str">
        <x:v>BCP-01</x:v>
      </x:c>
      <x:c r="C14" s="73" t="str">
        <x:v>Implementación de respaldos</x:v>
      </x:c>
      <x:c r="D14" s="73" t="str">
        <x:v>03 · Consolidación digital</x:v>
      </x:c>
      <x:c r="E14" s="73" t="str">
        <x:v>Alertas</x:v>
      </x:c>
      <x:c r="F14" s="73" t="str">
        <x:v>BCP1-009</x:v>
      </x:c>
      <x:c r="G14" s="73" t="str">
        <x:v>Configuración de alerta de fallo</x:v>
      </x:c>
      <x:c r="H14" s="73" t="str">
        <x:v>Canal</x:v>
      </x:c>
      <x:c r="I14" s="85" t="n">
        <x:v>2</x:v>
      </x:c>
      <x:c r="J14" s="85" t="str">
        <x:v>Sí</x:v>
      </x:c>
      <x:c r="K14" s="85" t="str">
        <x:v>No</x:v>
      </x:c>
      <x:c r="L14" s="85" t="n">
        <x:v>0.75</x:v>
      </x:c>
      <x:c r="M14" s="85" t="str">
        <x:v>Parcial</x:v>
      </x:c>
      <x:c r="N14" s="85" t="n">
        <x:v>0.88</x:v>
      </x:c>
      <x:c r="O14" s="85" t="n">
        <x:v>0.66</x:v>
      </x:c>
      <x:c r="P14" s="85" t="str">
        <x:v>Media</x:v>
      </x:c>
      <x:c r="Q14" s="85" t="n">
        <x:v>1</x:v>
      </x:c>
      <x:c r="R14" s="85" t="n">
        <x:v>1.3</x:v>
      </x:c>
      <x:c r="S14" s="85" t="n">
        <x:v>1.55</x:v>
      </x:c>
      <x:c r="T14" s="85" t="n">
        <x:v>1.32</x:v>
      </x:c>
      <x:c r="U14" s="85" t="n">
        <x:v>1.7160000000000002</x:v>
      </x:c>
      <x:c r="V14" s="85" t="n">
        <x:v>2.0460000000000003</x:v>
      </x:c>
      <x:c r="W14" s="73"/>
      <x:c r="X14" s="73" t="str">
        <x:v>Alertas activas</x:v>
      </x:c>
      <x:c r="Y14" s="73" t="str">
        <x:v>Fallo, retraso o ausencia de respaldo</x:v>
      </x:c>
      <x:c r="Z14" s="73"/>
      <x:c r="AA14" s="73" t="str">
        <x:v>Preliminar</x:v>
      </x:c>
      <x:c r="AB14" s="78" t="str">
        <x:v>Estimación técnica ISM · Validar</x:v>
      </x:c>
    </x:row>
    <x:row r="15">
      <x:c r="A15" s="77" t="str">
        <x:v>Respaldo y Continuidad</x:v>
      </x:c>
      <x:c r="B15" s="73" t="str">
        <x:v>BCP-01</x:v>
      </x:c>
      <x:c r="C15" s="73" t="str">
        <x:v>Implementación de respaldos</x:v>
      </x:c>
      <x:c r="D15" s="73" t="str">
        <x:v>03 · Consolidación digital</x:v>
      </x:c>
      <x:c r="E15" s="73" t="str">
        <x:v>Operación</x:v>
      </x:c>
      <x:c r="F15" s="73" t="str">
        <x:v>BCP1-010</x:v>
      </x:c>
      <x:c r="G15" s="73" t="str">
        <x:v>Runbook de respaldo y restauración</x:v>
      </x:c>
      <x:c r="H15" s="73" t="str">
        <x:v>Documento</x:v>
      </x:c>
      <x:c r="I15" s="85" t="n">
        <x:v>1</x:v>
      </x:c>
      <x:c r="J15" s="85" t="str">
        <x:v>Sí</x:v>
      </x:c>
      <x:c r="K15" s="85" t="str">
        <x:v>Sí</x:v>
      </x:c>
      <x:c r="L15" s="85" t="n">
        <x:v>2</x:v>
      </x:c>
      <x:c r="M15" s="85" t="str">
        <x:v>Parcial</x:v>
      </x:c>
      <x:c r="N15" s="85" t="n">
        <x:v>0.88</x:v>
      </x:c>
      <x:c r="O15" s="85" t="n">
        <x:v>1.76</x:v>
      </x:c>
      <x:c r="P15" s="85" t="str">
        <x:v>Media</x:v>
      </x:c>
      <x:c r="Q15" s="85" t="n">
        <x:v>1</x:v>
      </x:c>
      <x:c r="R15" s="85" t="n">
        <x:v>1.3</x:v>
      </x:c>
      <x:c r="S15" s="85" t="n">
        <x:v>1.55</x:v>
      </x:c>
      <x:c r="T15" s="85" t="n">
        <x:v>1.76</x:v>
      </x:c>
      <x:c r="U15" s="85" t="n">
        <x:v>2.2880000000000003</x:v>
      </x:c>
      <x:c r="V15" s="85" t="n">
        <x:v>2.728</x:v>
      </x:c>
      <x:c r="W15" s="73"/>
      <x:c r="X15" s="73" t="str">
        <x:v>Runbook</x:v>
      </x:c>
      <x:c r="Y15" s="73" t="str">
        <x:v>Procedimiento operativo del job, validación, alertas y restauración del respaldo.</x:v>
      </x:c>
      <x:c r="Z15" s="73" t="str">
        <x:v>No reemplaza el procedimiento integral de recuperación ante desastres de BCP2-005.</x:v>
      </x:c>
      <x:c r="AA15" s="73" t="str">
        <x:v>Preliminar</x:v>
      </x:c>
      <x:c r="AB15" s="78" t="str">
        <x:v>Estimación técnica ISM · Validar</x:v>
      </x:c>
    </x:row>
    <x:row r="16">
      <x:c r="A16" s="77" t="str">
        <x:v>Respaldo y Continuidad</x:v>
      </x:c>
      <x:c r="B16" s="73" t="str">
        <x:v>BCP-02</x:v>
      </x:c>
      <x:c r="C16" s="73" t="str">
        <x:v>Plan de recuperación ante desastres</x:v>
      </x:c>
      <x:c r="D16" s="73" t="str">
        <x:v>03 · Consolidación digital</x:v>
      </x:c>
      <x:c r="E16" s="73" t="str">
        <x:v>Análisis</x:v>
      </x:c>
      <x:c r="F16" s="73" t="str">
        <x:v>BCP2-001</x:v>
      </x:c>
      <x:c r="G16" s="73" t="str">
        <x:v>Análisis de impacto del negocio</x:v>
      </x:c>
      <x:c r="H16" s="73" t="str">
        <x:v>Proceso</x:v>
      </x:c>
      <x:c r="I16" s="85" t="n">
        <x:v>4</x:v>
      </x:c>
      <x:c r="J16" s="85" t="str">
        <x:v>Sí</x:v>
      </x:c>
      <x:c r="K16" s="85" t="str">
        <x:v>Sí</x:v>
      </x:c>
      <x:c r="L16" s="85" t="n">
        <x:v>1.25</x:v>
      </x:c>
      <x:c r="M16" s="85" t="str">
        <x:v>Parcial</x:v>
      </x:c>
      <x:c r="N16" s="85" t="n">
        <x:v>0.88</x:v>
      </x:c>
      <x:c r="O16" s="85" t="n">
        <x:v>1.1</x:v>
      </x:c>
      <x:c r="P16" s="85" t="str">
        <x:v>Alta</x:v>
      </x:c>
      <x:c r="Q16" s="85" t="n">
        <x:v>1</x:v>
      </x:c>
      <x:c r="R16" s="85" t="n">
        <x:v>1.45</x:v>
      </x:c>
      <x:c r="S16" s="85" t="n">
        <x:v>1.8</x:v>
      </x:c>
      <x:c r="T16" s="85" t="n">
        <x:v>4.4</x:v>
      </x:c>
      <x:c r="U16" s="85" t="n">
        <x:v>6.38</x:v>
      </x:c>
      <x:c r="V16" s="85" t="n">
        <x:v>7.920000000000001</x:v>
      </x:c>
      <x:c r="W16" s="73"/>
      <x:c r="X16" s="73" t="str">
        <x:v>Matriz BIA</x:v>
      </x:c>
      <x:c r="Y16" s="73" t="str">
        <x:v>Criticidad, dependencia e impacto</x:v>
      </x:c>
      <x:c r="Z16" s="73"/>
      <x:c r="AA16" s="73" t="str">
        <x:v>Preliminar</x:v>
      </x:c>
      <x:c r="AB16" s="78" t="str">
        <x:v>Estimación técnica ISM · Validar</x:v>
      </x:c>
    </x:row>
    <x:row r="17">
      <x:c r="A17" s="77" t="str">
        <x:v>Respaldo y Continuidad</x:v>
      </x:c>
      <x:c r="B17" s="73" t="str">
        <x:v>BCP-02</x:v>
      </x:c>
      <x:c r="C17" s="73" t="str">
        <x:v>Plan de recuperación ante desastres</x:v>
      </x:c>
      <x:c r="D17" s="73" t="str">
        <x:v>03 · Consolidación digital</x:v>
      </x:c>
      <x:c r="E17" s="73" t="str">
        <x:v>Análisis</x:v>
      </x:c>
      <x:c r="F17" s="73" t="str">
        <x:v>BCP2-002</x:v>
      </x:c>
      <x:c r="G17" s="73" t="str">
        <x:v>Inventario de dependencias críticas</x:v>
      </x:c>
      <x:c r="H17" s="73" t="str">
        <x:v>Servicio</x:v>
      </x:c>
      <x:c r="I17" s="85" t="n">
        <x:v>4</x:v>
      </x:c>
      <x:c r="J17" s="85" t="str">
        <x:v>Sí</x:v>
      </x:c>
      <x:c r="K17" s="85" t="str">
        <x:v>Sí</x:v>
      </x:c>
      <x:c r="L17" s="85" t="n">
        <x:v>0.75</x:v>
      </x:c>
      <x:c r="M17" s="85" t="str">
        <x:v>Parcial</x:v>
      </x:c>
      <x:c r="N17" s="85" t="n">
        <x:v>0.88</x:v>
      </x:c>
      <x:c r="O17" s="85" t="n">
        <x:v>0.66</x:v>
      </x:c>
      <x:c r="P17" s="85" t="str">
        <x:v>Media</x:v>
      </x:c>
      <x:c r="Q17" s="85" t="n">
        <x:v>1</x:v>
      </x:c>
      <x:c r="R17" s="85" t="n">
        <x:v>1.3</x:v>
      </x:c>
      <x:c r="S17" s="85" t="n">
        <x:v>1.55</x:v>
      </x:c>
      <x:c r="T17" s="85" t="n">
        <x:v>2.64</x:v>
      </x:c>
      <x:c r="U17" s="85" t="n">
        <x:v>3.4320000000000004</x:v>
      </x:c>
      <x:c r="V17" s="85" t="n">
        <x:v>4.0920000000000005</x:v>
      </x:c>
      <x:c r="W17" s="73"/>
      <x:c r="X17" s="73" t="str">
        <x:v>Mapa de dependencias</x:v>
      </x:c>
      <x:c r="Y17" s="73" t="str">
        <x:v>Infraestructura, datos, terceros y personas</x:v>
      </x:c>
      <x:c r="Z17" s="73"/>
      <x:c r="AA17" s="73" t="str">
        <x:v>Preliminar</x:v>
      </x:c>
      <x:c r="AB17" s="78" t="str">
        <x:v>Estimación técnica ISM · Validar</x:v>
      </x:c>
    </x:row>
    <x:row r="18">
      <x:c r="A18" s="77" t="str">
        <x:v>Respaldo y Continuidad</x:v>
      </x:c>
      <x:c r="B18" s="73" t="str">
        <x:v>BCP-02</x:v>
      </x:c>
      <x:c r="C18" s="73" t="str">
        <x:v>Plan de recuperación ante desastres</x:v>
      </x:c>
      <x:c r="D18" s="73" t="str">
        <x:v>03 · Consolidación digital</x:v>
      </x:c>
      <x:c r="E18" s="73" t="str">
        <x:v>Objetivos</x:v>
      </x:c>
      <x:c r="F18" s="73" t="str">
        <x:v>BCP2-003</x:v>
      </x:c>
      <x:c r="G18" s="73" t="str">
        <x:v>Definición formal de RPO y RTO por servicio</x:v>
      </x:c>
      <x:c r="H18" s="73" t="str">
        <x:v>Servicio</x:v>
      </x:c>
      <x:c r="I18" s="85" t="n">
        <x:v>4</x:v>
      </x:c>
      <x:c r="J18" s="85" t="str">
        <x:v>Sí</x:v>
      </x:c>
      <x:c r="K18" s="85" t="str">
        <x:v>Sí</x:v>
      </x:c>
      <x:c r="L18" s="85" t="n">
        <x:v>1</x:v>
      </x:c>
      <x:c r="M18" s="85" t="str">
        <x:v>Parcial</x:v>
      </x:c>
      <x:c r="N18" s="85" t="n">
        <x:v>0.88</x:v>
      </x:c>
      <x:c r="O18" s="85" t="n">
        <x:v>0.88</x:v>
      </x:c>
      <x:c r="P18" s="85" t="str">
        <x:v>Alta</x:v>
      </x:c>
      <x:c r="Q18" s="85" t="n">
        <x:v>1</x:v>
      </x:c>
      <x:c r="R18" s="85" t="n">
        <x:v>1.45</x:v>
      </x:c>
      <x:c r="S18" s="85" t="n">
        <x:v>1.8</x:v>
      </x:c>
      <x:c r="T18" s="85" t="n">
        <x:v>3.52</x:v>
      </x:c>
      <x:c r="U18" s="85" t="n">
        <x:v>5.104</x:v>
      </x:c>
      <x:c r="V18" s="85" t="n">
        <x:v>6.336</x:v>
      </x:c>
      <x:c r="W18" s="73"/>
      <x:c r="X18" s="73" t="str">
        <x:v>Objetivos DR</x:v>
      </x:c>
      <x:c r="Y18" s="73" t="str">
        <x:v>Objetivos aprobados por servicio crítico, alineados con impacto, dependencias y estrategia de recuperación.</x:v>
      </x:c>
      <x:c r="Z18" s="73" t="str">
        <x:v>Sustituye la definición básica de BCP1-002 cuando ambos servicios forman parte de la misma propuesta.</x:v>
      </x:c>
      <x:c r="AA18" s="73" t="str">
        <x:v>Preliminar</x:v>
      </x:c>
      <x:c r="AB18" s="78" t="str">
        <x:v>Estimación técnica ISM · Validar</x:v>
      </x:c>
    </x:row>
    <x:row r="19">
      <x:c r="A19" s="77" t="str">
        <x:v>Respaldo y Continuidad</x:v>
      </x:c>
      <x:c r="B19" s="73" t="str">
        <x:v>BCP-02</x:v>
      </x:c>
      <x:c r="C19" s="73" t="str">
        <x:v>Plan de recuperación ante desastres</x:v>
      </x:c>
      <x:c r="D19" s="73" t="str">
        <x:v>03 · Consolidación digital</x:v>
      </x:c>
      <x:c r="E19" s="73" t="str">
        <x:v>Estrategia</x:v>
      </x:c>
      <x:c r="F19" s="73" t="str">
        <x:v>BCP2-004</x:v>
      </x:c>
      <x:c r="G19" s="73" t="str">
        <x:v>Diseño de estrategia de recuperación</x:v>
      </x:c>
      <x:c r="H19" s="73" t="str">
        <x:v>Servicio</x:v>
      </x:c>
      <x:c r="I19" s="85" t="n">
        <x:v>3</x:v>
      </x:c>
      <x:c r="J19" s="85" t="str">
        <x:v>Sí</x:v>
      </x:c>
      <x:c r="K19" s="85" t="str">
        <x:v>Sí</x:v>
      </x:c>
      <x:c r="L19" s="85" t="n">
        <x:v>2</x:v>
      </x:c>
      <x:c r="M19" s="85" t="str">
        <x:v>Parcial</x:v>
      </x:c>
      <x:c r="N19" s="85" t="n">
        <x:v>0.88</x:v>
      </x:c>
      <x:c r="O19" s="85" t="n">
        <x:v>1.76</x:v>
      </x:c>
      <x:c r="P19" s="85" t="str">
        <x:v>Alta</x:v>
      </x:c>
      <x:c r="Q19" s="85" t="n">
        <x:v>1</x:v>
      </x:c>
      <x:c r="R19" s="85" t="n">
        <x:v>1.45</x:v>
      </x:c>
      <x:c r="S19" s="85" t="n">
        <x:v>1.8</x:v>
      </x:c>
      <x:c r="T19" s="85" t="n">
        <x:v>5.28</x:v>
      </x:c>
      <x:c r="U19" s="85" t="n">
        <x:v>7.656</x:v>
      </x:c>
      <x:c r="V19" s="85" t="n">
        <x:v>9.504000000000001</x:v>
      </x:c>
      <x:c r="W19" s="73"/>
      <x:c r="X19" s="73" t="str">
        <x:v>Estrategia DR</x:v>
      </x:c>
      <x:c r="Y19" s="73" t="str">
        <x:v>Sitio, restauración, prioridades y secuencia</x:v>
      </x:c>
      <x:c r="Z19" s="73"/>
      <x:c r="AA19" s="73" t="str">
        <x:v>Preliminar</x:v>
      </x:c>
      <x:c r="AB19" s="78" t="str">
        <x:v>Estimación técnica ISM · Validar</x:v>
      </x:c>
    </x:row>
    <x:row r="20">
      <x:c r="A20" s="77" t="str">
        <x:v>Respaldo y Continuidad</x:v>
      </x:c>
      <x:c r="B20" s="73" t="str">
        <x:v>BCP-02</x:v>
      </x:c>
      <x:c r="C20" s="73" t="str">
        <x:v>Plan de recuperación ante desastres</x:v>
      </x:c>
      <x:c r="D20" s="73" t="str">
        <x:v>03 · Consolidación digital</x:v>
      </x:c>
      <x:c r="E20" s="73" t="str">
        <x:v>Procedimientos</x:v>
      </x:c>
      <x:c r="F20" s="73" t="str">
        <x:v>BCP2-005</x:v>
      </x:c>
      <x:c r="G20" s="73" t="str">
        <x:v>Creación de procedimiento de recuperación</x:v>
      </x:c>
      <x:c r="H20" s="73" t="str">
        <x:v>Servicio</x:v>
      </x:c>
      <x:c r="I20" s="85" t="n">
        <x:v>3</x:v>
      </x:c>
      <x:c r="J20" s="85" t="str">
        <x:v>Sí</x:v>
      </x:c>
      <x:c r="K20" s="85" t="str">
        <x:v>No</x:v>
      </x:c>
      <x:c r="L20" s="85" t="n">
        <x:v>2.5</x:v>
      </x:c>
      <x:c r="M20" s="85" t="str">
        <x:v>Parcial</x:v>
      </x:c>
      <x:c r="N20" s="85" t="n">
        <x:v>0.88</x:v>
      </x:c>
      <x:c r="O20" s="85" t="n">
        <x:v>2.2</x:v>
      </x:c>
      <x:c r="P20" s="85" t="str">
        <x:v>Alta</x:v>
      </x:c>
      <x:c r="Q20" s="85" t="n">
        <x:v>1</x:v>
      </x:c>
      <x:c r="R20" s="85" t="n">
        <x:v>1.45</x:v>
      </x:c>
      <x:c r="S20" s="85" t="n">
        <x:v>1.8</x:v>
      </x:c>
      <x:c r="T20" s="85" t="n">
        <x:v>6.6000000000000005</x:v>
      </x:c>
      <x:c r="U20" s="85" t="n">
        <x:v>9.57</x:v>
      </x:c>
      <x:c r="V20" s="85" t="n">
        <x:v>11.88</x:v>
      </x:c>
      <x:c r="W20" s="73"/>
      <x:c r="X20" s="73" t="str">
        <x:v>Procedimientos</x:v>
      </x:c>
      <x:c r="Y20" s="73" t="str">
        <x:v>Secuencia integral para recuperar servicios, dependencias, datos y responsables después de un desastre.</x:v>
      </x:c>
      <x:c r="Z20" s="73" t="str">
        <x:v>No duplica el procedimiento operativo del job de respaldo documentado en BCP1-010.</x:v>
      </x:c>
      <x:c r="AA20" s="73" t="str">
        <x:v>Preliminar</x:v>
      </x:c>
      <x:c r="AB20" s="78" t="str">
        <x:v>Estimación técnica ISM · Validar</x:v>
      </x:c>
    </x:row>
    <x:row r="21">
      <x:c r="A21" s="77" t="str">
        <x:v>Respaldo y Continuidad</x:v>
      </x:c>
      <x:c r="B21" s="73" t="str">
        <x:v>BCP-02</x:v>
      </x:c>
      <x:c r="C21" s="73" t="str">
        <x:v>Plan de recuperación ante desastres</x:v>
      </x:c>
      <x:c r="D21" s="73" t="str">
        <x:v>03 · Consolidación digital</x:v>
      </x:c>
      <x:c r="E21" s="73" t="str">
        <x:v>Comunicación</x:v>
      </x:c>
      <x:c r="F21" s="73" t="str">
        <x:v>BCP2-006</x:v>
      </x:c>
      <x:c r="G21" s="73" t="str">
        <x:v>Plan de comunicación y escalamiento</x:v>
      </x:c>
      <x:c r="H21" s="73" t="str">
        <x:v>Proyecto</x:v>
      </x:c>
      <x:c r="I21" s="85" t="n">
        <x:v>1</x:v>
      </x:c>
      <x:c r="J21" s="85" t="str">
        <x:v>Sí</x:v>
      </x:c>
      <x:c r="K21" s="85" t="str">
        <x:v>Sí</x:v>
      </x:c>
      <x:c r="L21" s="85" t="n">
        <x:v>1.5</x:v>
      </x:c>
      <x:c r="M21" s="85" t="str">
        <x:v>Parcial</x:v>
      </x:c>
      <x:c r="N21" s="85" t="n">
        <x:v>0.88</x:v>
      </x:c>
      <x:c r="O21" s="85" t="n">
        <x:v>1.32</x:v>
      </x:c>
      <x:c r="P21" s="85" t="str">
        <x:v>Media</x:v>
      </x:c>
      <x:c r="Q21" s="85" t="n">
        <x:v>1</x:v>
      </x:c>
      <x:c r="R21" s="85" t="n">
        <x:v>1.3</x:v>
      </x:c>
      <x:c r="S21" s="85" t="n">
        <x:v>1.55</x:v>
      </x:c>
      <x:c r="T21" s="85" t="n">
        <x:v>1.32</x:v>
      </x:c>
      <x:c r="U21" s="85" t="n">
        <x:v>1.7160000000000002</x:v>
      </x:c>
      <x:c r="V21" s="85" t="n">
        <x:v>2.0460000000000003</x:v>
      </x:c>
      <x:c r="W21" s="73"/>
      <x:c r="X21" s="73" t="str">
        <x:v>Plan de comunicación</x:v>
      </x:c>
      <x:c r="Y21" s="73" t="str">
        <x:v>Contactos, severidad y mensajes</x:v>
      </x:c>
      <x:c r="Z21" s="73"/>
      <x:c r="AA21" s="73" t="str">
        <x:v>Preliminar</x:v>
      </x:c>
      <x:c r="AB21" s="78" t="str">
        <x:v>Estimación técnica ISM · Validar</x:v>
      </x:c>
    </x:row>
    <x:row r="22">
      <x:c r="A22" s="77" t="str">
        <x:v>Respaldo y Continuidad</x:v>
      </x:c>
      <x:c r="B22" s="73" t="str">
        <x:v>BCP-02</x:v>
      </x:c>
      <x:c r="C22" s="73" t="str">
        <x:v>Plan de recuperación ante desastres</x:v>
      </x:c>
      <x:c r="D22" s="73" t="str">
        <x:v>03 · Consolidación digital</x:v>
      </x:c>
      <x:c r="E22" s="73" t="str">
        <x:v>Pruebas</x:v>
      </x:c>
      <x:c r="F22" s="73" t="str">
        <x:v>BCP2-007</x:v>
      </x:c>
      <x:c r="G22" s="73" t="str">
        <x:v>Diseño de escenario de simulación</x:v>
      </x:c>
      <x:c r="H22" s="73" t="str">
        <x:v>Escenario</x:v>
      </x:c>
      <x:c r="I22" s="85" t="n">
        <x:v>1</x:v>
      </x:c>
      <x:c r="J22" s="85" t="str">
        <x:v>Sí</x:v>
      </x:c>
      <x:c r="K22" s="85" t="str">
        <x:v>Sí</x:v>
      </x:c>
      <x:c r="L22" s="85" t="n">
        <x:v>2</x:v>
      </x:c>
      <x:c r="M22" s="85" t="str">
        <x:v>Parcial</x:v>
      </x:c>
      <x:c r="N22" s="85" t="n">
        <x:v>0.88</x:v>
      </x:c>
      <x:c r="O22" s="85" t="n">
        <x:v>1.76</x:v>
      </x:c>
      <x:c r="P22" s="85" t="str">
        <x:v>Alta</x:v>
      </x:c>
      <x:c r="Q22" s="85" t="n">
        <x:v>1</x:v>
      </x:c>
      <x:c r="R22" s="85" t="n">
        <x:v>1.45</x:v>
      </x:c>
      <x:c r="S22" s="85" t="n">
        <x:v>1.8</x:v>
      </x:c>
      <x:c r="T22" s="85" t="n">
        <x:v>1.76</x:v>
      </x:c>
      <x:c r="U22" s="85" t="n">
        <x:v>2.552</x:v>
      </x:c>
      <x:c r="V22" s="85" t="n">
        <x:v>3.168</x:v>
      </x:c>
      <x:c r="W22" s="73"/>
      <x:c r="X22" s="73" t="str">
        <x:v>Guion de prueba</x:v>
      </x:c>
      <x:c r="Y22" s="73" t="str">
        <x:v>Alcance, éxito y riesgos</x:v>
      </x:c>
      <x:c r="Z22" s="73"/>
      <x:c r="AA22" s="73" t="str">
        <x:v>Preliminar</x:v>
      </x:c>
      <x:c r="AB22" s="78" t="str">
        <x:v>Estimación técnica ISM · Validar</x:v>
      </x:c>
    </x:row>
    <x:row r="23">
      <x:c r="A23" s="77" t="str">
        <x:v>Respaldo y Continuidad</x:v>
      </x:c>
      <x:c r="B23" s="73" t="str">
        <x:v>BCP-02</x:v>
      </x:c>
      <x:c r="C23" s="73" t="str">
        <x:v>Plan de recuperación ante desastres</x:v>
      </x:c>
      <x:c r="D23" s="73" t="str">
        <x:v>03 · Consolidación digital</x:v>
      </x:c>
      <x:c r="E23" s="73" t="str">
        <x:v>Pruebas</x:v>
      </x:c>
      <x:c r="F23" s="73" t="str">
        <x:v>BCP2-008</x:v>
      </x:c>
      <x:c r="G23" s="73" t="str">
        <x:v>Ejecución de simulación</x:v>
      </x:c>
      <x:c r="H23" s="73" t="str">
        <x:v>Ejercicio</x:v>
      </x:c>
      <x:c r="I23" s="85" t="n">
        <x:v>1</x:v>
      </x:c>
      <x:c r="J23" s="85" t="str">
        <x:v>Sí</x:v>
      </x:c>
      <x:c r="K23" s="85" t="str">
        <x:v>Sí</x:v>
      </x:c>
      <x:c r="L23" s="85" t="n">
        <x:v>4</x:v>
      </x:c>
      <x:c r="M23" s="85" t="str">
        <x:v>Parcial</x:v>
      </x:c>
      <x:c r="N23" s="85" t="n">
        <x:v>0.88</x:v>
      </x:c>
      <x:c r="O23" s="85" t="n">
        <x:v>3.52</x:v>
      </x:c>
      <x:c r="P23" s="85" t="str">
        <x:v>Alta</x:v>
      </x:c>
      <x:c r="Q23" s="85" t="n">
        <x:v>1</x:v>
      </x:c>
      <x:c r="R23" s="85" t="n">
        <x:v>1.45</x:v>
      </x:c>
      <x:c r="S23" s="85" t="n">
        <x:v>1.8</x:v>
      </x:c>
      <x:c r="T23" s="85" t="n">
        <x:v>3.52</x:v>
      </x:c>
      <x:c r="U23" s="85" t="n">
        <x:v>5.104</x:v>
      </x:c>
      <x:c r="V23" s="85" t="n">
        <x:v>6.336</x:v>
      </x:c>
      <x:c r="W23" s="73"/>
      <x:c r="X23" s="73" t="str">
        <x:v>Ejercicio ejecutado</x:v>
      </x:c>
      <x:c r="Y23" s="73" t="str">
        <x:v>Tiempos, decisiones y evidencias</x:v>
      </x:c>
      <x:c r="Z23" s="73"/>
      <x:c r="AA23" s="73" t="str">
        <x:v>Preliminar</x:v>
      </x:c>
      <x:c r="AB23" s="78" t="str">
        <x:v>Estimación técnica ISM · Validar</x:v>
      </x:c>
    </x:row>
    <x:row r="24">
      <x:c r="A24" s="77" t="str">
        <x:v>Respaldo y Continuidad</x:v>
      </x:c>
      <x:c r="B24" s="73" t="str">
        <x:v>BCP-02</x:v>
      </x:c>
      <x:c r="C24" s="73" t="str">
        <x:v>Plan de recuperación ante desastres</x:v>
      </x:c>
      <x:c r="D24" s="73" t="str">
        <x:v>03 · Consolidación digital</x:v>
      </x:c>
      <x:c r="E24" s="73" t="str">
        <x:v>Mejora</x:v>
      </x:c>
      <x:c r="F24" s="73" t="str">
        <x:v>BCP2-009</x:v>
      </x:c>
      <x:c r="G24" s="73" t="str">
        <x:v>Informe de brechas y plan de mejora</x:v>
      </x:c>
      <x:c r="H24" s="73" t="str">
        <x:v>Proyecto</x:v>
      </x:c>
      <x:c r="I24" s="85" t="n">
        <x:v>1</x:v>
      </x:c>
      <x:c r="J24" s="85" t="str">
        <x:v>Sí</x:v>
      </x:c>
      <x:c r="K24" s="85" t="str">
        <x:v>Sí</x:v>
      </x:c>
      <x:c r="L24" s="85" t="n">
        <x:v>2</x:v>
      </x:c>
      <x:c r="M24" s="85" t="str">
        <x:v>Parcial</x:v>
      </x:c>
      <x:c r="N24" s="85" t="n">
        <x:v>0.88</x:v>
      </x:c>
      <x:c r="O24" s="85" t="n">
        <x:v>1.76</x:v>
      </x:c>
      <x:c r="P24" s="85" t="str">
        <x:v>Media</x:v>
      </x:c>
      <x:c r="Q24" s="85" t="n">
        <x:v>1</x:v>
      </x:c>
      <x:c r="R24" s="85" t="n">
        <x:v>1.3</x:v>
      </x:c>
      <x:c r="S24" s="85" t="n">
        <x:v>1.55</x:v>
      </x:c>
      <x:c r="T24" s="85" t="n">
        <x:v>1.76</x:v>
      </x:c>
      <x:c r="U24" s="85" t="n">
        <x:v>2.2880000000000003</x:v>
      </x:c>
      <x:c r="V24" s="85" t="n">
        <x:v>2.728</x:v>
      </x:c>
      <x:c r="W24" s="73"/>
      <x:c r="X24" s="73" t="str">
        <x:v>Plan de mejora</x:v>
      </x:c>
      <x:c r="Y24" s="73" t="str">
        <x:v>Hallazgos, responsables y fechas</x:v>
      </x:c>
      <x:c r="Z24" s="73"/>
      <x:c r="AA24" s="73" t="str">
        <x:v>Preliminar</x:v>
      </x:c>
      <x:c r="AB24" s="78" t="str">
        <x:v>Estimación técnica ISM · Validar</x:v>
      </x:c>
    </x:row>
    <x:row r="25">
      <x:c r="A25" s="77" t="str">
        <x:v>Respaldo y Continuidad</x:v>
      </x:c>
      <x:c r="B25" s="73" t="str">
        <x:v>BCP-02</x:v>
      </x:c>
      <x:c r="C25" s="73" t="str">
        <x:v>Plan de recuperación ante desastres</x:v>
      </x:c>
      <x:c r="D25" s="73" t="str">
        <x:v>03 · Consolidación digital</x:v>
      </x:c>
      <x:c r="E25" s="73" t="str">
        <x:v>Operación</x:v>
      </x:c>
      <x:c r="F25" s="73" t="str">
        <x:v>BCP2-010</x:v>
      </x:c>
      <x:c r="G25" s="73" t="str">
        <x:v>Calendario de pruebas y revisión</x:v>
      </x:c>
      <x:c r="H25" s="73" t="str">
        <x:v>Proyecto</x:v>
      </x:c>
      <x:c r="I25" s="85" t="n">
        <x:v>1</x:v>
      </x:c>
      <x:c r="J25" s="85" t="str">
        <x:v>Sí</x:v>
      </x:c>
      <x:c r="K25" s="85" t="str">
        <x:v>No</x:v>
      </x:c>
      <x:c r="L25" s="85" t="n">
        <x:v>1</x:v>
      </x:c>
      <x:c r="M25" s="85" t="str">
        <x:v>Parcial</x:v>
      </x:c>
      <x:c r="N25" s="85" t="n">
        <x:v>0.88</x:v>
      </x:c>
      <x:c r="O25" s="85" t="n">
        <x:v>0.88</x:v>
      </x:c>
      <x:c r="P25" s="85" t="str">
        <x:v>Baja</x:v>
      </x:c>
      <x:c r="Q25" s="85" t="n">
        <x:v>1</x:v>
      </x:c>
      <x:c r="R25" s="85" t="n">
        <x:v>1.15</x:v>
      </x:c>
      <x:c r="S25" s="85" t="n">
        <x:v>1.3</x:v>
      </x:c>
      <x:c r="T25" s="85" t="n">
        <x:v>0.88</x:v>
      </x:c>
      <x:c r="U25" s="85" t="n">
        <x:v>1.012</x:v>
      </x:c>
      <x:c r="V25" s="85" t="n">
        <x:v>1.1440000000000001</x:v>
      </x:c>
      <x:c r="W25" s="73"/>
      <x:c r="X25" s="73" t="str">
        <x:v>Calendario DR</x:v>
      </x:c>
      <x:c r="Y25" s="73" t="str">
        <x:v>Periodicidad y responsables</x:v>
      </x:c>
      <x:c r="Z25" s="73"/>
      <x:c r="AA25" s="73" t="str">
        <x:v>Preliminar</x:v>
      </x:c>
      <x:c r="AB25" s="78" t="str">
        <x:v>Estimación técnica ISM · Validar</x:v>
      </x:c>
    </x:row>
    <x:row r="26">
      <x:c r="A26" s="77" t="str">
        <x:v>Respaldo y Continuidad</x:v>
      </x:c>
      <x:c r="B26" s="73" t="str">
        <x:v>BCP-03</x:v>
      </x:c>
      <x:c r="C26" s="73" t="str">
        <x:v>Retención y ciclo de vida de datos</x:v>
      </x:c>
      <x:c r="D26" s="73" t="str">
        <x:v>03 · Consolidación digital</x:v>
      </x:c>
      <x:c r="E26" s="73" t="str">
        <x:v>Diagnóstico</x:v>
      </x:c>
      <x:c r="F26" s="73" t="str">
        <x:v>BCP3-001</x:v>
      </x:c>
      <x:c r="G26" s="73" t="str">
        <x:v>Inventario y clasificación de información</x:v>
      </x:c>
      <x:c r="H26" s="73" t="str">
        <x:v>Fuente</x:v>
      </x:c>
      <x:c r="I26" s="85" t="n">
        <x:v>5</x:v>
      </x:c>
      <x:c r="J26" s="85" t="str">
        <x:v>Sí</x:v>
      </x:c>
      <x:c r="K26" s="85" t="str">
        <x:v>Sí</x:v>
      </x:c>
      <x:c r="L26" s="85" t="n">
        <x:v>0.75</x:v>
      </x:c>
      <x:c r="M26" s="85" t="str">
        <x:v>Parcial</x:v>
      </x:c>
      <x:c r="N26" s="85" t="n">
        <x:v>0.88</x:v>
      </x:c>
      <x:c r="O26" s="85" t="n">
        <x:v>0.66</x:v>
      </x:c>
      <x:c r="P26" s="85" t="str">
        <x:v>Media</x:v>
      </x:c>
      <x:c r="Q26" s="85" t="n">
        <x:v>1</x:v>
      </x:c>
      <x:c r="R26" s="85" t="n">
        <x:v>1.3</x:v>
      </x:c>
      <x:c r="S26" s="85" t="n">
        <x:v>1.55</x:v>
      </x:c>
      <x:c r="T26" s="85" t="n">
        <x:v>3.3000000000000003</x:v>
      </x:c>
      <x:c r="U26" s="85" t="n">
        <x:v>4.290000000000001</x:v>
      </x:c>
      <x:c r="V26" s="85" t="n">
        <x:v>5.115</x:v>
      </x:c>
      <x:c r="W26" s="73"/>
      <x:c r="X26" s="73" t="str">
        <x:v>Inventario clasificado</x:v>
      </x:c>
      <x:c r="Y26" s="73" t="str">
        <x:v>Tipo, criticidad y propietario</x:v>
      </x:c>
      <x:c r="Z26" s="73"/>
      <x:c r="AA26" s="73" t="str">
        <x:v>Preliminar</x:v>
      </x:c>
      <x:c r="AB26" s="78" t="str">
        <x:v>Estimación técnica ISM · Validar</x:v>
      </x:c>
    </x:row>
    <x:row r="27">
      <x:c r="A27" s="77" t="str">
        <x:v>Respaldo y Continuidad</x:v>
      </x:c>
      <x:c r="B27" s="73" t="str">
        <x:v>BCP-03</x:v>
      </x:c>
      <x:c r="C27" s="73" t="str">
        <x:v>Retención y ciclo de vida de datos</x:v>
      </x:c>
      <x:c r="D27" s="73" t="str">
        <x:v>03 · Consolidación digital</x:v>
      </x:c>
      <x:c r="E27" s="73" t="str">
        <x:v>Requisitos</x:v>
      </x:c>
      <x:c r="F27" s="73" t="str">
        <x:v>BCP3-002</x:v>
      </x:c>
      <x:c r="G27" s="73" t="str">
        <x:v>Levantamiento de obligaciones de retención</x:v>
      </x:c>
      <x:c r="H27" s="73" t="str">
        <x:v>Categoría</x:v>
      </x:c>
      <x:c r="I27" s="85" t="n">
        <x:v>4</x:v>
      </x:c>
      <x:c r="J27" s="85" t="str">
        <x:v>Sí</x:v>
      </x:c>
      <x:c r="K27" s="85" t="str">
        <x:v>Sí</x:v>
      </x:c>
      <x:c r="L27" s="85" t="n">
        <x:v>1</x:v>
      </x:c>
      <x:c r="M27" s="85" t="str">
        <x:v>Parcial</x:v>
      </x:c>
      <x:c r="N27" s="85" t="n">
        <x:v>0.88</x:v>
      </x:c>
      <x:c r="O27" s="85" t="n">
        <x:v>0.88</x:v>
      </x:c>
      <x:c r="P27" s="85" t="str">
        <x:v>Alta</x:v>
      </x:c>
      <x:c r="Q27" s="85" t="n">
        <x:v>1</x:v>
      </x:c>
      <x:c r="R27" s="85" t="n">
        <x:v>1.45</x:v>
      </x:c>
      <x:c r="S27" s="85" t="n">
        <x:v>1.8</x:v>
      </x:c>
      <x:c r="T27" s="85" t="n">
        <x:v>3.52</x:v>
      </x:c>
      <x:c r="U27" s="85" t="n">
        <x:v>5.104</x:v>
      </x:c>
      <x:c r="V27" s="85" t="n">
        <x:v>6.336</x:v>
      </x:c>
      <x:c r="W27" s="73"/>
      <x:c r="X27" s="73" t="str">
        <x:v>Matriz de requisitos</x:v>
      </x:c>
      <x:c r="Y27" s="73" t="str">
        <x:v>Necesidades contractuales y operativas</x:v>
      </x:c>
      <x:c r="Z27" s="73"/>
      <x:c r="AA27" s="73" t="str">
        <x:v>Preliminar</x:v>
      </x:c>
      <x:c r="AB27" s="78" t="str">
        <x:v>Estimación técnica ISM · Validar</x:v>
      </x:c>
    </x:row>
    <x:row r="28">
      <x:c r="A28" s="77" t="str">
        <x:v>Respaldo y Continuidad</x:v>
      </x:c>
      <x:c r="B28" s="73" t="str">
        <x:v>BCP-03</x:v>
      </x:c>
      <x:c r="C28" s="73" t="str">
        <x:v>Retención y ciclo de vida de datos</x:v>
      </x:c>
      <x:c r="D28" s="73" t="str">
        <x:v>03 · Consolidación digital</x:v>
      </x:c>
      <x:c r="E28" s="73" t="str">
        <x:v>Diseño</x:v>
      </x:c>
      <x:c r="F28" s="73" t="str">
        <x:v>BCP3-003</x:v>
      </x:c>
      <x:c r="G28" s="73" t="str">
        <x:v>Diseño de matriz de retención</x:v>
      </x:c>
      <x:c r="H28" s="73" t="str">
        <x:v>Categoría</x:v>
      </x:c>
      <x:c r="I28" s="85" t="n">
        <x:v>4</x:v>
      </x:c>
      <x:c r="J28" s="85" t="str">
        <x:v>Sí</x:v>
      </x:c>
      <x:c r="K28" s="85" t="str">
        <x:v>Sí</x:v>
      </x:c>
      <x:c r="L28" s="85" t="n">
        <x:v>1</x:v>
      </x:c>
      <x:c r="M28" s="85" t="str">
        <x:v>Parcial</x:v>
      </x:c>
      <x:c r="N28" s="85" t="n">
        <x:v>0.88</x:v>
      </x:c>
      <x:c r="O28" s="85" t="n">
        <x:v>0.88</x:v>
      </x:c>
      <x:c r="P28" s="85" t="str">
        <x:v>Alta</x:v>
      </x:c>
      <x:c r="Q28" s="85" t="n">
        <x:v>1</x:v>
      </x:c>
      <x:c r="R28" s="85" t="n">
        <x:v>1.45</x:v>
      </x:c>
      <x:c r="S28" s="85" t="n">
        <x:v>1.8</x:v>
      </x:c>
      <x:c r="T28" s="85" t="n">
        <x:v>3.52</x:v>
      </x:c>
      <x:c r="U28" s="85" t="n">
        <x:v>5.104</x:v>
      </x:c>
      <x:c r="V28" s="85" t="n">
        <x:v>6.336</x:v>
      </x:c>
      <x:c r="W28" s="73"/>
      <x:c r="X28" s="73" t="str">
        <x:v>Matriz de retención</x:v>
      </x:c>
      <x:c r="Y28" s="73" t="str">
        <x:v>Periodo, evento inicial y disposición</x:v>
      </x:c>
      <x:c r="Z28" s="73"/>
      <x:c r="AA28" s="73" t="str">
        <x:v>Preliminar</x:v>
      </x:c>
      <x:c r="AB28" s="78" t="str">
        <x:v>Estimación técnica ISM · Validar</x:v>
      </x:c>
    </x:row>
    <x:row r="29">
      <x:c r="A29" s="77" t="str">
        <x:v>Respaldo y Continuidad</x:v>
      </x:c>
      <x:c r="B29" s="73" t="str">
        <x:v>BCP-03</x:v>
      </x:c>
      <x:c r="C29" s="73" t="str">
        <x:v>Retención y ciclo de vida de datos</x:v>
      </x:c>
      <x:c r="D29" s="73" t="str">
        <x:v>03 · Consolidación digital</x:v>
      </x:c>
      <x:c r="E29" s="73" t="str">
        <x:v>Implementación</x:v>
      </x:c>
      <x:c r="F29" s="73" t="str">
        <x:v>BCP3-004</x:v>
      </x:c>
      <x:c r="G29" s="73" t="str">
        <x:v>Configuración de política de retención</x:v>
      </x:c>
      <x:c r="H29" s="73" t="str">
        <x:v>Sistema</x:v>
      </x:c>
      <x:c r="I29" s="85" t="n">
        <x:v>2</x:v>
      </x:c>
      <x:c r="J29" s="85" t="str">
        <x:v>Sí</x:v>
      </x:c>
      <x:c r="K29" s="85" t="str">
        <x:v>No</x:v>
      </x:c>
      <x:c r="L29" s="85" t="n">
        <x:v>2</x:v>
      </x:c>
      <x:c r="M29" s="85" t="str">
        <x:v>Parcial</x:v>
      </x:c>
      <x:c r="N29" s="85" t="n">
        <x:v>0.88</x:v>
      </x:c>
      <x:c r="O29" s="85" t="n">
        <x:v>1.76</x:v>
      </x:c>
      <x:c r="P29" s="85" t="str">
        <x:v>Alta</x:v>
      </x:c>
      <x:c r="Q29" s="85" t="n">
        <x:v>1</x:v>
      </x:c>
      <x:c r="R29" s="85" t="n">
        <x:v>1.45</x:v>
      </x:c>
      <x:c r="S29" s="85" t="n">
        <x:v>1.8</x:v>
      </x:c>
      <x:c r="T29" s="85" t="n">
        <x:v>3.52</x:v>
      </x:c>
      <x:c r="U29" s="85" t="n">
        <x:v>5.104</x:v>
      </x:c>
      <x:c r="V29" s="85" t="n">
        <x:v>6.336</x:v>
      </x:c>
      <x:c r="W29" s="73"/>
      <x:c r="X29" s="73" t="str">
        <x:v>Políticas aplicadas</x:v>
      </x:c>
      <x:c r="Y29" s="73" t="str">
        <x:v>Archivado, conservación y eliminación</x:v>
      </x:c>
      <x:c r="Z29" s="73"/>
      <x:c r="AA29" s="73" t="str">
        <x:v>Preliminar</x:v>
      </x:c>
      <x:c r="AB29" s="78" t="str">
        <x:v>Estimación técnica ISM · Validar</x:v>
      </x:c>
    </x:row>
    <x:row r="30">
      <x:c r="A30" s="77" t="str">
        <x:v>Respaldo y Continuidad</x:v>
      </x:c>
      <x:c r="B30" s="73" t="str">
        <x:v>BCP-03</x:v>
      </x:c>
      <x:c r="C30" s="73" t="str">
        <x:v>Retención y ciclo de vida de datos</x:v>
      </x:c>
      <x:c r="D30" s="73" t="str">
        <x:v>03 · Consolidación digital</x:v>
      </x:c>
      <x:c r="E30" s="73" t="str">
        <x:v>Implementación</x:v>
      </x:c>
      <x:c r="F30" s="73" t="str">
        <x:v>BCP3-005</x:v>
      </x:c>
      <x:c r="G30" s="73" t="str">
        <x:v>Configuración de almacenamiento de archivo</x:v>
      </x:c>
      <x:c r="H30" s="73" t="str">
        <x:v>Destino</x:v>
      </x:c>
      <x:c r="I30" s="85" t="n">
        <x:v>1</x:v>
      </x:c>
      <x:c r="J30" s="85" t="str">
        <x:v>No</x:v>
      </x:c>
      <x:c r="K30" s="85" t="str">
        <x:v>No</x:v>
      </x:c>
      <x:c r="L30" s="85" t="n">
        <x:v>2</x:v>
      </x:c>
      <x:c r="M30" s="85" t="str">
        <x:v>Parcial</x:v>
      </x:c>
      <x:c r="N30" s="85" t="n">
        <x:v>0.88</x:v>
      </x:c>
      <x:c r="O30" s="85" t="n">
        <x:v>1.76</x:v>
      </x:c>
      <x:c r="P30" s="85" t="str">
        <x:v>Alta</x:v>
      </x:c>
      <x:c r="Q30" s="85" t="n">
        <x:v>1</x:v>
      </x:c>
      <x:c r="R30" s="85" t="n">
        <x:v>1.45</x:v>
      </x:c>
      <x:c r="S30" s="85" t="n">
        <x:v>1.8</x:v>
      </x:c>
      <x:c r="T30" s="85" t="n">
        <x:v>0</x:v>
      </x:c>
      <x:c r="U30" s="85" t="n">
        <x:v>0</x:v>
      </x:c>
      <x:c r="V30" s="85" t="n">
        <x:v>0</x:v>
      </x:c>
      <x:c r="W30" s="73"/>
      <x:c r="X30" s="73" t="str">
        <x:v>Archivo operativo</x:v>
      </x:c>
      <x:c r="Y30" s="73" t="str">
        <x:v>Ubicación, acceso y costos</x:v>
      </x:c>
      <x:c r="Z30" s="73"/>
      <x:c r="AA30" s="73" t="str">
        <x:v>Preliminar</x:v>
      </x:c>
      <x:c r="AB30" s="78" t="str">
        <x:v>Estimación técnica ISM · Validar</x:v>
      </x:c>
    </x:row>
    <x:row r="31">
      <x:c r="A31" s="77" t="str">
        <x:v>Respaldo y Continuidad</x:v>
      </x:c>
      <x:c r="B31" s="73" t="str">
        <x:v>BCP-03</x:v>
      </x:c>
      <x:c r="C31" s="73" t="str">
        <x:v>Retención y ciclo de vida de datos</x:v>
      </x:c>
      <x:c r="D31" s="73" t="str">
        <x:v>03 · Consolidación digital</x:v>
      </x:c>
      <x:c r="E31" s="73" t="str">
        <x:v>Control</x:v>
      </x:c>
      <x:c r="F31" s="73" t="str">
        <x:v>BCP3-006</x:v>
      </x:c>
      <x:c r="G31" s="73" t="str">
        <x:v>Revisión de excepciones y bloqueos</x:v>
      </x:c>
      <x:c r="H31" s="73" t="str">
        <x:v>Caso</x:v>
      </x:c>
      <x:c r="I31" s="85" t="n">
        <x:v>3</x:v>
      </x:c>
      <x:c r="J31" s="85" t="str">
        <x:v>Sí</x:v>
      </x:c>
      <x:c r="K31" s="85" t="str">
        <x:v>No</x:v>
      </x:c>
      <x:c r="L31" s="85" t="n">
        <x:v>0.75</x:v>
      </x:c>
      <x:c r="M31" s="85" t="str">
        <x:v>Parcial</x:v>
      </x:c>
      <x:c r="N31" s="85" t="n">
        <x:v>0.88</x:v>
      </x:c>
      <x:c r="O31" s="85" t="n">
        <x:v>0.66</x:v>
      </x:c>
      <x:c r="P31" s="85" t="str">
        <x:v>Media</x:v>
      </x:c>
      <x:c r="Q31" s="85" t="n">
        <x:v>1</x:v>
      </x:c>
      <x:c r="R31" s="85" t="n">
        <x:v>1.3</x:v>
      </x:c>
      <x:c r="S31" s="85" t="n">
        <x:v>1.55</x:v>
      </x:c>
      <x:c r="T31" s="85" t="n">
        <x:v>1.98</x:v>
      </x:c>
      <x:c r="U31" s="85" t="n">
        <x:v>2.574</x:v>
      </x:c>
      <x:c r="V31" s="85" t="n">
        <x:v>3.069</x:v>
      </x:c>
      <x:c r="W31" s="73"/>
      <x:c r="X31" s="73" t="str">
        <x:v>Excepciones registradas</x:v>
      </x:c>
      <x:c r="Y31" s="73" t="str">
        <x:v>Litigio, auditoría o necesidad especial</x:v>
      </x:c>
      <x:c r="Z31" s="73"/>
      <x:c r="AA31" s="73" t="str">
        <x:v>Preliminar</x:v>
      </x:c>
      <x:c r="AB31" s="78" t="str">
        <x:v>Estimación técnica ISM · Validar</x:v>
      </x:c>
    </x:row>
    <x:row r="32">
      <x:c r="A32" s="77" t="str">
        <x:v>Respaldo y Continuidad</x:v>
      </x:c>
      <x:c r="B32" s="73" t="str">
        <x:v>BCP-03</x:v>
      </x:c>
      <x:c r="C32" s="73" t="str">
        <x:v>Retención y ciclo de vida de datos</x:v>
      </x:c>
      <x:c r="D32" s="73" t="str">
        <x:v>03 · Consolidación digital</x:v>
      </x:c>
      <x:c r="E32" s="73" t="str">
        <x:v>Validación</x:v>
      </x:c>
      <x:c r="F32" s="73" t="str">
        <x:v>BCP3-007</x:v>
      </x:c>
      <x:c r="G32" s="73" t="str">
        <x:v>Prueba de aplicación de política</x:v>
      </x:c>
      <x:c r="H32" s="73" t="str">
        <x:v>Caso</x:v>
      </x:c>
      <x:c r="I32" s="85" t="n">
        <x:v>3</x:v>
      </x:c>
      <x:c r="J32" s="85" t="str">
        <x:v>Sí</x:v>
      </x:c>
      <x:c r="K32" s="85" t="str">
        <x:v>Sí</x:v>
      </x:c>
      <x:c r="L32" s="85" t="n">
        <x:v>1</x:v>
      </x:c>
      <x:c r="M32" s="85" t="str">
        <x:v>Parcial</x:v>
      </x:c>
      <x:c r="N32" s="85" t="n">
        <x:v>0.88</x:v>
      </x:c>
      <x:c r="O32" s="85" t="n">
        <x:v>0.88</x:v>
      </x:c>
      <x:c r="P32" s="85" t="str">
        <x:v>Alta</x:v>
      </x:c>
      <x:c r="Q32" s="85" t="n">
        <x:v>1</x:v>
      </x:c>
      <x:c r="R32" s="85" t="n">
        <x:v>1.45</x:v>
      </x:c>
      <x:c r="S32" s="85" t="n">
        <x:v>1.8</x:v>
      </x:c>
      <x:c r="T32" s="85" t="n">
        <x:v>2.64</x:v>
      </x:c>
      <x:c r="U32" s="85" t="n">
        <x:v>3.828</x:v>
      </x:c>
      <x:c r="V32" s="85" t="n">
        <x:v>4.752000000000001</x:v>
      </x:c>
      <x:c r="W32" s="73"/>
      <x:c r="X32" s="73" t="str">
        <x:v>Política validada</x:v>
      </x:c>
      <x:c r="Y32" s="73" t="str">
        <x:v>Conservación, archivo y eliminación</x:v>
      </x:c>
      <x:c r="Z32" s="73"/>
      <x:c r="AA32" s="73" t="str">
        <x:v>Preliminar</x:v>
      </x:c>
      <x:c r="AB32" s="78" t="str">
        <x:v>Estimación técnica ISM · Validar</x:v>
      </x:c>
    </x:row>
    <x:row r="33">
      <x:c r="A33" s="77" t="str">
        <x:v>Respaldo y Continuidad</x:v>
      </x:c>
      <x:c r="B33" s="73" t="str">
        <x:v>BCP-03</x:v>
      </x:c>
      <x:c r="C33" s="73" t="str">
        <x:v>Retención y ciclo de vida de datos</x:v>
      </x:c>
      <x:c r="D33" s="73" t="str">
        <x:v>03 · Consolidación digital</x:v>
      </x:c>
      <x:c r="E33" s="73" t="str">
        <x:v>Gobierno</x:v>
      </x:c>
      <x:c r="F33" s="73" t="str">
        <x:v>BCP3-008</x:v>
      </x:c>
      <x:c r="G33" s="73" t="str">
        <x:v>Definición de responsables y revisión</x:v>
      </x:c>
      <x:c r="H33" s="73" t="str">
        <x:v>Proyecto</x:v>
      </x:c>
      <x:c r="I33" s="85" t="n">
        <x:v>1</x:v>
      </x:c>
      <x:c r="J33" s="85" t="str">
        <x:v>Sí</x:v>
      </x:c>
      <x:c r="K33" s="85" t="str">
        <x:v>Sí</x:v>
      </x:c>
      <x:c r="L33" s="85" t="n">
        <x:v>1</x:v>
      </x:c>
      <x:c r="M33" s="85" t="str">
        <x:v>Parcial</x:v>
      </x:c>
      <x:c r="N33" s="85" t="n">
        <x:v>0.88</x:v>
      </x:c>
      <x:c r="O33" s="85" t="n">
        <x:v>0.88</x:v>
      </x:c>
      <x:c r="P33" s="85" t="str">
        <x:v>Media</x:v>
      </x:c>
      <x:c r="Q33" s="85" t="n">
        <x:v>1</x:v>
      </x:c>
      <x:c r="R33" s="85" t="n">
        <x:v>1.3</x:v>
      </x:c>
      <x:c r="S33" s="85" t="n">
        <x:v>1.55</x:v>
      </x:c>
      <x:c r="T33" s="85" t="n">
        <x:v>0.88</x:v>
      </x:c>
      <x:c r="U33" s="85" t="n">
        <x:v>1.1440000000000001</x:v>
      </x:c>
      <x:c r="V33" s="85" t="n">
        <x:v>1.364</x:v>
      </x:c>
      <x:c r="W33" s="73"/>
      <x:c r="X33" s="73" t="str">
        <x:v>Responsables definidos</x:v>
      </x:c>
      <x:c r="Y33" s="73" t="str">
        <x:v>Propietario, aprobador y periodicidad</x:v>
      </x:c>
      <x:c r="Z33" s="73"/>
      <x:c r="AA33" s="73" t="str">
        <x:v>Preliminar</x:v>
      </x:c>
      <x:c r="AB33" s="78" t="str">
        <x:v>Estimación técnica ISM · Validar</x:v>
      </x:c>
    </x:row>
    <x:row r="34">
      <x:c r="A34" s="80" t="str">
        <x:v>Respaldo y Continuidad</x:v>
      </x:c>
      <x:c r="B34" s="81" t="str">
        <x:v>BCP-03</x:v>
      </x:c>
      <x:c r="C34" s="81" t="str">
        <x:v>Retención y ciclo de vida de datos</x:v>
      </x:c>
      <x:c r="D34" s="81" t="str">
        <x:v>03 · Consolidación digital</x:v>
      </x:c>
      <x:c r="E34" s="81" t="str">
        <x:v>Cierre</x:v>
      </x:c>
      <x:c r="F34" s="81" t="str">
        <x:v>BCP3-009</x:v>
      </x:c>
      <x:c r="G34" s="81" t="str">
        <x:v>Documentación y entrega</x:v>
      </x:c>
      <x:c r="H34" s="81" t="str">
        <x:v>Proyecto</x:v>
      </x:c>
      <x:c r="I34" s="101" t="n">
        <x:v>1</x:v>
      </x:c>
      <x:c r="J34" s="101" t="str">
        <x:v>Sí</x:v>
      </x:c>
      <x:c r="K34" s="101" t="str">
        <x:v>Sí</x:v>
      </x:c>
      <x:c r="L34" s="101" t="n">
        <x:v>1.5</x:v>
      </x:c>
      <x:c r="M34" s="101" t="str">
        <x:v>Parcial</x:v>
      </x:c>
      <x:c r="N34" s="101" t="n">
        <x:v>0.88</x:v>
      </x:c>
      <x:c r="O34" s="101" t="n">
        <x:v>1.32</x:v>
      </x:c>
      <x:c r="P34" s="101" t="str">
        <x:v>Media</x:v>
      </x:c>
      <x:c r="Q34" s="101" t="n">
        <x:v>1</x:v>
      </x:c>
      <x:c r="R34" s="101" t="n">
        <x:v>1.3</x:v>
      </x:c>
      <x:c r="S34" s="101" t="n">
        <x:v>1.55</x:v>
      </x:c>
      <x:c r="T34" s="101" t="n">
        <x:v>1.32</x:v>
      </x:c>
      <x:c r="U34" s="101" t="n">
        <x:v>1.7160000000000002</x:v>
      </x:c>
      <x:c r="V34" s="101" t="n">
        <x:v>2.0460000000000003</x:v>
      </x:c>
      <x:c r="W34" s="81"/>
      <x:c r="X34" s="81" t="str">
        <x:v>Documento de retención</x:v>
      </x:c>
      <x:c r="Y34" s="81" t="str">
        <x:v>Matriz, reglas y operación</x:v>
      </x:c>
      <x:c r="Z34" s="81"/>
      <x:c r="AA34" s="81" t="str">
        <x:v>Preliminar</x:v>
      </x:c>
      <x:c r="AB34" s="82" t="str">
        <x:v>Estimación técnica ISM · Validar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875cf3adbf7445d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5" hidden="0" customWidth="1"/>
    <x:col min="5" max="5" width="18" hidden="0" customWidth="1"/>
    <x:col min="6" max="6" width="14" hidden="0" customWidth="1"/>
    <x:col min="7" max="7" width="42" hidden="0" customWidth="1"/>
    <x:col min="8" max="8" width="16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4" hidden="0" customWidth="1"/>
    <x:col min="24" max="24" width="28" hidden="0" customWidth="1"/>
    <x:col min="25" max="25" width="38" hidden="0" customWidth="1"/>
    <x:col min="26" max="26" width="32" hidden="0" customWidth="1"/>
    <x:col min="27" max="27" width="18" hidden="0" customWidth="1"/>
    <x:col min="28" max="28" width="30" hidden="0" customWidth="1"/>
  </x:cols>
  <x:sheetData>
    <x:row r="1">
      <x:c r="A1" s="5" t="str">
        <x:v>CATÁLOGO TÉCNICO · CIBERSEGURIDAD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>
      <x:c r="A2" s="55" t="str">
        <x:v>Hardening, vulnerabilidades, identidad y preparación ante incidentes.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</x:row>
    <x:row r="3">
      <x:c r="A3" s="103" t="str">
        <x:v>Servicios</x:v>
      </x:c>
      <x:c r="B3" s="104" t="n">
        <x:v>4</x:v>
      </x:c>
      <x:c r="C3" s="104" t="str">
        <x:v>Actividades</x:v>
      </x:c>
      <x:c r="D3" s="104" t="n">
        <x:v>46</x:v>
      </x:c>
      <x:c r="E3" s="104" t="str">
        <x:v>HH Inicial</x:v>
      </x:c>
      <x:c r="F3" s="109" t="n">
        <x:v>95.84999999999998</x:v>
      </x:c>
      <x:c r="G3" s="109" t="str">
        <x:v>HH Estándar</x:v>
      </x:c>
      <x:c r="H3" s="109" t="n">
        <x:v>135.40500000000003</x:v>
      </x:c>
      <x:c r="I3" s="109" t="str">
        <x:v>HH Avanzado</x:v>
      </x:c>
      <x:c r="J3" s="109" t="n">
        <x:v>166.5675000000001</x:v>
      </x:c>
      <x:c r="K3" s="104" t="str">
        <x:v>Estado</x:v>
      </x:c>
      <x:c r="L3" s="105" t="str">
        <x:v>Preliminar</x:v>
      </x:c>
    </x:row>
    <x:row r="5">
      <x:c r="A5" s="20" t="str">
        <x:v>Línea de servicio</x:v>
      </x:c>
      <x:c r="B5" s="21" t="str">
        <x:v>Código servicio</x:v>
      </x:c>
      <x:c r="C5" s="21" t="str">
        <x:v>Servicio / solución</x:v>
      </x:c>
      <x:c r="D5" s="21" t="str">
        <x:v>Madurez</x:v>
      </x:c>
      <x:c r="E5" s="21" t="str">
        <x:v>Fase</x:v>
      </x:c>
      <x:c r="F5" s="21" t="str">
        <x:v>Código actividad</x:v>
      </x:c>
      <x:c r="G5" s="21" t="str">
        <x:v>Actividad / entregable</x:v>
      </x:c>
      <x:c r="H5" s="21" t="str">
        <x:v>Unidad</x:v>
      </x:c>
      <x:c r="I5" s="21" t="str">
        <x:v>Cantidad base</x:v>
      </x:c>
      <x:c r="J5" s="21" t="str">
        <x:v>Incluida base</x:v>
      </x:c>
      <x:c r="K5" s="21" t="str">
        <x:v>Obligatoria</x:v>
      </x:c>
      <x:c r="L5" s="21" t="str">
        <x:v>HH unitarias desde cero</x:v>
      </x:c>
      <x:c r="M5" s="21" t="str">
        <x:v>Reutilización</x:v>
      </x:c>
      <x:c r="N5" s="21" t="str">
        <x:v>Factor reutilización ISM</x:v>
      </x:c>
      <x:c r="O5" s="21" t="str">
        <x:v>HH unitarias configurador</x:v>
      </x:c>
      <x:c r="P5" s="21" t="str">
        <x:v>Complejidad</x:v>
      </x:c>
      <x:c r="Q5" s="21" t="str">
        <x:v>Factor Inicial</x:v>
      </x:c>
      <x:c r="R5" s="21" t="str">
        <x:v>Factor Estándar</x:v>
      </x:c>
      <x:c r="S5" s="21" t="str">
        <x:v>Factor Avanzado</x:v>
      </x:c>
      <x:c r="T5" s="21" t="str">
        <x:v>HH Inicial</x:v>
      </x:c>
      <x:c r="U5" s="21" t="str">
        <x:v>HH Estándar</x:v>
      </x:c>
      <x:c r="V5" s="21" t="str">
        <x:v>HH Avanzado</x:v>
      </x:c>
      <x:c r="W5" s="21" t="str">
        <x:v>Dependencias</x:v>
      </x:c>
      <x:c r="X5" s="21" t="str">
        <x:v>Entregable verificable</x:v>
      </x:c>
      <x:c r="Y5" s="21" t="str">
        <x:v>Alcance / criterio</x:v>
      </x:c>
      <x:c r="Z5" s="21" t="str">
        <x:v>Exclusiones</x:v>
      </x:c>
      <x:c r="AA5" s="21" t="str">
        <x:v>Estado validación</x:v>
      </x:c>
      <x:c r="AB5" s="22" t="str">
        <x:v>Fuente / calibración</x:v>
      </x:c>
    </x:row>
    <x:row r="6">
      <x:c r="A6" s="74" t="str">
        <x:v>Ciberseguridad</x:v>
      </x:c>
      <x:c r="B6" s="75" t="str">
        <x:v>SEC-01</x:v>
      </x:c>
      <x:c r="C6" s="75" t="str">
        <x:v>Hardening de plataforma</x:v>
      </x:c>
      <x:c r="D6" s="75" t="str">
        <x:v>03 · Consolidación digital</x:v>
      </x:c>
      <x:c r="E6" s="75" t="str">
        <x:v>Diagnóstico</x:v>
      </x:c>
      <x:c r="F6" s="75" t="str">
        <x:v>SEC1-001</x:v>
      </x:c>
      <x:c r="G6" s="75" t="str">
        <x:v>Inventario de componentes, versiones y servicios</x:v>
      </x:c>
      <x:c r="H6" s="75" t="str">
        <x:v>Activo</x:v>
      </x:c>
      <x:c r="I6" s="84" t="n">
        <x:v>4</x:v>
      </x:c>
      <x:c r="J6" s="84" t="str">
        <x:v>Sí</x:v>
      </x:c>
      <x:c r="K6" s="84" t="str">
        <x:v>Sí</x:v>
      </x:c>
      <x:c r="L6" s="84" t="n">
        <x:v>0.75</x:v>
      </x:c>
      <x:c r="M6" s="84" t="str">
        <x:v>Parcial</x:v>
      </x:c>
      <x:c r="N6" s="84" t="n">
        <x:v>0.9</x:v>
      </x:c>
      <x:c r="O6" s="84" t="n">
        <x:v>0.675</x:v>
      </x:c>
      <x:c r="P6" s="84" t="str">
        <x:v>Media</x:v>
      </x:c>
      <x:c r="Q6" s="84" t="n">
        <x:v>1</x:v>
      </x:c>
      <x:c r="R6" s="84" t="n">
        <x:v>1.3</x:v>
      </x:c>
      <x:c r="S6" s="84" t="n">
        <x:v>1.55</x:v>
      </x:c>
      <x:c r="T6" s="84" t="n">
        <x:v>2.7</x:v>
      </x:c>
      <x:c r="U6" s="84" t="n">
        <x:v>3.5100000000000002</x:v>
      </x:c>
      <x:c r="V6" s="84" t="n">
        <x:v>4.1850000000000005</x:v>
      </x:c>
      <x:c r="W6" s="75"/>
      <x:c r="X6" s="75" t="str">
        <x:v>Inventario de seguridad</x:v>
      </x:c>
      <x:c r="Y6" s="75" t="str">
        <x:v>Sistemas, aplicaciones, bases y servicios</x:v>
      </x:c>
      <x:c r="Z6" s="75"/>
      <x:c r="AA6" s="75" t="str">
        <x:v>Preliminar</x:v>
      </x:c>
      <x:c r="AB6" s="76" t="str">
        <x:v>Estimación técnica ISM · Validar</x:v>
      </x:c>
    </x:row>
    <x:row r="7">
      <x:c r="A7" s="77" t="str">
        <x:v>Ciberseguridad</x:v>
      </x:c>
      <x:c r="B7" s="73" t="str">
        <x:v>SEC-01</x:v>
      </x:c>
      <x:c r="C7" s="73" t="str">
        <x:v>Hardening de plataforma</x:v>
      </x:c>
      <x:c r="D7" s="73" t="str">
        <x:v>03 · Consolidación digital</x:v>
      </x:c>
      <x:c r="E7" s="73" t="str">
        <x:v>Diagnóstico</x:v>
      </x:c>
      <x:c r="F7" s="73" t="str">
        <x:v>SEC1-002</x:v>
      </x:c>
      <x:c r="G7" s="73" t="str">
        <x:v>Levantamiento de línea base de configuración</x:v>
      </x:c>
      <x:c r="H7" s="73" t="str">
        <x:v>Entorno</x:v>
      </x:c>
      <x:c r="I7" s="85" t="n">
        <x:v>2</x:v>
      </x:c>
      <x:c r="J7" s="85" t="str">
        <x:v>Sí</x:v>
      </x:c>
      <x:c r="K7" s="85" t="str">
        <x:v>Sí</x:v>
      </x:c>
      <x:c r="L7" s="85" t="n">
        <x:v>1.5</x:v>
      </x:c>
      <x:c r="M7" s="85" t="str">
        <x:v>Parcial</x:v>
      </x:c>
      <x:c r="N7" s="85" t="n">
        <x:v>0.9</x:v>
      </x:c>
      <x:c r="O7" s="85" t="n">
        <x:v>1.35</x:v>
      </x:c>
      <x:c r="P7" s="85" t="str">
        <x:v>Alta</x:v>
      </x:c>
      <x:c r="Q7" s="85" t="n">
        <x:v>1</x:v>
      </x:c>
      <x:c r="R7" s="85" t="n">
        <x:v>1.45</x:v>
      </x:c>
      <x:c r="S7" s="85" t="n">
        <x:v>1.8</x:v>
      </x:c>
      <x:c r="T7" s="85" t="n">
        <x:v>2.7</x:v>
      </x:c>
      <x:c r="U7" s="85" t="n">
        <x:v>3.915</x:v>
      </x:c>
      <x:c r="V7" s="85" t="n">
        <x:v>4.86</x:v>
      </x:c>
      <x:c r="W7" s="73"/>
      <x:c r="X7" s="73" t="str">
        <x:v>Línea base</x:v>
      </x:c>
      <x:c r="Y7" s="73" t="str">
        <x:v>Configuraciones, puertos, cuentas y políticas</x:v>
      </x:c>
      <x:c r="Z7" s="73"/>
      <x:c r="AA7" s="73" t="str">
        <x:v>Preliminar</x:v>
      </x:c>
      <x:c r="AB7" s="78" t="str">
        <x:v>Estimación técnica ISM · Validar</x:v>
      </x:c>
    </x:row>
    <x:row r="8">
      <x:c r="A8" s="77" t="str">
        <x:v>Ciberseguridad</x:v>
      </x:c>
      <x:c r="B8" s="73" t="str">
        <x:v>SEC-01</x:v>
      </x:c>
      <x:c r="C8" s="73" t="str">
        <x:v>Hardening de plataforma</x:v>
      </x:c>
      <x:c r="D8" s="73" t="str">
        <x:v>03 · Consolidación digital</x:v>
      </x:c>
      <x:c r="E8" s="73" t="str">
        <x:v>Accesos</x:v>
      </x:c>
      <x:c r="F8" s="73" t="str">
        <x:v>SEC1-003</x:v>
      </x:c>
      <x:c r="G8" s="73" t="str">
        <x:v>Revisión de cuentas y privilegios</x:v>
      </x:c>
      <x:c r="H8" s="73" t="str">
        <x:v>Cuenta</x:v>
      </x:c>
      <x:c r="I8" s="85" t="n">
        <x:v>8</x:v>
      </x:c>
      <x:c r="J8" s="85" t="str">
        <x:v>Sí</x:v>
      </x:c>
      <x:c r="K8" s="85" t="str">
        <x:v>Sí</x:v>
      </x:c>
      <x:c r="L8" s="85" t="n">
        <x:v>0.25</x:v>
      </x:c>
      <x:c r="M8" s="85" t="str">
        <x:v>Parcial</x:v>
      </x:c>
      <x:c r="N8" s="85" t="n">
        <x:v>0.9</x:v>
      </x:c>
      <x:c r="O8" s="85" t="n">
        <x:v>0.225</x:v>
      </x:c>
      <x:c r="P8" s="85" t="str">
        <x:v>Alta</x:v>
      </x:c>
      <x:c r="Q8" s="85" t="n">
        <x:v>1</x:v>
      </x:c>
      <x:c r="R8" s="85" t="n">
        <x:v>1.45</x:v>
      </x:c>
      <x:c r="S8" s="85" t="n">
        <x:v>1.8</x:v>
      </x:c>
      <x:c r="T8" s="85" t="n">
        <x:v>1.8</x:v>
      </x:c>
      <x:c r="U8" s="85" t="n">
        <x:v>2.61</x:v>
      </x:c>
      <x:c r="V8" s="85" t="n">
        <x:v>3.24</x:v>
      </x:c>
      <x:c r="W8" s="73"/>
      <x:c r="X8" s="73" t="str">
        <x:v>Matriz de cuentas</x:v>
      </x:c>
      <x:c r="Y8" s="73" t="str">
        <x:v>Cuentas activas, privilegios y propietarios</x:v>
      </x:c>
      <x:c r="Z8" s="73"/>
      <x:c r="AA8" s="73" t="str">
        <x:v>Preliminar</x:v>
      </x:c>
      <x:c r="AB8" s="78" t="str">
        <x:v>Estimación técnica ISM · Validar</x:v>
      </x:c>
    </x:row>
    <x:row r="9">
      <x:c r="A9" s="77" t="str">
        <x:v>Ciberseguridad</x:v>
      </x:c>
      <x:c r="B9" s="73" t="str">
        <x:v>SEC-01</x:v>
      </x:c>
      <x:c r="C9" s="73" t="str">
        <x:v>Hardening de plataforma</x:v>
      </x:c>
      <x:c r="D9" s="73" t="str">
        <x:v>03 · Consolidación digital</x:v>
      </x:c>
      <x:c r="E9" s="73" t="str">
        <x:v>Accesos</x:v>
      </x:c>
      <x:c r="F9" s="73" t="str">
        <x:v>SEC1-004</x:v>
      </x:c>
      <x:c r="G9" s="73" t="str">
        <x:v>Deshabilitación o corrección de cuentas inseguras</x:v>
      </x:c>
      <x:c r="H9" s="73" t="str">
        <x:v>Cuenta</x:v>
      </x:c>
      <x:c r="I9" s="85" t="n">
        <x:v>4</x:v>
      </x:c>
      <x:c r="J9" s="85" t="str">
        <x:v>Sí</x:v>
      </x:c>
      <x:c r="K9" s="85" t="str">
        <x:v>No</x:v>
      </x:c>
      <x:c r="L9" s="85" t="n">
        <x:v>0.25</x:v>
      </x:c>
      <x:c r="M9" s="85" t="str">
        <x:v>Parcial</x:v>
      </x:c>
      <x:c r="N9" s="85" t="n">
        <x:v>0.9</x:v>
      </x:c>
      <x:c r="O9" s="85" t="n">
        <x:v>0.225</x:v>
      </x:c>
      <x:c r="P9" s="85" t="str">
        <x:v>Media</x:v>
      </x:c>
      <x:c r="Q9" s="85" t="n">
        <x:v>1</x:v>
      </x:c>
      <x:c r="R9" s="85" t="n">
        <x:v>1.3</x:v>
      </x:c>
      <x:c r="S9" s="85" t="n">
        <x:v>1.55</x:v>
      </x:c>
      <x:c r="T9" s="85" t="n">
        <x:v>0.9</x:v>
      </x:c>
      <x:c r="U9" s="85" t="n">
        <x:v>1.1700000000000002</x:v>
      </x:c>
      <x:c r="V9" s="85" t="n">
        <x:v>1.395</x:v>
      </x:c>
      <x:c r="W9" s="73"/>
      <x:c r="X9" s="73" t="str">
        <x:v>Cuentas regularizadas</x:v>
      </x:c>
      <x:c r="Y9" s="73" t="str">
        <x:v>Cuentas por defecto, huérfanas o excesivas</x:v>
      </x:c>
      <x:c r="Z9" s="73"/>
      <x:c r="AA9" s="73" t="str">
        <x:v>Preliminar</x:v>
      </x:c>
      <x:c r="AB9" s="78" t="str">
        <x:v>Estimación técnica ISM · Validar</x:v>
      </x:c>
    </x:row>
    <x:row r="10">
      <x:c r="A10" s="77" t="str">
        <x:v>Ciberseguridad</x:v>
      </x:c>
      <x:c r="B10" s="73" t="str">
        <x:v>SEC-01</x:v>
      </x:c>
      <x:c r="C10" s="73" t="str">
        <x:v>Hardening de plataforma</x:v>
      </x:c>
      <x:c r="D10" s="73" t="str">
        <x:v>03 · Consolidación digital</x:v>
      </x:c>
      <x:c r="E10" s="73" t="str">
        <x:v>Configuración</x:v>
      </x:c>
      <x:c r="F10" s="73" t="str">
        <x:v>SEC1-005</x:v>
      </x:c>
      <x:c r="G10" s="73" t="str">
        <x:v>Aplicación de hardening de sistema operativo</x:v>
      </x:c>
      <x:c r="H10" s="73" t="str">
        <x:v>Entorno</x:v>
      </x:c>
      <x:c r="I10" s="85" t="n">
        <x:v>1</x:v>
      </x:c>
      <x:c r="J10" s="85" t="str">
        <x:v>Sí</x:v>
      </x:c>
      <x:c r="K10" s="85" t="str">
        <x:v>No</x:v>
      </x:c>
      <x:c r="L10" s="85" t="n">
        <x:v>4</x:v>
      </x:c>
      <x:c r="M10" s="85" t="str">
        <x:v>Parcial</x:v>
      </x:c>
      <x:c r="N10" s="85" t="n">
        <x:v>0.9</x:v>
      </x:c>
      <x:c r="O10" s="85" t="n">
        <x:v>3.6</x:v>
      </x:c>
      <x:c r="P10" s="85" t="str">
        <x:v>Alta</x:v>
      </x:c>
      <x:c r="Q10" s="85" t="n">
        <x:v>1</x:v>
      </x:c>
      <x:c r="R10" s="85" t="n">
        <x:v>1.45</x:v>
      </x:c>
      <x:c r="S10" s="85" t="n">
        <x:v>1.8</x:v>
      </x:c>
      <x:c r="T10" s="85" t="n">
        <x:v>3.6</x:v>
      </x:c>
      <x:c r="U10" s="85" t="n">
        <x:v>5.22</x:v>
      </x:c>
      <x:c r="V10" s="85" t="n">
        <x:v>6.48</x:v>
      </x:c>
      <x:c r="W10" s="73"/>
      <x:c r="X10" s="73" t="str">
        <x:v>SO endurecido</x:v>
      </x:c>
      <x:c r="Y10" s="73" t="str">
        <x:v>Servicios, políticas, permisos y auditoría</x:v>
      </x:c>
      <x:c r="Z10" s="73"/>
      <x:c r="AA10" s="73" t="str">
        <x:v>Preliminar</x:v>
      </x:c>
      <x:c r="AB10" s="78" t="str">
        <x:v>Estimación técnica ISM · Validar</x:v>
      </x:c>
    </x:row>
    <x:row r="11">
      <x:c r="A11" s="77" t="str">
        <x:v>Ciberseguridad</x:v>
      </x:c>
      <x:c r="B11" s="73" t="str">
        <x:v>SEC-01</x:v>
      </x:c>
      <x:c r="C11" s="73" t="str">
        <x:v>Hardening de plataforma</x:v>
      </x:c>
      <x:c r="D11" s="73" t="str">
        <x:v>03 · Consolidación digital</x:v>
      </x:c>
      <x:c r="E11" s="73" t="str">
        <x:v>Configuración</x:v>
      </x:c>
      <x:c r="F11" s="73" t="str">
        <x:v>SEC1-006</x:v>
      </x:c>
      <x:c r="G11" s="73" t="str">
        <x:v>Aplicación de hardening de aplicación</x:v>
      </x:c>
      <x:c r="H11" s="73" t="str">
        <x:v>Aplicación</x:v>
      </x:c>
      <x:c r="I11" s="85" t="n">
        <x:v>1</x:v>
      </x:c>
      <x:c r="J11" s="85" t="str">
        <x:v>No</x:v>
      </x:c>
      <x:c r="K11" s="85" t="str">
        <x:v>No</x:v>
      </x:c>
      <x:c r="L11" s="85" t="n">
        <x:v>3</x:v>
      </x:c>
      <x:c r="M11" s="85" t="str">
        <x:v>Parcial</x:v>
      </x:c>
      <x:c r="N11" s="85" t="n">
        <x:v>0.9</x:v>
      </x:c>
      <x:c r="O11" s="85" t="n">
        <x:v>2.7</x:v>
      </x:c>
      <x:c r="P11" s="85" t="str">
        <x:v>Alta</x:v>
      </x:c>
      <x:c r="Q11" s="85" t="n">
        <x:v>1</x:v>
      </x:c>
      <x:c r="R11" s="85" t="n">
        <x:v>1.45</x:v>
      </x:c>
      <x:c r="S11" s="85" t="n">
        <x:v>1.8</x:v>
      </x:c>
      <x:c r="T11" s="85" t="n">
        <x:v>0</x:v>
      </x:c>
      <x:c r="U11" s="85" t="n">
        <x:v>0</x:v>
      </x:c>
      <x:c r="V11" s="85" t="n">
        <x:v>0</x:v>
      </x:c>
      <x:c r="W11" s="73"/>
      <x:c r="X11" s="73" t="str">
        <x:v>Aplicación endurecida</x:v>
      </x:c>
      <x:c r="Y11" s="73" t="str">
        <x:v>Cabeceras, configuración, secretos y errores</x:v>
      </x:c>
      <x:c r="Z11" s="73"/>
      <x:c r="AA11" s="73" t="str">
        <x:v>Preliminar</x:v>
      </x:c>
      <x:c r="AB11" s="78" t="str">
        <x:v>Estimación técnica ISM · Validar</x:v>
      </x:c>
    </x:row>
    <x:row r="12">
      <x:c r="A12" s="77" t="str">
        <x:v>Ciberseguridad</x:v>
      </x:c>
      <x:c r="B12" s="73" t="str">
        <x:v>SEC-01</x:v>
      </x:c>
      <x:c r="C12" s="73" t="str">
        <x:v>Hardening de plataforma</x:v>
      </x:c>
      <x:c r="D12" s="73" t="str">
        <x:v>03 · Consolidación digital</x:v>
      </x:c>
      <x:c r="E12" s="73" t="str">
        <x:v>Configuración</x:v>
      </x:c>
      <x:c r="F12" s="73" t="str">
        <x:v>SEC1-007</x:v>
      </x:c>
      <x:c r="G12" s="73" t="str">
        <x:v>Aplicación de hardening de base de datos</x:v>
      </x:c>
      <x:c r="H12" s="73" t="str">
        <x:v>Base de datos</x:v>
      </x:c>
      <x:c r="I12" s="85" t="n">
        <x:v>1</x:v>
      </x:c>
      <x:c r="J12" s="85" t="str">
        <x:v>No</x:v>
      </x:c>
      <x:c r="K12" s="85" t="str">
        <x:v>No</x:v>
      </x:c>
      <x:c r="L12" s="85" t="n">
        <x:v>3</x:v>
      </x:c>
      <x:c r="M12" s="85" t="str">
        <x:v>Parcial</x:v>
      </x:c>
      <x:c r="N12" s="85" t="n">
        <x:v>0.9</x:v>
      </x:c>
      <x:c r="O12" s="85" t="n">
        <x:v>2.7</x:v>
      </x:c>
      <x:c r="P12" s="85" t="str">
        <x:v>Alta</x:v>
      </x:c>
      <x:c r="Q12" s="85" t="n">
        <x:v>1</x:v>
      </x:c>
      <x:c r="R12" s="85" t="n">
        <x:v>1.45</x:v>
      </x:c>
      <x:c r="S12" s="85" t="n">
        <x:v>1.8</x:v>
      </x:c>
      <x:c r="T12" s="85" t="n">
        <x:v>0</x:v>
      </x:c>
      <x:c r="U12" s="85" t="n">
        <x:v>0</x:v>
      </x:c>
      <x:c r="V12" s="85" t="n">
        <x:v>0</x:v>
      </x:c>
      <x:c r="W12" s="73"/>
      <x:c r="X12" s="73" t="str">
        <x:v>BD endurecida</x:v>
      </x:c>
      <x:c r="Y12" s="73" t="str">
        <x:v>Usuarios, red, cifrado y auditoría</x:v>
      </x:c>
      <x:c r="Z12" s="73"/>
      <x:c r="AA12" s="73" t="str">
        <x:v>Preliminar</x:v>
      </x:c>
      <x:c r="AB12" s="78" t="str">
        <x:v>Estimación técnica ISM · Validar</x:v>
      </x:c>
    </x:row>
    <x:row r="13">
      <x:c r="A13" s="77" t="str">
        <x:v>Ciberseguridad</x:v>
      </x:c>
      <x:c r="B13" s="73" t="str">
        <x:v>SEC-01</x:v>
      </x:c>
      <x:c r="C13" s="73" t="str">
        <x:v>Hardening de plataforma</x:v>
      </x:c>
      <x:c r="D13" s="73" t="str">
        <x:v>03 · Consolidación digital</x:v>
      </x:c>
      <x:c r="E13" s="73" t="str">
        <x:v>Red</x:v>
      </x:c>
      <x:c r="F13" s="73" t="str">
        <x:v>SEC1-008</x:v>
      </x:c>
      <x:c r="G13" s="73" t="str">
        <x:v>Cierre de puertos y servicios no requeridos</x:v>
      </x:c>
      <x:c r="H13" s="73" t="str">
        <x:v>Entorno</x:v>
      </x:c>
      <x:c r="I13" s="85" t="n">
        <x:v>1</x:v>
      </x:c>
      <x:c r="J13" s="85" t="str">
        <x:v>Sí</x:v>
      </x:c>
      <x:c r="K13" s="85" t="str">
        <x:v>No</x:v>
      </x:c>
      <x:c r="L13" s="85" t="n">
        <x:v>1.5</x:v>
      </x:c>
      <x:c r="M13" s="85" t="str">
        <x:v>Parcial</x:v>
      </x:c>
      <x:c r="N13" s="85" t="n">
        <x:v>0.9</x:v>
      </x:c>
      <x:c r="O13" s="85" t="n">
        <x:v>1.35</x:v>
      </x:c>
      <x:c r="P13" s="85" t="str">
        <x:v>Alta</x:v>
      </x:c>
      <x:c r="Q13" s="85" t="n">
        <x:v>1</x:v>
      </x:c>
      <x:c r="R13" s="85" t="n">
        <x:v>1.45</x:v>
      </x:c>
      <x:c r="S13" s="85" t="n">
        <x:v>1.8</x:v>
      </x:c>
      <x:c r="T13" s="85" t="n">
        <x:v>1.35</x:v>
      </x:c>
      <x:c r="U13" s="85" t="n">
        <x:v>1.9575</x:v>
      </x:c>
      <x:c r="V13" s="85" t="n">
        <x:v>2.43</x:v>
      </x:c>
      <x:c r="W13" s="73"/>
      <x:c r="X13" s="73" t="str">
        <x:v>Superficie reducida</x:v>
      </x:c>
      <x:c r="Y13" s="73" t="str">
        <x:v>Puertos, protocolos y servicios</x:v>
      </x:c>
      <x:c r="Z13" s="73"/>
      <x:c r="AA13" s="73" t="str">
        <x:v>Preliminar</x:v>
      </x:c>
      <x:c r="AB13" s="78" t="str">
        <x:v>Estimación técnica ISM · Validar</x:v>
      </x:c>
    </x:row>
    <x:row r="14">
      <x:c r="A14" s="77" t="str">
        <x:v>Ciberseguridad</x:v>
      </x:c>
      <x:c r="B14" s="73" t="str">
        <x:v>SEC-01</x:v>
      </x:c>
      <x:c r="C14" s="73" t="str">
        <x:v>Hardening de plataforma</x:v>
      </x:c>
      <x:c r="D14" s="73" t="str">
        <x:v>03 · Consolidación digital</x:v>
      </x:c>
      <x:c r="E14" s="73" t="str">
        <x:v>Criptografía</x:v>
      </x:c>
      <x:c r="F14" s="73" t="str">
        <x:v>SEC1-009</x:v>
      </x:c>
      <x:c r="G14" s="73" t="str">
        <x:v>Configuración de cifrado y protocolos seguros</x:v>
      </x:c>
      <x:c r="H14" s="73" t="str">
        <x:v>Entorno</x:v>
      </x:c>
      <x:c r="I14" s="85" t="n">
        <x:v>1</x:v>
      </x:c>
      <x:c r="J14" s="85" t="str">
        <x:v>Sí</x:v>
      </x:c>
      <x:c r="K14" s="85" t="str">
        <x:v>No</x:v>
      </x:c>
      <x:c r="L14" s="85" t="n">
        <x:v>1.5</x:v>
      </x:c>
      <x:c r="M14" s="85" t="str">
        <x:v>Parcial</x:v>
      </x:c>
      <x:c r="N14" s="85" t="n">
        <x:v>0.9</x:v>
      </x:c>
      <x:c r="O14" s="85" t="n">
        <x:v>1.35</x:v>
      </x:c>
      <x:c r="P14" s="85" t="str">
        <x:v>Alta</x:v>
      </x:c>
      <x:c r="Q14" s="85" t="n">
        <x:v>1</x:v>
      </x:c>
      <x:c r="R14" s="85" t="n">
        <x:v>1.45</x:v>
      </x:c>
      <x:c r="S14" s="85" t="n">
        <x:v>1.8</x:v>
      </x:c>
      <x:c r="T14" s="85" t="n">
        <x:v>1.35</x:v>
      </x:c>
      <x:c r="U14" s="85" t="n">
        <x:v>1.9575</x:v>
      </x:c>
      <x:c r="V14" s="85" t="n">
        <x:v>2.43</x:v>
      </x:c>
      <x:c r="W14" s="73"/>
      <x:c r="X14" s="73" t="str">
        <x:v>Cifrado validado</x:v>
      </x:c>
      <x:c r="Y14" s="73" t="str">
        <x:v>TLS, algoritmos y configuración</x:v>
      </x:c>
      <x:c r="Z14" s="73"/>
      <x:c r="AA14" s="73" t="str">
        <x:v>Preliminar</x:v>
      </x:c>
      <x:c r="AB14" s="78" t="str">
        <x:v>Estimación técnica ISM · Validar</x:v>
      </x:c>
    </x:row>
    <x:row r="15">
      <x:c r="A15" s="77" t="str">
        <x:v>Ciberseguridad</x:v>
      </x:c>
      <x:c r="B15" s="73" t="str">
        <x:v>SEC-01</x:v>
      </x:c>
      <x:c r="C15" s="73" t="str">
        <x:v>Hardening de plataforma</x:v>
      </x:c>
      <x:c r="D15" s="73" t="str">
        <x:v>03 · Consolidación digital</x:v>
      </x:c>
      <x:c r="E15" s="73" t="str">
        <x:v>Auditoría</x:v>
      </x:c>
      <x:c r="F15" s="73" t="str">
        <x:v>SEC1-010</x:v>
      </x:c>
      <x:c r="G15" s="73" t="str">
        <x:v>Configuración de logs de seguridad</x:v>
      </x:c>
      <x:c r="H15" s="73" t="str">
        <x:v>Entorno</x:v>
      </x:c>
      <x:c r="I15" s="85" t="n">
        <x:v>1</x:v>
      </x:c>
      <x:c r="J15" s="85" t="str">
        <x:v>Sí</x:v>
      </x:c>
      <x:c r="K15" s="85" t="str">
        <x:v>No</x:v>
      </x:c>
      <x:c r="L15" s="85" t="n">
        <x:v>1.5</x:v>
      </x:c>
      <x:c r="M15" s="85" t="str">
        <x:v>Parcial</x:v>
      </x:c>
      <x:c r="N15" s="85" t="n">
        <x:v>0.9</x:v>
      </x:c>
      <x:c r="O15" s="85" t="n">
        <x:v>1.35</x:v>
      </x:c>
      <x:c r="P15" s="85" t="str">
        <x:v>Alta</x:v>
      </x:c>
      <x:c r="Q15" s="85" t="n">
        <x:v>1</x:v>
      </x:c>
      <x:c r="R15" s="85" t="n">
        <x:v>1.45</x:v>
      </x:c>
      <x:c r="S15" s="85" t="n">
        <x:v>1.8</x:v>
      </x:c>
      <x:c r="T15" s="85" t="n">
        <x:v>1.35</x:v>
      </x:c>
      <x:c r="U15" s="85" t="n">
        <x:v>1.9575</x:v>
      </x:c>
      <x:c r="V15" s="85" t="n">
        <x:v>2.43</x:v>
      </x:c>
      <x:c r="W15" s="73"/>
      <x:c r="X15" s="73" t="str">
        <x:v>Auditoría activa</x:v>
      </x:c>
      <x:c r="Y15" s="73" t="str">
        <x:v>Accesos, cambios y eventos críticos</x:v>
      </x:c>
      <x:c r="Z15" s="73"/>
      <x:c r="AA15" s="73" t="str">
        <x:v>Preliminar</x:v>
      </x:c>
      <x:c r="AB15" s="78" t="str">
        <x:v>Estimación técnica ISM · Validar</x:v>
      </x:c>
    </x:row>
    <x:row r="16">
      <x:c r="A16" s="77" t="str">
        <x:v>Ciberseguridad</x:v>
      </x:c>
      <x:c r="B16" s="73" t="str">
        <x:v>SEC-01</x:v>
      </x:c>
      <x:c r="C16" s="73" t="str">
        <x:v>Hardening de plataforma</x:v>
      </x:c>
      <x:c r="D16" s="73" t="str">
        <x:v>03 · Consolidación digital</x:v>
      </x:c>
      <x:c r="E16" s="73" t="str">
        <x:v>Validación</x:v>
      </x:c>
      <x:c r="F16" s="73" t="str">
        <x:v>SEC1-011</x:v>
      </x:c>
      <x:c r="G16" s="73" t="str">
        <x:v>Revisión posterior contra línea base</x:v>
      </x:c>
      <x:c r="H16" s="73" t="str">
        <x:v>Entorno</x:v>
      </x:c>
      <x:c r="I16" s="85" t="n">
        <x:v>2</x:v>
      </x:c>
      <x:c r="J16" s="85" t="str">
        <x:v>Sí</x:v>
      </x:c>
      <x:c r="K16" s="85" t="str">
        <x:v>Sí</x:v>
      </x:c>
      <x:c r="L16" s="85" t="n">
        <x:v>1</x:v>
      </x:c>
      <x:c r="M16" s="85" t="str">
        <x:v>Parcial</x:v>
      </x:c>
      <x:c r="N16" s="85" t="n">
        <x:v>0.9</x:v>
      </x:c>
      <x:c r="O16" s="85" t="n">
        <x:v>0.9</x:v>
      </x:c>
      <x:c r="P16" s="85" t="str">
        <x:v>Alta</x:v>
      </x:c>
      <x:c r="Q16" s="85" t="n">
        <x:v>1</x:v>
      </x:c>
      <x:c r="R16" s="85" t="n">
        <x:v>1.45</x:v>
      </x:c>
      <x:c r="S16" s="85" t="n">
        <x:v>1.8</x:v>
      </x:c>
      <x:c r="T16" s="85" t="n">
        <x:v>1.8</x:v>
      </x:c>
      <x:c r="U16" s="85" t="n">
        <x:v>2.61</x:v>
      </x:c>
      <x:c r="V16" s="85" t="n">
        <x:v>3.24</x:v>
      </x:c>
      <x:c r="W16" s="73"/>
      <x:c r="X16" s="73" t="str">
        <x:v>Checklist validado</x:v>
      </x:c>
      <x:c r="Y16" s="73" t="str">
        <x:v>Comparación y evidencias</x:v>
      </x:c>
      <x:c r="Z16" s="73"/>
      <x:c r="AA16" s="73" t="str">
        <x:v>Preliminar</x:v>
      </x:c>
      <x:c r="AB16" s="78" t="str">
        <x:v>Estimación técnica ISM · Validar</x:v>
      </x:c>
    </x:row>
    <x:row r="17">
      <x:c r="A17" s="77" t="str">
        <x:v>Ciberseguridad</x:v>
      </x:c>
      <x:c r="B17" s="73" t="str">
        <x:v>SEC-01</x:v>
      </x:c>
      <x:c r="C17" s="73" t="str">
        <x:v>Hardening de plataforma</x:v>
      </x:c>
      <x:c r="D17" s="73" t="str">
        <x:v>03 · Consolidación digital</x:v>
      </x:c>
      <x:c r="E17" s="73" t="str">
        <x:v>Calidad</x:v>
      </x:c>
      <x:c r="F17" s="73" t="str">
        <x:v>SEC1-012</x:v>
      </x:c>
      <x:c r="G17" s="73" t="str">
        <x:v>Pruebas de acceso y operación</x:v>
      </x:c>
      <x:c r="H17" s="73" t="str">
        <x:v>Caso</x:v>
      </x:c>
      <x:c r="I17" s="85" t="n">
        <x:v>4</x:v>
      </x:c>
      <x:c r="J17" s="85" t="str">
        <x:v>Sí</x:v>
      </x:c>
      <x:c r="K17" s="85" t="str">
        <x:v>Sí</x:v>
      </x:c>
      <x:c r="L17" s="85" t="n">
        <x:v>0.5</x:v>
      </x:c>
      <x:c r="M17" s="85" t="str">
        <x:v>Parcial</x:v>
      </x:c>
      <x:c r="N17" s="85" t="n">
        <x:v>0.9</x:v>
      </x:c>
      <x:c r="O17" s="85" t="n">
        <x:v>0.45</x:v>
      </x:c>
      <x:c r="P17" s="85" t="str">
        <x:v>Media</x:v>
      </x:c>
      <x:c r="Q17" s="85" t="n">
        <x:v>1</x:v>
      </x:c>
      <x:c r="R17" s="85" t="n">
        <x:v>1.3</x:v>
      </x:c>
      <x:c r="S17" s="85" t="n">
        <x:v>1.55</x:v>
      </x:c>
      <x:c r="T17" s="85" t="n">
        <x:v>1.8</x:v>
      </x:c>
      <x:c r="U17" s="85" t="n">
        <x:v>2.3400000000000003</x:v>
      </x:c>
      <x:c r="V17" s="85" t="n">
        <x:v>2.79</x:v>
      </x:c>
      <x:c r="W17" s="73"/>
      <x:c r="X17" s="73" t="str">
        <x:v>Pruebas funcionales</x:v>
      </x:c>
      <x:c r="Y17" s="73" t="str">
        <x:v>Operación posterior al hardening</x:v>
      </x:c>
      <x:c r="Z17" s="73"/>
      <x:c r="AA17" s="73" t="str">
        <x:v>Preliminar</x:v>
      </x:c>
      <x:c r="AB17" s="78" t="str">
        <x:v>Estimación técnica ISM · Validar</x:v>
      </x:c>
    </x:row>
    <x:row r="18">
      <x:c r="A18" s="77" t="str">
        <x:v>Ciberseguridad</x:v>
      </x:c>
      <x:c r="B18" s="73" t="str">
        <x:v>SEC-01</x:v>
      </x:c>
      <x:c r="C18" s="73" t="str">
        <x:v>Hardening de plataforma</x:v>
      </x:c>
      <x:c r="D18" s="73" t="str">
        <x:v>03 · Consolidación digital</x:v>
      </x:c>
      <x:c r="E18" s="73" t="str">
        <x:v>Cierre</x:v>
      </x:c>
      <x:c r="F18" s="73" t="str">
        <x:v>SEC1-013</x:v>
      </x:c>
      <x:c r="G18" s="73" t="str">
        <x:v>Informe de cambios y riesgos pendientes</x:v>
      </x:c>
      <x:c r="H18" s="73" t="str">
        <x:v>Proyecto</x:v>
      </x:c>
      <x:c r="I18" s="85" t="n">
        <x:v>1</x:v>
      </x:c>
      <x:c r="J18" s="85" t="str">
        <x:v>Sí</x:v>
      </x:c>
      <x:c r="K18" s="85" t="str">
        <x:v>Sí</x:v>
      </x:c>
      <x:c r="L18" s="85" t="n">
        <x:v>2</x:v>
      </x:c>
      <x:c r="M18" s="85" t="str">
        <x:v>Parcial</x:v>
      </x:c>
      <x:c r="N18" s="85" t="n">
        <x:v>0.9</x:v>
      </x:c>
      <x:c r="O18" s="85" t="n">
        <x:v>1.8</x:v>
      </x:c>
      <x:c r="P18" s="85" t="str">
        <x:v>Media</x:v>
      </x:c>
      <x:c r="Q18" s="85" t="n">
        <x:v>1</x:v>
      </x:c>
      <x:c r="R18" s="85" t="n">
        <x:v>1.3</x:v>
      </x:c>
      <x:c r="S18" s="85" t="n">
        <x:v>1.55</x:v>
      </x:c>
      <x:c r="T18" s="85" t="n">
        <x:v>1.8</x:v>
      </x:c>
      <x:c r="U18" s="85" t="n">
        <x:v>2.3400000000000003</x:v>
      </x:c>
      <x:c r="V18" s="85" t="n">
        <x:v>2.79</x:v>
      </x:c>
      <x:c r="W18" s="73"/>
      <x:c r="X18" s="73" t="str">
        <x:v>Informe de hardening</x:v>
      </x:c>
      <x:c r="Y18" s="73" t="str">
        <x:v>Cambios, excepciones y recomendaciones</x:v>
      </x:c>
      <x:c r="Z18" s="73"/>
      <x:c r="AA18" s="73" t="str">
        <x:v>Preliminar</x:v>
      </x:c>
      <x:c r="AB18" s="78" t="str">
        <x:v>Estimación técnica ISM · Validar</x:v>
      </x:c>
    </x:row>
    <x:row r="19">
      <x:c r="A19" s="77" t="str">
        <x:v>Ciberseguridad</x:v>
      </x:c>
      <x:c r="B19" s="73" t="str">
        <x:v>SEC-02</x:v>
      </x:c>
      <x:c r="C19" s="73" t="str">
        <x:v>Gestión de vulnerabilidades y parches</x:v>
      </x:c>
      <x:c r="D19" s="73" t="str">
        <x:v>03 · Consolidación digital</x:v>
      </x:c>
      <x:c r="E19" s="73" t="str">
        <x:v>Alcance</x:v>
      </x:c>
      <x:c r="F19" s="73" t="str">
        <x:v>SEC2-001</x:v>
      </x:c>
      <x:c r="G19" s="73" t="str">
        <x:v>Inventario de activos y alcance de revisión</x:v>
      </x:c>
      <x:c r="H19" s="73" t="str">
        <x:v>Activo</x:v>
      </x:c>
      <x:c r="I19" s="85" t="n">
        <x:v>6</x:v>
      </x:c>
      <x:c r="J19" s="85" t="str">
        <x:v>Sí</x:v>
      </x:c>
      <x:c r="K19" s="85" t="str">
        <x:v>Sí</x:v>
      </x:c>
      <x:c r="L19" s="85" t="n">
        <x:v>0.5</x:v>
      </x:c>
      <x:c r="M19" s="85" t="str">
        <x:v>Parcial</x:v>
      </x:c>
      <x:c r="N19" s="85" t="n">
        <x:v>0.9</x:v>
      </x:c>
      <x:c r="O19" s="85" t="n">
        <x:v>0.45</x:v>
      </x:c>
      <x:c r="P19" s="85" t="str">
        <x:v>Media</x:v>
      </x:c>
      <x:c r="Q19" s="85" t="n">
        <x:v>1</x:v>
      </x:c>
      <x:c r="R19" s="85" t="n">
        <x:v>1.3</x:v>
      </x:c>
      <x:c r="S19" s="85" t="n">
        <x:v>1.55</x:v>
      </x:c>
      <x:c r="T19" s="85" t="n">
        <x:v>2.7</x:v>
      </x:c>
      <x:c r="U19" s="85" t="n">
        <x:v>3.5100000000000002</x:v>
      </x:c>
      <x:c r="V19" s="85" t="n">
        <x:v>4.1850000000000005</x:v>
      </x:c>
      <x:c r="W19" s="73"/>
      <x:c r="X19" s="73" t="str">
        <x:v>Alcance definido</x:v>
      </x:c>
      <x:c r="Y19" s="73" t="str">
        <x:v>Activos, propietarios y criticidad</x:v>
      </x:c>
      <x:c r="Z19" s="73"/>
      <x:c r="AA19" s="73" t="str">
        <x:v>Preliminar</x:v>
      </x:c>
      <x:c r="AB19" s="78" t="str">
        <x:v>Estimación técnica ISM · Validar</x:v>
      </x:c>
    </x:row>
    <x:row r="20">
      <x:c r="A20" s="77" t="str">
        <x:v>Ciberseguridad</x:v>
      </x:c>
      <x:c r="B20" s="73" t="str">
        <x:v>SEC-02</x:v>
      </x:c>
      <x:c r="C20" s="73" t="str">
        <x:v>Gestión de vulnerabilidades y parches</x:v>
      </x:c>
      <x:c r="D20" s="73" t="str">
        <x:v>03 · Consolidación digital</x:v>
      </x:c>
      <x:c r="E20" s="73" t="str">
        <x:v>Preparación</x:v>
      </x:c>
      <x:c r="F20" s="73" t="str">
        <x:v>SEC2-002</x:v>
      </x:c>
      <x:c r="G20" s="73" t="str">
        <x:v>Configuración de credenciales y ventanas</x:v>
      </x:c>
      <x:c r="H20" s="73" t="str">
        <x:v>Entorno</x:v>
      </x:c>
      <x:c r="I20" s="85" t="n">
        <x:v>2</x:v>
      </x:c>
      <x:c r="J20" s="85" t="str">
        <x:v>Sí</x:v>
      </x:c>
      <x:c r="K20" s="85" t="str">
        <x:v>Sí</x:v>
      </x:c>
      <x:c r="L20" s="85" t="n">
        <x:v>0.75</x:v>
      </x:c>
      <x:c r="M20" s="85" t="str">
        <x:v>Parcial</x:v>
      </x:c>
      <x:c r="N20" s="85" t="n">
        <x:v>0.9</x:v>
      </x:c>
      <x:c r="O20" s="85" t="n">
        <x:v>0.675</x:v>
      </x:c>
      <x:c r="P20" s="85" t="str">
        <x:v>Media</x:v>
      </x:c>
      <x:c r="Q20" s="85" t="n">
        <x:v>1</x:v>
      </x:c>
      <x:c r="R20" s="85" t="n">
        <x:v>1.3</x:v>
      </x:c>
      <x:c r="S20" s="85" t="n">
        <x:v>1.55</x:v>
      </x:c>
      <x:c r="T20" s="85" t="n">
        <x:v>1.35</x:v>
      </x:c>
      <x:c r="U20" s="85" t="n">
        <x:v>1.7550000000000001</x:v>
      </x:c>
      <x:c r="V20" s="85" t="n">
        <x:v>2.0925000000000002</x:v>
      </x:c>
      <x:c r="W20" s="73"/>
      <x:c r="X20" s="73" t="str">
        <x:v>Accesos preparados</x:v>
      </x:c>
      <x:c r="Y20" s="73" t="str">
        <x:v>Credenciales, horarios y respaldo</x:v>
      </x:c>
      <x:c r="Z20" s="73"/>
      <x:c r="AA20" s="73" t="str">
        <x:v>Preliminar</x:v>
      </x:c>
      <x:c r="AB20" s="78" t="str">
        <x:v>Estimación técnica ISM · Validar</x:v>
      </x:c>
    </x:row>
    <x:row r="21">
      <x:c r="A21" s="77" t="str">
        <x:v>Ciberseguridad</x:v>
      </x:c>
      <x:c r="B21" s="73" t="str">
        <x:v>SEC-02</x:v>
      </x:c>
      <x:c r="C21" s="73" t="str">
        <x:v>Gestión de vulnerabilidades y parches</x:v>
      </x:c>
      <x:c r="D21" s="73" t="str">
        <x:v>03 · Consolidación digital</x:v>
      </x:c>
      <x:c r="E21" s="73" t="str">
        <x:v>Detección</x:v>
      </x:c>
      <x:c r="F21" s="73" t="str">
        <x:v>SEC2-003</x:v>
      </x:c>
      <x:c r="G21" s="73" t="str">
        <x:v>Escaneo de vulnerabilidades</x:v>
      </x:c>
      <x:c r="H21" s="73" t="str">
        <x:v>Entorno</x:v>
      </x:c>
      <x:c r="I21" s="85" t="n">
        <x:v>2</x:v>
      </x:c>
      <x:c r="J21" s="85" t="str">
        <x:v>Sí</x:v>
      </x:c>
      <x:c r="K21" s="85" t="str">
        <x:v>No</x:v>
      </x:c>
      <x:c r="L21" s="85" t="n">
        <x:v>2</x:v>
      </x:c>
      <x:c r="M21" s="85" t="str">
        <x:v>Parcial</x:v>
      </x:c>
      <x:c r="N21" s="85" t="n">
        <x:v>0.9</x:v>
      </x:c>
      <x:c r="O21" s="85" t="n">
        <x:v>1.8</x:v>
      </x:c>
      <x:c r="P21" s="85" t="str">
        <x:v>Alta</x:v>
      </x:c>
      <x:c r="Q21" s="85" t="n">
        <x:v>1</x:v>
      </x:c>
      <x:c r="R21" s="85" t="n">
        <x:v>1.45</x:v>
      </x:c>
      <x:c r="S21" s="85" t="n">
        <x:v>1.8</x:v>
      </x:c>
      <x:c r="T21" s="85" t="n">
        <x:v>3.6</x:v>
      </x:c>
      <x:c r="U21" s="85" t="n">
        <x:v>5.22</x:v>
      </x:c>
      <x:c r="V21" s="85" t="n">
        <x:v>6.48</x:v>
      </x:c>
      <x:c r="W21" s="73"/>
      <x:c r="X21" s="73" t="str">
        <x:v>Resultado de escaneo</x:v>
      </x:c>
      <x:c r="Y21" s="73" t="str">
        <x:v>Hallazgos técnicos y evidencia</x:v>
      </x:c>
      <x:c r="Z21" s="73"/>
      <x:c r="AA21" s="73" t="str">
        <x:v>Preliminar</x:v>
      </x:c>
      <x:c r="AB21" s="78" t="str">
        <x:v>Estimación técnica ISM · Validar</x:v>
      </x:c>
    </x:row>
    <x:row r="22">
      <x:c r="A22" s="77" t="str">
        <x:v>Ciberseguridad</x:v>
      </x:c>
      <x:c r="B22" s="73" t="str">
        <x:v>SEC-02</x:v>
      </x:c>
      <x:c r="C22" s="73" t="str">
        <x:v>Gestión de vulnerabilidades y parches</x:v>
      </x:c>
      <x:c r="D22" s="73" t="str">
        <x:v>03 · Consolidación digital</x:v>
      </x:c>
      <x:c r="E22" s="73" t="str">
        <x:v>Análisis</x:v>
      </x:c>
      <x:c r="F22" s="73" t="str">
        <x:v>SEC2-004</x:v>
      </x:c>
      <x:c r="G22" s="73" t="str">
        <x:v>Validación y descarte de falsos positivos</x:v>
      </x:c>
      <x:c r="H22" s="73" t="str">
        <x:v>Hallazgo</x:v>
      </x:c>
      <x:c r="I22" s="85" t="n">
        <x:v>10</x:v>
      </x:c>
      <x:c r="J22" s="85" t="str">
        <x:v>Sí</x:v>
      </x:c>
      <x:c r="K22" s="85" t="str">
        <x:v>Sí</x:v>
      </x:c>
      <x:c r="L22" s="85" t="n">
        <x:v>0.2</x:v>
      </x:c>
      <x:c r="M22" s="85" t="str">
        <x:v>Parcial</x:v>
      </x:c>
      <x:c r="N22" s="85" t="n">
        <x:v>0.9</x:v>
      </x:c>
      <x:c r="O22" s="85" t="n">
        <x:v>0.18000000000000002</x:v>
      </x:c>
      <x:c r="P22" s="85" t="str">
        <x:v>Alta</x:v>
      </x:c>
      <x:c r="Q22" s="85" t="n">
        <x:v>1</x:v>
      </x:c>
      <x:c r="R22" s="85" t="n">
        <x:v>1.45</x:v>
      </x:c>
      <x:c r="S22" s="85" t="n">
        <x:v>1.8</x:v>
      </x:c>
      <x:c r="T22" s="85" t="n">
        <x:v>1.8000000000000003</x:v>
      </x:c>
      <x:c r="U22" s="85" t="n">
        <x:v>2.6100000000000003</x:v>
      </x:c>
      <x:c r="V22" s="85" t="n">
        <x:v>3.2400000000000007</x:v>
      </x:c>
      <x:c r="W22" s="73"/>
      <x:c r="X22" s="73" t="str">
        <x:v>Hallazgos validados</x:v>
      </x:c>
      <x:c r="Y22" s="73" t="str">
        <x:v>Evidencia y aplicabilidad</x:v>
      </x:c>
      <x:c r="Z22" s="73"/>
      <x:c r="AA22" s="73" t="str">
        <x:v>Preliminar</x:v>
      </x:c>
      <x:c r="AB22" s="78" t="str">
        <x:v>Estimación técnica ISM · Validar</x:v>
      </x:c>
    </x:row>
    <x:row r="23">
      <x:c r="A23" s="77" t="str">
        <x:v>Ciberseguridad</x:v>
      </x:c>
      <x:c r="B23" s="73" t="str">
        <x:v>SEC-02</x:v>
      </x:c>
      <x:c r="C23" s="73" t="str">
        <x:v>Gestión de vulnerabilidades y parches</x:v>
      </x:c>
      <x:c r="D23" s="73" t="str">
        <x:v>03 · Consolidación digital</x:v>
      </x:c>
      <x:c r="E23" s="73" t="str">
        <x:v>Riesgo</x:v>
      </x:c>
      <x:c r="F23" s="73" t="str">
        <x:v>SEC2-005</x:v>
      </x:c>
      <x:c r="G23" s="73" t="str">
        <x:v>Priorización por criticidad e impacto</x:v>
      </x:c>
      <x:c r="H23" s="73" t="str">
        <x:v>Hallazgo</x:v>
      </x:c>
      <x:c r="I23" s="85" t="n">
        <x:v>10</x:v>
      </x:c>
      <x:c r="J23" s="85" t="str">
        <x:v>Sí</x:v>
      </x:c>
      <x:c r="K23" s="85" t="str">
        <x:v>Sí</x:v>
      </x:c>
      <x:c r="L23" s="85" t="n">
        <x:v>0.2</x:v>
      </x:c>
      <x:c r="M23" s="85" t="str">
        <x:v>Parcial</x:v>
      </x:c>
      <x:c r="N23" s="85" t="n">
        <x:v>0.9</x:v>
      </x:c>
      <x:c r="O23" s="85" t="n">
        <x:v>0.18000000000000002</x:v>
      </x:c>
      <x:c r="P23" s="85" t="str">
        <x:v>Alta</x:v>
      </x:c>
      <x:c r="Q23" s="85" t="n">
        <x:v>1</x:v>
      </x:c>
      <x:c r="R23" s="85" t="n">
        <x:v>1.45</x:v>
      </x:c>
      <x:c r="S23" s="85" t="n">
        <x:v>1.8</x:v>
      </x:c>
      <x:c r="T23" s="85" t="n">
        <x:v>1.8000000000000003</x:v>
      </x:c>
      <x:c r="U23" s="85" t="n">
        <x:v>2.6100000000000003</x:v>
      </x:c>
      <x:c r="V23" s="85" t="n">
        <x:v>3.2400000000000007</x:v>
      </x:c>
      <x:c r="W23" s="73"/>
      <x:c r="X23" s="73" t="str">
        <x:v>Matriz de riesgo</x:v>
      </x:c>
      <x:c r="Y23" s="73" t="str">
        <x:v>Severidad, exposición e impacto</x:v>
      </x:c>
      <x:c r="Z23" s="73"/>
      <x:c r="AA23" s="73" t="str">
        <x:v>Preliminar</x:v>
      </x:c>
      <x:c r="AB23" s="78" t="str">
        <x:v>Estimación técnica ISM · Validar</x:v>
      </x:c>
    </x:row>
    <x:row r="24">
      <x:c r="A24" s="77" t="str">
        <x:v>Ciberseguridad</x:v>
      </x:c>
      <x:c r="B24" s="73" t="str">
        <x:v>SEC-02</x:v>
      </x:c>
      <x:c r="C24" s="73" t="str">
        <x:v>Gestión de vulnerabilidades y parches</x:v>
      </x:c>
      <x:c r="D24" s="73" t="str">
        <x:v>03 · Consolidación digital</x:v>
      </x:c>
      <x:c r="E24" s="73" t="str">
        <x:v>Planificación</x:v>
      </x:c>
      <x:c r="F24" s="73" t="str">
        <x:v>SEC2-006</x:v>
      </x:c>
      <x:c r="G24" s="73" t="str">
        <x:v>Plan de remediación y ventanas</x:v>
      </x:c>
      <x:c r="H24" s="73" t="str">
        <x:v>Proyecto</x:v>
      </x:c>
      <x:c r="I24" s="85" t="n">
        <x:v>1</x:v>
      </x:c>
      <x:c r="J24" s="85" t="str">
        <x:v>Sí</x:v>
      </x:c>
      <x:c r="K24" s="85" t="str">
        <x:v>Sí</x:v>
      </x:c>
      <x:c r="L24" s="85" t="n">
        <x:v>2</x:v>
      </x:c>
      <x:c r="M24" s="85" t="str">
        <x:v>Parcial</x:v>
      </x:c>
      <x:c r="N24" s="85" t="n">
        <x:v>0.9</x:v>
      </x:c>
      <x:c r="O24" s="85" t="n">
        <x:v>1.8</x:v>
      </x:c>
      <x:c r="P24" s="85" t="str">
        <x:v>Alta</x:v>
      </x:c>
      <x:c r="Q24" s="85" t="n">
        <x:v>1</x:v>
      </x:c>
      <x:c r="R24" s="85" t="n">
        <x:v>1.45</x:v>
      </x:c>
      <x:c r="S24" s="85" t="n">
        <x:v>1.8</x:v>
      </x:c>
      <x:c r="T24" s="85" t="n">
        <x:v>1.8</x:v>
      </x:c>
      <x:c r="U24" s="85" t="n">
        <x:v>2.61</x:v>
      </x:c>
      <x:c r="V24" s="85" t="n">
        <x:v>3.24</x:v>
      </x:c>
      <x:c r="W24" s="73"/>
      <x:c r="X24" s="73" t="str">
        <x:v>Plan de remediación</x:v>
      </x:c>
      <x:c r="Y24" s="73" t="str">
        <x:v>Orden, responsables, riesgo y reversa</x:v>
      </x:c>
      <x:c r="Z24" s="73"/>
      <x:c r="AA24" s="73" t="str">
        <x:v>Preliminar</x:v>
      </x:c>
      <x:c r="AB24" s="78" t="str">
        <x:v>Estimación técnica ISM · Validar</x:v>
      </x:c>
    </x:row>
    <x:row r="25">
      <x:c r="A25" s="77" t="str">
        <x:v>Ciberseguridad</x:v>
      </x:c>
      <x:c r="B25" s="73" t="str">
        <x:v>SEC-02</x:v>
      </x:c>
      <x:c r="C25" s="73" t="str">
        <x:v>Gestión de vulnerabilidades y parches</x:v>
      </x:c>
      <x:c r="D25" s="73" t="str">
        <x:v>03 · Consolidación digital</x:v>
      </x:c>
      <x:c r="E25" s="73" t="str">
        <x:v>Remediación</x:v>
      </x:c>
      <x:c r="F25" s="73" t="str">
        <x:v>SEC2-007</x:v>
      </x:c>
      <x:c r="G25" s="73" t="str">
        <x:v>Aplicación de parche estándar</x:v>
      </x:c>
      <x:c r="H25" s="73" t="str">
        <x:v>Activo</x:v>
      </x:c>
      <x:c r="I25" s="85" t="n">
        <x:v>4</x:v>
      </x:c>
      <x:c r="J25" s="85" t="str">
        <x:v>Sí</x:v>
      </x:c>
      <x:c r="K25" s="85" t="str">
        <x:v>No</x:v>
      </x:c>
      <x:c r="L25" s="85" t="n">
        <x:v>1</x:v>
      </x:c>
      <x:c r="M25" s="85" t="str">
        <x:v>Parcial</x:v>
      </x:c>
      <x:c r="N25" s="85" t="n">
        <x:v>0.9</x:v>
      </x:c>
      <x:c r="O25" s="85" t="n">
        <x:v>0.9</x:v>
      </x:c>
      <x:c r="P25" s="85" t="str">
        <x:v>Alta</x:v>
      </x:c>
      <x:c r="Q25" s="85" t="n">
        <x:v>1</x:v>
      </x:c>
      <x:c r="R25" s="85" t="n">
        <x:v>1.45</x:v>
      </x:c>
      <x:c r="S25" s="85" t="n">
        <x:v>1.8</x:v>
      </x:c>
      <x:c r="T25" s="85" t="n">
        <x:v>3.6</x:v>
      </x:c>
      <x:c r="U25" s="85" t="n">
        <x:v>5.22</x:v>
      </x:c>
      <x:c r="V25" s="85" t="n">
        <x:v>6.48</x:v>
      </x:c>
      <x:c r="W25" s="73"/>
      <x:c r="X25" s="73" t="str">
        <x:v>Activos parchados</x:v>
      </x:c>
      <x:c r="Y25" s="73" t="str">
        <x:v>Respaldo, actualización y validación</x:v>
      </x:c>
      <x:c r="Z25" s="73"/>
      <x:c r="AA25" s="73" t="str">
        <x:v>Preliminar</x:v>
      </x:c>
      <x:c r="AB25" s="78" t="str">
        <x:v>Estimación técnica ISM · Validar</x:v>
      </x:c>
    </x:row>
    <x:row r="26">
      <x:c r="A26" s="77" t="str">
        <x:v>Ciberseguridad</x:v>
      </x:c>
      <x:c r="B26" s="73" t="str">
        <x:v>SEC-02</x:v>
      </x:c>
      <x:c r="C26" s="73" t="str">
        <x:v>Gestión de vulnerabilidades y parches</x:v>
      </x:c>
      <x:c r="D26" s="73" t="str">
        <x:v>03 · Consolidación digital</x:v>
      </x:c>
      <x:c r="E26" s="73" t="str">
        <x:v>Remediación</x:v>
      </x:c>
      <x:c r="F26" s="73" t="str">
        <x:v>SEC2-008</x:v>
      </x:c>
      <x:c r="G26" s="73" t="str">
        <x:v>Aplicación de mitigación de configuración</x:v>
      </x:c>
      <x:c r="H26" s="73" t="str">
        <x:v>Hallazgo</x:v>
      </x:c>
      <x:c r="I26" s="85" t="n">
        <x:v>3</x:v>
      </x:c>
      <x:c r="J26" s="85" t="str">
        <x:v>No</x:v>
      </x:c>
      <x:c r="K26" s="85" t="str">
        <x:v>No</x:v>
      </x:c>
      <x:c r="L26" s="85" t="n">
        <x:v>1</x:v>
      </x:c>
      <x:c r="M26" s="85" t="str">
        <x:v>Parcial</x:v>
      </x:c>
      <x:c r="N26" s="85" t="n">
        <x:v>0.9</x:v>
      </x:c>
      <x:c r="O26" s="85" t="n">
        <x:v>0.9</x:v>
      </x:c>
      <x:c r="P26" s="85" t="str">
        <x:v>Alta</x:v>
      </x:c>
      <x:c r="Q26" s="85" t="n">
        <x:v>1</x:v>
      </x:c>
      <x:c r="R26" s="85" t="n">
        <x:v>1.45</x:v>
      </x:c>
      <x:c r="S26" s="85" t="n">
        <x:v>1.8</x:v>
      </x:c>
      <x:c r="T26" s="85" t="n">
        <x:v>0</x:v>
      </x:c>
      <x:c r="U26" s="85" t="n">
        <x:v>0</x:v>
      </x:c>
      <x:c r="V26" s="85" t="n">
        <x:v>0</x:v>
      </x:c>
      <x:c r="W26" s="73"/>
      <x:c r="X26" s="73" t="str">
        <x:v>Mitigación aplicada</x:v>
      </x:c>
      <x:c r="Y26" s="73" t="str">
        <x:v>Cambio compensatorio o configuración</x:v>
      </x:c>
      <x:c r="Z26" s="73"/>
      <x:c r="AA26" s="73" t="str">
        <x:v>Preliminar</x:v>
      </x:c>
      <x:c r="AB26" s="78" t="str">
        <x:v>Estimación técnica ISM · Validar</x:v>
      </x:c>
    </x:row>
    <x:row r="27">
      <x:c r="A27" s="77" t="str">
        <x:v>Ciberseguridad</x:v>
      </x:c>
      <x:c r="B27" s="73" t="str">
        <x:v>SEC-02</x:v>
      </x:c>
      <x:c r="C27" s="73" t="str">
        <x:v>Gestión de vulnerabilidades y parches</x:v>
      </x:c>
      <x:c r="D27" s="73" t="str">
        <x:v>03 · Consolidación digital</x:v>
      </x:c>
      <x:c r="E27" s="73" t="str">
        <x:v>Calidad</x:v>
      </x:c>
      <x:c r="F27" s="73" t="str">
        <x:v>SEC2-009</x:v>
      </x:c>
      <x:c r="G27" s="73" t="str">
        <x:v>Prueba funcional posterior</x:v>
      </x:c>
      <x:c r="H27" s="73" t="str">
        <x:v>Activo</x:v>
      </x:c>
      <x:c r="I27" s="85" t="n">
        <x:v>4</x:v>
      </x:c>
      <x:c r="J27" s="85" t="str">
        <x:v>Sí</x:v>
      </x:c>
      <x:c r="K27" s="85" t="str">
        <x:v>Sí</x:v>
      </x:c>
      <x:c r="L27" s="85" t="n">
        <x:v>0.5</x:v>
      </x:c>
      <x:c r="M27" s="85" t="str">
        <x:v>Parcial</x:v>
      </x:c>
      <x:c r="N27" s="85" t="n">
        <x:v>0.9</x:v>
      </x:c>
      <x:c r="O27" s="85" t="n">
        <x:v>0.45</x:v>
      </x:c>
      <x:c r="P27" s="85" t="str">
        <x:v>Media</x:v>
      </x:c>
      <x:c r="Q27" s="85" t="n">
        <x:v>1</x:v>
      </x:c>
      <x:c r="R27" s="85" t="n">
        <x:v>1.3</x:v>
      </x:c>
      <x:c r="S27" s="85" t="n">
        <x:v>1.55</x:v>
      </x:c>
      <x:c r="T27" s="85" t="n">
        <x:v>1.8</x:v>
      </x:c>
      <x:c r="U27" s="85" t="n">
        <x:v>2.3400000000000003</x:v>
      </x:c>
      <x:c r="V27" s="85" t="n">
        <x:v>2.79</x:v>
      </x:c>
      <x:c r="W27" s="73"/>
      <x:c r="X27" s="73" t="str">
        <x:v>Operación validada</x:v>
      </x:c>
      <x:c r="Y27" s="73" t="str">
        <x:v>Funciones críticas después del parche</x:v>
      </x:c>
      <x:c r="Z27" s="73"/>
      <x:c r="AA27" s="73" t="str">
        <x:v>Preliminar</x:v>
      </x:c>
      <x:c r="AB27" s="78" t="str">
        <x:v>Estimación técnica ISM · Validar</x:v>
      </x:c>
    </x:row>
    <x:row r="28">
      <x:c r="A28" s="77" t="str">
        <x:v>Ciberseguridad</x:v>
      </x:c>
      <x:c r="B28" s="73" t="str">
        <x:v>SEC-02</x:v>
      </x:c>
      <x:c r="C28" s="73" t="str">
        <x:v>Gestión de vulnerabilidades y parches</x:v>
      </x:c>
      <x:c r="D28" s="73" t="str">
        <x:v>03 · Consolidación digital</x:v>
      </x:c>
      <x:c r="E28" s="73" t="str">
        <x:v>Revalidación</x:v>
      </x:c>
      <x:c r="F28" s="73" t="str">
        <x:v>SEC2-010</x:v>
      </x:c>
      <x:c r="G28" s="73" t="str">
        <x:v>Nuevo escaneo de verificación</x:v>
      </x:c>
      <x:c r="H28" s="73" t="str">
        <x:v>Entorno</x:v>
      </x:c>
      <x:c r="I28" s="85" t="n">
        <x:v>2</x:v>
      </x:c>
      <x:c r="J28" s="85" t="str">
        <x:v>Sí</x:v>
      </x:c>
      <x:c r="K28" s="85" t="str">
        <x:v>Sí</x:v>
      </x:c>
      <x:c r="L28" s="85" t="n">
        <x:v>1.5</x:v>
      </x:c>
      <x:c r="M28" s="85" t="str">
        <x:v>Parcial</x:v>
      </x:c>
      <x:c r="N28" s="85" t="n">
        <x:v>0.9</x:v>
      </x:c>
      <x:c r="O28" s="85" t="n">
        <x:v>1.35</x:v>
      </x:c>
      <x:c r="P28" s="85" t="str">
        <x:v>Alta</x:v>
      </x:c>
      <x:c r="Q28" s="85" t="n">
        <x:v>1</x:v>
      </x:c>
      <x:c r="R28" s="85" t="n">
        <x:v>1.45</x:v>
      </x:c>
      <x:c r="S28" s="85" t="n">
        <x:v>1.8</x:v>
      </x:c>
      <x:c r="T28" s="85" t="n">
        <x:v>2.7</x:v>
      </x:c>
      <x:c r="U28" s="85" t="n">
        <x:v>3.915</x:v>
      </x:c>
      <x:c r="V28" s="85" t="n">
        <x:v>4.86</x:v>
      </x:c>
      <x:c r="W28" s="73"/>
      <x:c r="X28" s="73" t="str">
        <x:v>Hallazgos revalidados</x:v>
      </x:c>
      <x:c r="Y28" s="73" t="str">
        <x:v>Cierre o riesgo residual</x:v>
      </x:c>
      <x:c r="Z28" s="73"/>
      <x:c r="AA28" s="73" t="str">
        <x:v>Preliminar</x:v>
      </x:c>
      <x:c r="AB28" s="78" t="str">
        <x:v>Estimación técnica ISM · Validar</x:v>
      </x:c>
    </x:row>
    <x:row r="29">
      <x:c r="A29" s="77" t="str">
        <x:v>Ciberseguridad</x:v>
      </x:c>
      <x:c r="B29" s="73" t="str">
        <x:v>SEC-02</x:v>
      </x:c>
      <x:c r="C29" s="73" t="str">
        <x:v>Gestión de vulnerabilidades y parches</x:v>
      </x:c>
      <x:c r="D29" s="73" t="str">
        <x:v>03 · Consolidación digital</x:v>
      </x:c>
      <x:c r="E29" s="73" t="str">
        <x:v>Cierre</x:v>
      </x:c>
      <x:c r="F29" s="73" t="str">
        <x:v>SEC2-011</x:v>
      </x:c>
      <x:c r="G29" s="73" t="str">
        <x:v>Informe ejecutivo y técnico</x:v>
      </x:c>
      <x:c r="H29" s="73" t="str">
        <x:v>Proyecto</x:v>
      </x:c>
      <x:c r="I29" s="85" t="n">
        <x:v>1</x:v>
      </x:c>
      <x:c r="J29" s="85" t="str">
        <x:v>Sí</x:v>
      </x:c>
      <x:c r="K29" s="85" t="str">
        <x:v>Sí</x:v>
      </x:c>
      <x:c r="L29" s="85" t="n">
        <x:v>2</x:v>
      </x:c>
      <x:c r="M29" s="85" t="str">
        <x:v>Parcial</x:v>
      </x:c>
      <x:c r="N29" s="85" t="n">
        <x:v>0.9</x:v>
      </x:c>
      <x:c r="O29" s="85" t="n">
        <x:v>1.8</x:v>
      </x:c>
      <x:c r="P29" s="85" t="str">
        <x:v>Media</x:v>
      </x:c>
      <x:c r="Q29" s="85" t="n">
        <x:v>1</x:v>
      </x:c>
      <x:c r="R29" s="85" t="n">
        <x:v>1.3</x:v>
      </x:c>
      <x:c r="S29" s="85" t="n">
        <x:v>1.55</x:v>
      </x:c>
      <x:c r="T29" s="85" t="n">
        <x:v>1.8</x:v>
      </x:c>
      <x:c r="U29" s="85" t="n">
        <x:v>2.3400000000000003</x:v>
      </x:c>
      <x:c r="V29" s="85" t="n">
        <x:v>2.79</x:v>
      </x:c>
      <x:c r="W29" s="73"/>
      <x:c r="X29" s="73" t="str">
        <x:v>Informe de vulnerabilidades</x:v>
      </x:c>
      <x:c r="Y29" s="73" t="str">
        <x:v>Estado, riesgo residual y recomendaciones</x:v>
      </x:c>
      <x:c r="Z29" s="73"/>
      <x:c r="AA29" s="73" t="str">
        <x:v>Preliminar</x:v>
      </x:c>
      <x:c r="AB29" s="78" t="str">
        <x:v>Estimación técnica ISM · Validar</x:v>
      </x:c>
    </x:row>
    <x:row r="30">
      <x:c r="A30" s="77" t="str">
        <x:v>Ciberseguridad</x:v>
      </x:c>
      <x:c r="B30" s="73" t="str">
        <x:v>SEC-03</x:v>
      </x:c>
      <x:c r="C30" s="73" t="str">
        <x:v>Identidad y control de accesos</x:v>
      </x:c>
      <x:c r="D30" s="73" t="str">
        <x:v>03 · Consolidación digital</x:v>
      </x:c>
      <x:c r="E30" s="73" t="str">
        <x:v>Diagnóstico</x:v>
      </x:c>
      <x:c r="F30" s="73" t="str">
        <x:v>SEC3-001</x:v>
      </x:c>
      <x:c r="G30" s="73" t="str">
        <x:v>Inventario de usuarios, roles y accesos</x:v>
      </x:c>
      <x:c r="H30" s="73" t="str">
        <x:v>Sistema</x:v>
      </x:c>
      <x:c r="I30" s="85" t="n">
        <x:v>2</x:v>
      </x:c>
      <x:c r="J30" s="85" t="str">
        <x:v>Sí</x:v>
      </x:c>
      <x:c r="K30" s="85" t="str">
        <x:v>Sí</x:v>
      </x:c>
      <x:c r="L30" s="85" t="n">
        <x:v>1.5</x:v>
      </x:c>
      <x:c r="M30" s="85" t="str">
        <x:v>Parcial</x:v>
      </x:c>
      <x:c r="N30" s="85" t="n">
        <x:v>0.9</x:v>
      </x:c>
      <x:c r="O30" s="85" t="n">
        <x:v>1.35</x:v>
      </x:c>
      <x:c r="P30" s="85" t="str">
        <x:v>Alta</x:v>
      </x:c>
      <x:c r="Q30" s="85" t="n">
        <x:v>1</x:v>
      </x:c>
      <x:c r="R30" s="85" t="n">
        <x:v>1.45</x:v>
      </x:c>
      <x:c r="S30" s="85" t="n">
        <x:v>1.8</x:v>
      </x:c>
      <x:c r="T30" s="85" t="n">
        <x:v>2.7</x:v>
      </x:c>
      <x:c r="U30" s="85" t="n">
        <x:v>3.915</x:v>
      </x:c>
      <x:c r="V30" s="85" t="n">
        <x:v>4.86</x:v>
      </x:c>
      <x:c r="W30" s="73"/>
      <x:c r="X30" s="73" t="str">
        <x:v>Inventario de accesos</x:v>
      </x:c>
      <x:c r="Y30" s="73" t="str">
        <x:v>Usuarios, grupos, permisos y propietarios</x:v>
      </x:c>
      <x:c r="Z30" s="73"/>
      <x:c r="AA30" s="73" t="str">
        <x:v>Preliminar</x:v>
      </x:c>
      <x:c r="AB30" s="78" t="str">
        <x:v>Estimación técnica ISM · Validar</x:v>
      </x:c>
    </x:row>
    <x:row r="31">
      <x:c r="A31" s="77" t="str">
        <x:v>Ciberseguridad</x:v>
      </x:c>
      <x:c r="B31" s="73" t="str">
        <x:v>SEC-03</x:v>
      </x:c>
      <x:c r="C31" s="73" t="str">
        <x:v>Identidad y control de accesos</x:v>
      </x:c>
      <x:c r="D31" s="73" t="str">
        <x:v>03 · Consolidación digital</x:v>
      </x:c>
      <x:c r="E31" s="73" t="str">
        <x:v>Diseño</x:v>
      </x:c>
      <x:c r="F31" s="73" t="str">
        <x:v>SEC3-002</x:v>
      </x:c>
      <x:c r="G31" s="73" t="str">
        <x:v>Diseño de roles y segregación de funciones</x:v>
      </x:c>
      <x:c r="H31" s="73" t="str">
        <x:v>Rol</x:v>
      </x:c>
      <x:c r="I31" s="85" t="n">
        <x:v>4</x:v>
      </x:c>
      <x:c r="J31" s="85" t="str">
        <x:v>Sí</x:v>
      </x:c>
      <x:c r="K31" s="85" t="str">
        <x:v>Sí</x:v>
      </x:c>
      <x:c r="L31" s="85" t="n">
        <x:v>1</x:v>
      </x:c>
      <x:c r="M31" s="85" t="str">
        <x:v>Parcial</x:v>
      </x:c>
      <x:c r="N31" s="85" t="n">
        <x:v>0.9</x:v>
      </x:c>
      <x:c r="O31" s="85" t="n">
        <x:v>0.9</x:v>
      </x:c>
      <x:c r="P31" s="85" t="str">
        <x:v>Alta</x:v>
      </x:c>
      <x:c r="Q31" s="85" t="n">
        <x:v>1</x:v>
      </x:c>
      <x:c r="R31" s="85" t="n">
        <x:v>1.45</x:v>
      </x:c>
      <x:c r="S31" s="85" t="n">
        <x:v>1.8</x:v>
      </x:c>
      <x:c r="T31" s="85" t="n">
        <x:v>3.6</x:v>
      </x:c>
      <x:c r="U31" s="85" t="n">
        <x:v>5.22</x:v>
      </x:c>
      <x:c r="V31" s="85" t="n">
        <x:v>6.48</x:v>
      </x:c>
      <x:c r="W31" s="73"/>
      <x:c r="X31" s="73" t="str">
        <x:v>Modelo RBAC</x:v>
      </x:c>
      <x:c r="Y31" s="73" t="str">
        <x:v>Responsabilidades, permisos y conflictos</x:v>
      </x:c>
      <x:c r="Z31" s="73"/>
      <x:c r="AA31" s="73" t="str">
        <x:v>Preliminar</x:v>
      </x:c>
      <x:c r="AB31" s="78" t="str">
        <x:v>Estimación técnica ISM · Validar</x:v>
      </x:c>
    </x:row>
    <x:row r="32">
      <x:c r="A32" s="77" t="str">
        <x:v>Ciberseguridad</x:v>
      </x:c>
      <x:c r="B32" s="73" t="str">
        <x:v>SEC-03</x:v>
      </x:c>
      <x:c r="C32" s="73" t="str">
        <x:v>Identidad y control de accesos</x:v>
      </x:c>
      <x:c r="D32" s="73" t="str">
        <x:v>03 · Consolidación digital</x:v>
      </x:c>
      <x:c r="E32" s="73" t="str">
        <x:v>Diseño</x:v>
      </x:c>
      <x:c r="F32" s="73" t="str">
        <x:v>SEC3-003</x:v>
      </x:c>
      <x:c r="G32" s="73" t="str">
        <x:v>Matriz de acceso por recurso</x:v>
      </x:c>
      <x:c r="H32" s="73" t="str">
        <x:v>Rol</x:v>
      </x:c>
      <x:c r="I32" s="85" t="n">
        <x:v>4</x:v>
      </x:c>
      <x:c r="J32" s="85" t="str">
        <x:v>Sí</x:v>
      </x:c>
      <x:c r="K32" s="85" t="str">
        <x:v>Sí</x:v>
      </x:c>
      <x:c r="L32" s="85" t="n">
        <x:v>1</x:v>
      </x:c>
      <x:c r="M32" s="85" t="str">
        <x:v>Parcial</x:v>
      </x:c>
      <x:c r="N32" s="85" t="n">
        <x:v>0.9</x:v>
      </x:c>
      <x:c r="O32" s="85" t="n">
        <x:v>0.9</x:v>
      </x:c>
      <x:c r="P32" s="85" t="str">
        <x:v>Alta</x:v>
      </x:c>
      <x:c r="Q32" s="85" t="n">
        <x:v>1</x:v>
      </x:c>
      <x:c r="R32" s="85" t="n">
        <x:v>1.45</x:v>
      </x:c>
      <x:c r="S32" s="85" t="n">
        <x:v>1.8</x:v>
      </x:c>
      <x:c r="T32" s="85" t="n">
        <x:v>3.6</x:v>
      </x:c>
      <x:c r="U32" s="85" t="n">
        <x:v>5.22</x:v>
      </x:c>
      <x:c r="V32" s="85" t="n">
        <x:v>6.48</x:v>
      </x:c>
      <x:c r="W32" s="73"/>
      <x:c r="X32" s="73" t="str">
        <x:v>Matriz de permisos</x:v>
      </x:c>
      <x:c r="Y32" s="73" t="str">
        <x:v>Lectura, edición, aprobación y administración</x:v>
      </x:c>
      <x:c r="Z32" s="73"/>
      <x:c r="AA32" s="73" t="str">
        <x:v>Preliminar</x:v>
      </x:c>
      <x:c r="AB32" s="78" t="str">
        <x:v>Estimación técnica ISM · Validar</x:v>
      </x:c>
    </x:row>
    <x:row r="33">
      <x:c r="A33" s="77" t="str">
        <x:v>Ciberseguridad</x:v>
      </x:c>
      <x:c r="B33" s="73" t="str">
        <x:v>SEC-03</x:v>
      </x:c>
      <x:c r="C33" s="73" t="str">
        <x:v>Identidad y control de accesos</x:v>
      </x:c>
      <x:c r="D33" s="73" t="str">
        <x:v>03 · Consolidación digital</x:v>
      </x:c>
      <x:c r="E33" s="73" t="str">
        <x:v>Autenticación</x:v>
      </x:c>
      <x:c r="F33" s="73" t="str">
        <x:v>SEC3-004</x:v>
      </x:c>
      <x:c r="G33" s="73" t="str">
        <x:v>Configuración de autenticación multifactor</x:v>
      </x:c>
      <x:c r="H33" s="73" t="str">
        <x:v>Sistema</x:v>
      </x:c>
      <x:c r="I33" s="85" t="n">
        <x:v>1</x:v>
      </x:c>
      <x:c r="J33" s="85" t="str">
        <x:v>Sí</x:v>
      </x:c>
      <x:c r="K33" s="85" t="str">
        <x:v>No</x:v>
      </x:c>
      <x:c r="L33" s="85" t="n">
        <x:v>3</x:v>
      </x:c>
      <x:c r="M33" s="85" t="str">
        <x:v>Parcial</x:v>
      </x:c>
      <x:c r="N33" s="85" t="n">
        <x:v>0.9</x:v>
      </x:c>
      <x:c r="O33" s="85" t="n">
        <x:v>2.7</x:v>
      </x:c>
      <x:c r="P33" s="85" t="str">
        <x:v>Alta</x:v>
      </x:c>
      <x:c r="Q33" s="85" t="n">
        <x:v>1</x:v>
      </x:c>
      <x:c r="R33" s="85" t="n">
        <x:v>1.45</x:v>
      </x:c>
      <x:c r="S33" s="85" t="n">
        <x:v>1.8</x:v>
      </x:c>
      <x:c r="T33" s="85" t="n">
        <x:v>2.7</x:v>
      </x:c>
      <x:c r="U33" s="85" t="n">
        <x:v>3.915</x:v>
      </x:c>
      <x:c r="V33" s="85" t="n">
        <x:v>4.86</x:v>
      </x:c>
      <x:c r="W33" s="73"/>
      <x:c r="X33" s="73" t="str">
        <x:v>MFA operativo</x:v>
      </x:c>
      <x:c r="Y33" s="73" t="str">
        <x:v>Enrolamiento, recuperación y excepción</x:v>
      </x:c>
      <x:c r="Z33" s="73"/>
      <x:c r="AA33" s="73" t="str">
        <x:v>Preliminar</x:v>
      </x:c>
      <x:c r="AB33" s="78" t="str">
        <x:v>Estimación técnica ISM · Validar</x:v>
      </x:c>
    </x:row>
    <x:row r="34">
      <x:c r="A34" s="77" t="str">
        <x:v>Ciberseguridad</x:v>
      </x:c>
      <x:c r="B34" s="73" t="str">
        <x:v>SEC-03</x:v>
      </x:c>
      <x:c r="C34" s="73" t="str">
        <x:v>Identidad y control de accesos</x:v>
      </x:c>
      <x:c r="D34" s="73" t="str">
        <x:v>03 · Consolidación digital</x:v>
      </x:c>
      <x:c r="E34" s="73" t="str">
        <x:v>Autenticación</x:v>
      </x:c>
      <x:c r="F34" s="73" t="str">
        <x:v>SEC3-005</x:v>
      </x:c>
      <x:c r="G34" s="73" t="str">
        <x:v>Política de contraseñas y sesión</x:v>
      </x:c>
      <x:c r="H34" s="73" t="str">
        <x:v>Sistema</x:v>
      </x:c>
      <x:c r="I34" s="85" t="n">
        <x:v>1</x:v>
      </x:c>
      <x:c r="J34" s="85" t="str">
        <x:v>Sí</x:v>
      </x:c>
      <x:c r="K34" s="85" t="str">
        <x:v>No</x:v>
      </x:c>
      <x:c r="L34" s="85" t="n">
        <x:v>1.5</x:v>
      </x:c>
      <x:c r="M34" s="85" t="str">
        <x:v>Parcial</x:v>
      </x:c>
      <x:c r="N34" s="85" t="n">
        <x:v>0.9</x:v>
      </x:c>
      <x:c r="O34" s="85" t="n">
        <x:v>1.35</x:v>
      </x:c>
      <x:c r="P34" s="85" t="str">
        <x:v>Alta</x:v>
      </x:c>
      <x:c r="Q34" s="85" t="n">
        <x:v>1</x:v>
      </x:c>
      <x:c r="R34" s="85" t="n">
        <x:v>1.45</x:v>
      </x:c>
      <x:c r="S34" s="85" t="n">
        <x:v>1.8</x:v>
      </x:c>
      <x:c r="T34" s="85" t="n">
        <x:v>1.35</x:v>
      </x:c>
      <x:c r="U34" s="85" t="n">
        <x:v>1.9575</x:v>
      </x:c>
      <x:c r="V34" s="85" t="n">
        <x:v>2.43</x:v>
      </x:c>
      <x:c r="W34" s="73"/>
      <x:c r="X34" s="73" t="str">
        <x:v>Políticas aplicadas</x:v>
      </x:c>
      <x:c r="Y34" s="73" t="str">
        <x:v>Complejidad, bloqueo, duración y recuperación</x:v>
      </x:c>
      <x:c r="Z34" s="73"/>
      <x:c r="AA34" s="73" t="str">
        <x:v>Preliminar</x:v>
      </x:c>
      <x:c r="AB34" s="78" t="str">
        <x:v>Estimación técnica ISM · Validar</x:v>
      </x:c>
    </x:row>
    <x:row r="35">
      <x:c r="A35" s="77" t="str">
        <x:v>Ciberseguridad</x:v>
      </x:c>
      <x:c r="B35" s="73" t="str">
        <x:v>SEC-03</x:v>
      </x:c>
      <x:c r="C35" s="73" t="str">
        <x:v>Identidad y control de accesos</x:v>
      </x:c>
      <x:c r="D35" s="73" t="str">
        <x:v>03 · Consolidación digital</x:v>
      </x:c>
      <x:c r="E35" s="73" t="str">
        <x:v>Autorización</x:v>
      </x:c>
      <x:c r="F35" s="73" t="str">
        <x:v>SEC3-006</x:v>
      </x:c>
      <x:c r="G35" s="73" t="str">
        <x:v>Aplicación de mínimo privilegio</x:v>
      </x:c>
      <x:c r="H35" s="73" t="str">
        <x:v>Rol</x:v>
      </x:c>
      <x:c r="I35" s="85" t="n">
        <x:v>4</x:v>
      </x:c>
      <x:c r="J35" s="85" t="str">
        <x:v>Sí</x:v>
      </x:c>
      <x:c r="K35" s="85" t="str">
        <x:v>No</x:v>
      </x:c>
      <x:c r="L35" s="85" t="n">
        <x:v>1</x:v>
      </x:c>
      <x:c r="M35" s="85" t="str">
        <x:v>Parcial</x:v>
      </x:c>
      <x:c r="N35" s="85" t="n">
        <x:v>0.9</x:v>
      </x:c>
      <x:c r="O35" s="85" t="n">
        <x:v>0.9</x:v>
      </x:c>
      <x:c r="P35" s="85" t="str">
        <x:v>Alta</x:v>
      </x:c>
      <x:c r="Q35" s="85" t="n">
        <x:v>1</x:v>
      </x:c>
      <x:c r="R35" s="85" t="n">
        <x:v>1.45</x:v>
      </x:c>
      <x:c r="S35" s="85" t="n">
        <x:v>1.8</x:v>
      </x:c>
      <x:c r="T35" s="85" t="n">
        <x:v>3.6</x:v>
      </x:c>
      <x:c r="U35" s="85" t="n">
        <x:v>5.22</x:v>
      </x:c>
      <x:c r="V35" s="85" t="n">
        <x:v>6.48</x:v>
      </x:c>
      <x:c r="W35" s="73"/>
      <x:c r="X35" s="73" t="str">
        <x:v>Permisos ajustados</x:v>
      </x:c>
      <x:c r="Y35" s="73" t="str">
        <x:v>Reducción de privilegios y accesos heredados</x:v>
      </x:c>
      <x:c r="Z35" s="73"/>
      <x:c r="AA35" s="73" t="str">
        <x:v>Preliminar</x:v>
      </x:c>
      <x:c r="AB35" s="78" t="str">
        <x:v>Estimación técnica ISM · Validar</x:v>
      </x:c>
    </x:row>
    <x:row r="36">
      <x:c r="A36" s="77" t="str">
        <x:v>Ciberseguridad</x:v>
      </x:c>
      <x:c r="B36" s="73" t="str">
        <x:v>SEC-03</x:v>
      </x:c>
      <x:c r="C36" s="73" t="str">
        <x:v>Identidad y control de accesos</x:v>
      </x:c>
      <x:c r="D36" s="73" t="str">
        <x:v>03 · Consolidación digital</x:v>
      </x:c>
      <x:c r="E36" s="73" t="str">
        <x:v>Ciclo de vida</x:v>
      </x:c>
      <x:c r="F36" s="73" t="str">
        <x:v>SEC3-007</x:v>
      </x:c>
      <x:c r="G36" s="73" t="str">
        <x:v>Proceso de alta, cambio y baja de usuarios</x:v>
      </x:c>
      <x:c r="H36" s="73" t="str">
        <x:v>Proceso</x:v>
      </x:c>
      <x:c r="I36" s="85" t="n">
        <x:v>1</x:v>
      </x:c>
      <x:c r="J36" s="85" t="str">
        <x:v>Sí</x:v>
      </x:c>
      <x:c r="K36" s="85" t="str">
        <x:v>Sí</x:v>
      </x:c>
      <x:c r="L36" s="85" t="n">
        <x:v>2</x:v>
      </x:c>
      <x:c r="M36" s="85" t="str">
        <x:v>Parcial</x:v>
      </x:c>
      <x:c r="N36" s="85" t="n">
        <x:v>0.9</x:v>
      </x:c>
      <x:c r="O36" s="85" t="n">
        <x:v>1.8</x:v>
      </x:c>
      <x:c r="P36" s="85" t="str">
        <x:v>Media</x:v>
      </x:c>
      <x:c r="Q36" s="85" t="n">
        <x:v>1</x:v>
      </x:c>
      <x:c r="R36" s="85" t="n">
        <x:v>1.3</x:v>
      </x:c>
      <x:c r="S36" s="85" t="n">
        <x:v>1.55</x:v>
      </x:c>
      <x:c r="T36" s="85" t="n">
        <x:v>1.8</x:v>
      </x:c>
      <x:c r="U36" s="85" t="n">
        <x:v>2.3400000000000003</x:v>
      </x:c>
      <x:c r="V36" s="85" t="n">
        <x:v>2.79</x:v>
      </x:c>
      <x:c r="W36" s="73"/>
      <x:c r="X36" s="73" t="str">
        <x:v>Procedimiento JML</x:v>
      </x:c>
      <x:c r="Y36" s="73" t="str">
        <x:v>Solicitud, aprobación, ejecución y evidencia</x:v>
      </x:c>
      <x:c r="Z36" s="73"/>
      <x:c r="AA36" s="73" t="str">
        <x:v>Preliminar</x:v>
      </x:c>
      <x:c r="AB36" s="78" t="str">
        <x:v>Estimación técnica ISM · Validar</x:v>
      </x:c>
    </x:row>
    <x:row r="37">
      <x:c r="A37" s="77" t="str">
        <x:v>Ciberseguridad</x:v>
      </x:c>
      <x:c r="B37" s="73" t="str">
        <x:v>SEC-03</x:v>
      </x:c>
      <x:c r="C37" s="73" t="str">
        <x:v>Identidad y control de accesos</x:v>
      </x:c>
      <x:c r="D37" s="73" t="str">
        <x:v>03 · Consolidación digital</x:v>
      </x:c>
      <x:c r="E37" s="73" t="str">
        <x:v>Cuentas</x:v>
      </x:c>
      <x:c r="F37" s="73" t="str">
        <x:v>SEC3-008</x:v>
      </x:c>
      <x:c r="G37" s="73" t="str">
        <x:v>Control de cuentas de servicio</x:v>
      </x:c>
      <x:c r="H37" s="73" t="str">
        <x:v>Cuenta</x:v>
      </x:c>
      <x:c r="I37" s="85" t="n">
        <x:v>4</x:v>
      </x:c>
      <x:c r="J37" s="85" t="str">
        <x:v>No</x:v>
      </x:c>
      <x:c r="K37" s="85" t="str">
        <x:v>No</x:v>
      </x:c>
      <x:c r="L37" s="85" t="n">
        <x:v>0.5</x:v>
      </x:c>
      <x:c r="M37" s="85" t="str">
        <x:v>Parcial</x:v>
      </x:c>
      <x:c r="N37" s="85" t="n">
        <x:v>0.9</x:v>
      </x:c>
      <x:c r="O37" s="85" t="n">
        <x:v>0.45</x:v>
      </x:c>
      <x:c r="P37" s="85" t="str">
        <x:v>Alta</x:v>
      </x:c>
      <x:c r="Q37" s="85" t="n">
        <x:v>1</x:v>
      </x:c>
      <x:c r="R37" s="85" t="n">
        <x:v>1.45</x:v>
      </x:c>
      <x:c r="S37" s="85" t="n">
        <x:v>1.8</x:v>
      </x:c>
      <x:c r="T37" s="85" t="n">
        <x:v>0</x:v>
      </x:c>
      <x:c r="U37" s="85" t="n">
        <x:v>0</x:v>
      </x:c>
      <x:c r="V37" s="85" t="n">
        <x:v>0</x:v>
      </x:c>
      <x:c r="W37" s="73"/>
      <x:c r="X37" s="73" t="str">
        <x:v>Cuentas controladas</x:v>
      </x:c>
      <x:c r="Y37" s="73" t="str">
        <x:v>Propietario, secreto, uso y rotación</x:v>
      </x:c>
      <x:c r="Z37" s="73"/>
      <x:c r="AA37" s="73" t="str">
        <x:v>Preliminar</x:v>
      </x:c>
      <x:c r="AB37" s="78" t="str">
        <x:v>Estimación técnica ISM · Validar</x:v>
      </x:c>
    </x:row>
    <x:row r="38">
      <x:c r="A38" s="77" t="str">
        <x:v>Ciberseguridad</x:v>
      </x:c>
      <x:c r="B38" s="73" t="str">
        <x:v>SEC-03</x:v>
      </x:c>
      <x:c r="C38" s="73" t="str">
        <x:v>Identidad y control de accesos</x:v>
      </x:c>
      <x:c r="D38" s="73" t="str">
        <x:v>03 · Consolidación digital</x:v>
      </x:c>
      <x:c r="E38" s="73" t="str">
        <x:v>Auditoría</x:v>
      </x:c>
      <x:c r="F38" s="73" t="str">
        <x:v>SEC3-009</x:v>
      </x:c>
      <x:c r="G38" s="73" t="str">
        <x:v>Registro de eventos de autenticación</x:v>
      </x:c>
      <x:c r="H38" s="73" t="str">
        <x:v>Sistema</x:v>
      </x:c>
      <x:c r="I38" s="85" t="n">
        <x:v>1</x:v>
      </x:c>
      <x:c r="J38" s="85" t="str">
        <x:v>Sí</x:v>
      </x:c>
      <x:c r="K38" s="85" t="str">
        <x:v>No</x:v>
      </x:c>
      <x:c r="L38" s="85" t="n">
        <x:v>1.5</x:v>
      </x:c>
      <x:c r="M38" s="85" t="str">
        <x:v>Parcial</x:v>
      </x:c>
      <x:c r="N38" s="85" t="n">
        <x:v>0.9</x:v>
      </x:c>
      <x:c r="O38" s="85" t="n">
        <x:v>1.35</x:v>
      </x:c>
      <x:c r="P38" s="85" t="str">
        <x:v>Alta</x:v>
      </x:c>
      <x:c r="Q38" s="85" t="n">
        <x:v>1</x:v>
      </x:c>
      <x:c r="R38" s="85" t="n">
        <x:v>1.45</x:v>
      </x:c>
      <x:c r="S38" s="85" t="n">
        <x:v>1.8</x:v>
      </x:c>
      <x:c r="T38" s="85" t="n">
        <x:v>1.35</x:v>
      </x:c>
      <x:c r="U38" s="85" t="n">
        <x:v>1.9575</x:v>
      </x:c>
      <x:c r="V38" s="85" t="n">
        <x:v>2.43</x:v>
      </x:c>
      <x:c r="W38" s="73"/>
      <x:c r="X38" s="73" t="str">
        <x:v>Logs de acceso</x:v>
      </x:c>
      <x:c r="Y38" s="73" t="str">
        <x:v>Ingreso, fallo, bloqueo y cambios</x:v>
      </x:c>
      <x:c r="Z38" s="73"/>
      <x:c r="AA38" s="73" t="str">
        <x:v>Preliminar</x:v>
      </x:c>
      <x:c r="AB38" s="78" t="str">
        <x:v>Estimación técnica ISM · Validar</x:v>
      </x:c>
    </x:row>
    <x:row r="39">
      <x:c r="A39" s="77" t="str">
        <x:v>Ciberseguridad</x:v>
      </x:c>
      <x:c r="B39" s="73" t="str">
        <x:v>SEC-03</x:v>
      </x:c>
      <x:c r="C39" s="73" t="str">
        <x:v>Identidad y control de accesos</x:v>
      </x:c>
      <x:c r="D39" s="73" t="str">
        <x:v>03 · Consolidación digital</x:v>
      </x:c>
      <x:c r="E39" s="73" t="str">
        <x:v>Calidad</x:v>
      </x:c>
      <x:c r="F39" s="73" t="str">
        <x:v>SEC3-010</x:v>
      </x:c>
      <x:c r="G39" s="73" t="str">
        <x:v>Pruebas de acceso por rol</x:v>
      </x:c>
      <x:c r="H39" s="73" t="str">
        <x:v>Caso</x:v>
      </x:c>
      <x:c r="I39" s="85" t="n">
        <x:v>8</x:v>
      </x:c>
      <x:c r="J39" s="85" t="str">
        <x:v>Sí</x:v>
      </x:c>
      <x:c r="K39" s="85" t="str">
        <x:v>Sí</x:v>
      </x:c>
      <x:c r="L39" s="85" t="n">
        <x:v>0.5</x:v>
      </x:c>
      <x:c r="M39" s="85" t="str">
        <x:v>Parcial</x:v>
      </x:c>
      <x:c r="N39" s="85" t="n">
        <x:v>0.9</x:v>
      </x:c>
      <x:c r="O39" s="85" t="n">
        <x:v>0.45</x:v>
      </x:c>
      <x:c r="P39" s="85" t="str">
        <x:v>Alta</x:v>
      </x:c>
      <x:c r="Q39" s="85" t="n">
        <x:v>1</x:v>
      </x:c>
      <x:c r="R39" s="85" t="n">
        <x:v>1.45</x:v>
      </x:c>
      <x:c r="S39" s="85" t="n">
        <x:v>1.8</x:v>
      </x:c>
      <x:c r="T39" s="85" t="n">
        <x:v>3.6</x:v>
      </x:c>
      <x:c r="U39" s="85" t="n">
        <x:v>5.22</x:v>
      </x:c>
      <x:c r="V39" s="85" t="n">
        <x:v>6.48</x:v>
      </x:c>
      <x:c r="W39" s="73"/>
      <x:c r="X39" s="73" t="str">
        <x:v>Casos de acceso</x:v>
      </x:c>
      <x:c r="Y39" s="73" t="str">
        <x:v>Permitidos, denegados y recuperación</x:v>
      </x:c>
      <x:c r="Z39" s="73"/>
      <x:c r="AA39" s="73" t="str">
        <x:v>Preliminar</x:v>
      </x:c>
      <x:c r="AB39" s="78" t="str">
        <x:v>Estimación técnica ISM · Validar</x:v>
      </x:c>
    </x:row>
    <x:row r="40">
      <x:c r="A40" s="77" t="str">
        <x:v>Ciberseguridad</x:v>
      </x:c>
      <x:c r="B40" s="73" t="str">
        <x:v>SEC-03</x:v>
      </x:c>
      <x:c r="C40" s="73" t="str">
        <x:v>Identidad y control de accesos</x:v>
      </x:c>
      <x:c r="D40" s="73" t="str">
        <x:v>03 · Consolidación digital</x:v>
      </x:c>
      <x:c r="E40" s="73" t="str">
        <x:v>Cierre</x:v>
      </x:c>
      <x:c r="F40" s="73" t="str">
        <x:v>SEC3-011</x:v>
      </x:c>
      <x:c r="G40" s="73" t="str">
        <x:v>Documentación y transferencia</x:v>
      </x:c>
      <x:c r="H40" s="73" t="str">
        <x:v>Proyecto</x:v>
      </x:c>
      <x:c r="I40" s="85" t="n">
        <x:v>1</x:v>
      </x:c>
      <x:c r="J40" s="85" t="str">
        <x:v>Sí</x:v>
      </x:c>
      <x:c r="K40" s="85" t="str">
        <x:v>Sí</x:v>
      </x:c>
      <x:c r="L40" s="85" t="n">
        <x:v>2</x:v>
      </x:c>
      <x:c r="M40" s="85" t="str">
        <x:v>Parcial</x:v>
      </x:c>
      <x:c r="N40" s="85" t="n">
        <x:v>0.9</x:v>
      </x:c>
      <x:c r="O40" s="85" t="n">
        <x:v>1.8</x:v>
      </x:c>
      <x:c r="P40" s="85" t="str">
        <x:v>Media</x:v>
      </x:c>
      <x:c r="Q40" s="85" t="n">
        <x:v>1</x:v>
      </x:c>
      <x:c r="R40" s="85" t="n">
        <x:v>1.3</x:v>
      </x:c>
      <x:c r="S40" s="85" t="n">
        <x:v>1.55</x:v>
      </x:c>
      <x:c r="T40" s="85" t="n">
        <x:v>1.8</x:v>
      </x:c>
      <x:c r="U40" s="85" t="n">
        <x:v>2.3400000000000003</x:v>
      </x:c>
      <x:c r="V40" s="85" t="n">
        <x:v>2.79</x:v>
      </x:c>
      <x:c r="W40" s="73"/>
      <x:c r="X40" s="73" t="str">
        <x:v>Guía de administración</x:v>
      </x:c>
      <x:c r="Y40" s="73" t="str">
        <x:v>Roles, accesos y operación</x:v>
      </x:c>
      <x:c r="Z40" s="73"/>
      <x:c r="AA40" s="73" t="str">
        <x:v>Preliminar</x:v>
      </x:c>
      <x:c r="AB40" s="78" t="str">
        <x:v>Estimación técnica ISM · Validar</x:v>
      </x:c>
    </x:row>
    <x:row r="41">
      <x:c r="A41" s="77" t="str">
        <x:v>Ciberseguridad</x:v>
      </x:c>
      <x:c r="B41" s="73" t="str">
        <x:v>SEC-04</x:v>
      </x:c>
      <x:c r="C41" s="73" t="str">
        <x:v>Preparación para respuesta a incidentes</x:v>
      </x:c>
      <x:c r="D41" s="73" t="str">
        <x:v>04 · Evolución digital</x:v>
      </x:c>
      <x:c r="E41" s="73" t="str">
        <x:v>Escenarios</x:v>
      </x:c>
      <x:c r="F41" s="73" t="str">
        <x:v>SEC4-001</x:v>
      </x:c>
      <x:c r="G41" s="73" t="str">
        <x:v>Definición de escenarios prioritarios</x:v>
      </x:c>
      <x:c r="H41" s="73" t="str">
        <x:v>Escenario</x:v>
      </x:c>
      <x:c r="I41" s="85" t="n">
        <x:v>4</x:v>
      </x:c>
      <x:c r="J41" s="85" t="str">
        <x:v>Sí</x:v>
      </x:c>
      <x:c r="K41" s="85" t="str">
        <x:v>Sí</x:v>
      </x:c>
      <x:c r="L41" s="85" t="n">
        <x:v>0.75</x:v>
      </x:c>
      <x:c r="M41" s="85" t="str">
        <x:v>Parcial</x:v>
      </x:c>
      <x:c r="N41" s="85" t="n">
        <x:v>0.9</x:v>
      </x:c>
      <x:c r="O41" s="85" t="n">
        <x:v>0.675</x:v>
      </x:c>
      <x:c r="P41" s="85" t="str">
        <x:v>Alta</x:v>
      </x:c>
      <x:c r="Q41" s="85" t="n">
        <x:v>1</x:v>
      </x:c>
      <x:c r="R41" s="85" t="n">
        <x:v>1.45</x:v>
      </x:c>
      <x:c r="S41" s="85" t="n">
        <x:v>1.8</x:v>
      </x:c>
      <x:c r="T41" s="85" t="n">
        <x:v>2.7</x:v>
      </x:c>
      <x:c r="U41" s="85" t="n">
        <x:v>3.915</x:v>
      </x:c>
      <x:c r="V41" s="85" t="n">
        <x:v>4.86</x:v>
      </x:c>
      <x:c r="W41" s="73"/>
      <x:c r="X41" s="73" t="str">
        <x:v>Catálogo de escenarios</x:v>
      </x:c>
      <x:c r="Y41" s="73" t="str">
        <x:v>Acceso, malware, fuga e indisponibilidad</x:v>
      </x:c>
      <x:c r="Z41" s="73"/>
      <x:c r="AA41" s="73" t="str">
        <x:v>Preliminar</x:v>
      </x:c>
      <x:c r="AB41" s="78" t="str">
        <x:v>Estimación técnica ISM · Validar</x:v>
      </x:c>
    </x:row>
    <x:row r="42">
      <x:c r="A42" s="77" t="str">
        <x:v>Ciberseguridad</x:v>
      </x:c>
      <x:c r="B42" s="73" t="str">
        <x:v>SEC-04</x:v>
      </x:c>
      <x:c r="C42" s="73" t="str">
        <x:v>Preparación para respuesta a incidentes</x:v>
      </x:c>
      <x:c r="D42" s="73" t="str">
        <x:v>04 · Evolución digital</x:v>
      </x:c>
      <x:c r="E42" s="73" t="str">
        <x:v>Clasificación</x:v>
      </x:c>
      <x:c r="F42" s="73" t="str">
        <x:v>SEC4-002</x:v>
      </x:c>
      <x:c r="G42" s="73" t="str">
        <x:v>Definición de severidades y criterios</x:v>
      </x:c>
      <x:c r="H42" s="73" t="str">
        <x:v>Proyecto</x:v>
      </x:c>
      <x:c r="I42" s="85" t="n">
        <x:v>1</x:v>
      </x:c>
      <x:c r="J42" s="85" t="str">
        <x:v>Sí</x:v>
      </x:c>
      <x:c r="K42" s="85" t="str">
        <x:v>Sí</x:v>
      </x:c>
      <x:c r="L42" s="85" t="n">
        <x:v>1.5</x:v>
      </x:c>
      <x:c r="M42" s="85" t="str">
        <x:v>Parcial</x:v>
      </x:c>
      <x:c r="N42" s="85" t="n">
        <x:v>0.9</x:v>
      </x:c>
      <x:c r="O42" s="85" t="n">
        <x:v>1.35</x:v>
      </x:c>
      <x:c r="P42" s="85" t="str">
        <x:v>Alta</x:v>
      </x:c>
      <x:c r="Q42" s="85" t="n">
        <x:v>1</x:v>
      </x:c>
      <x:c r="R42" s="85" t="n">
        <x:v>1.45</x:v>
      </x:c>
      <x:c r="S42" s="85" t="n">
        <x:v>1.8</x:v>
      </x:c>
      <x:c r="T42" s="85" t="n">
        <x:v>1.35</x:v>
      </x:c>
      <x:c r="U42" s="85" t="n">
        <x:v>1.9575</x:v>
      </x:c>
      <x:c r="V42" s="85" t="n">
        <x:v>2.43</x:v>
      </x:c>
      <x:c r="W42" s="73"/>
      <x:c r="X42" s="73" t="str">
        <x:v>Matriz de severidad</x:v>
      </x:c>
      <x:c r="Y42" s="73" t="str">
        <x:v>Impacto, urgencia y escalamiento</x:v>
      </x:c>
      <x:c r="Z42" s="73"/>
      <x:c r="AA42" s="73" t="str">
        <x:v>Preliminar</x:v>
      </x:c>
      <x:c r="AB42" s="78" t="str">
        <x:v>Estimación técnica ISM · Validar</x:v>
      </x:c>
    </x:row>
    <x:row r="43">
      <x:c r="A43" s="77" t="str">
        <x:v>Ciberseguridad</x:v>
      </x:c>
      <x:c r="B43" s="73" t="str">
        <x:v>SEC-04</x:v>
      </x:c>
      <x:c r="C43" s="73" t="str">
        <x:v>Preparación para respuesta a incidentes</x:v>
      </x:c>
      <x:c r="D43" s="73" t="str">
        <x:v>04 · Evolución digital</x:v>
      </x:c>
      <x:c r="E43" s="73" t="str">
        <x:v>Organización</x:v>
      </x:c>
      <x:c r="F43" s="73" t="str">
        <x:v>SEC4-003</x:v>
      </x:c>
      <x:c r="G43" s="73" t="str">
        <x:v>Definición de roles y contactos</x:v>
      </x:c>
      <x:c r="H43" s="73" t="str">
        <x:v>Rol</x:v>
      </x:c>
      <x:c r="I43" s="85" t="n">
        <x:v>5</x:v>
      </x:c>
      <x:c r="J43" s="85" t="str">
        <x:v>Sí</x:v>
      </x:c>
      <x:c r="K43" s="85" t="str">
        <x:v>Sí</x:v>
      </x:c>
      <x:c r="L43" s="85" t="n">
        <x:v>0.5</x:v>
      </x:c>
      <x:c r="M43" s="85" t="str">
        <x:v>Parcial</x:v>
      </x:c>
      <x:c r="N43" s="85" t="n">
        <x:v>0.9</x:v>
      </x:c>
      <x:c r="O43" s="85" t="n">
        <x:v>0.45</x:v>
      </x:c>
      <x:c r="P43" s="85" t="str">
        <x:v>Media</x:v>
      </x:c>
      <x:c r="Q43" s="85" t="n">
        <x:v>1</x:v>
      </x:c>
      <x:c r="R43" s="85" t="n">
        <x:v>1.3</x:v>
      </x:c>
      <x:c r="S43" s="85" t="n">
        <x:v>1.55</x:v>
      </x:c>
      <x:c r="T43" s="85" t="n">
        <x:v>2.25</x:v>
      </x:c>
      <x:c r="U43" s="85" t="n">
        <x:v>2.9250000000000003</x:v>
      </x:c>
      <x:c r="V43" s="85" t="n">
        <x:v>3.4875000000000003</x:v>
      </x:c>
      <x:c r="W43" s="73"/>
      <x:c r="X43" s="73" t="str">
        <x:v>Matriz RACI</x:v>
      </x:c>
      <x:c r="Y43" s="73" t="str">
        <x:v>Responsables, suplentes y contactos</x:v>
      </x:c>
      <x:c r="Z43" s="73"/>
      <x:c r="AA43" s="73" t="str">
        <x:v>Preliminar</x:v>
      </x:c>
      <x:c r="AB43" s="78" t="str">
        <x:v>Estimación técnica ISM · Validar</x:v>
      </x:c>
    </x:row>
    <x:row r="44">
      <x:c r="A44" s="77" t="str">
        <x:v>Ciberseguridad</x:v>
      </x:c>
      <x:c r="B44" s="73" t="str">
        <x:v>SEC-04</x:v>
      </x:c>
      <x:c r="C44" s="73" t="str">
        <x:v>Preparación para respuesta a incidentes</x:v>
      </x:c>
      <x:c r="D44" s="73" t="str">
        <x:v>04 · Evolución digital</x:v>
      </x:c>
      <x:c r="E44" s="73" t="str">
        <x:v>Procedimientos</x:v>
      </x:c>
      <x:c r="F44" s="73" t="str">
        <x:v>SEC4-004</x:v>
      </x:c>
      <x:c r="G44" s="73" t="str">
        <x:v>Playbook de detección y análisis</x:v>
      </x:c>
      <x:c r="H44" s="73" t="str">
        <x:v>Escenario</x:v>
      </x:c>
      <x:c r="I44" s="85" t="n">
        <x:v>2</x:v>
      </x:c>
      <x:c r="J44" s="85" t="str">
        <x:v>Sí</x:v>
      </x:c>
      <x:c r="K44" s="85" t="str">
        <x:v>No</x:v>
      </x:c>
      <x:c r="L44" s="85" t="n">
        <x:v>1.5</x:v>
      </x:c>
      <x:c r="M44" s="85" t="str">
        <x:v>Parcial</x:v>
      </x:c>
      <x:c r="N44" s="85" t="n">
        <x:v>0.9</x:v>
      </x:c>
      <x:c r="O44" s="85" t="n">
        <x:v>1.35</x:v>
      </x:c>
      <x:c r="P44" s="85" t="str">
        <x:v>Alta</x:v>
      </x:c>
      <x:c r="Q44" s="85" t="n">
        <x:v>1</x:v>
      </x:c>
      <x:c r="R44" s="85" t="n">
        <x:v>1.45</x:v>
      </x:c>
      <x:c r="S44" s="85" t="n">
        <x:v>1.8</x:v>
      </x:c>
      <x:c r="T44" s="85" t="n">
        <x:v>2.7</x:v>
      </x:c>
      <x:c r="U44" s="85" t="n">
        <x:v>3.915</x:v>
      </x:c>
      <x:c r="V44" s="85" t="n">
        <x:v>4.86</x:v>
      </x:c>
      <x:c r="W44" s="73"/>
      <x:c r="X44" s="73" t="str">
        <x:v>Playbooks de análisis</x:v>
      </x:c>
      <x:c r="Y44" s="73" t="str">
        <x:v>Evidencia, validación y clasificación</x:v>
      </x:c>
      <x:c r="Z44" s="73"/>
      <x:c r="AA44" s="73" t="str">
        <x:v>Preliminar</x:v>
      </x:c>
      <x:c r="AB44" s="78" t="str">
        <x:v>Estimación técnica ISM · Validar</x:v>
      </x:c>
    </x:row>
    <x:row r="45">
      <x:c r="A45" s="77" t="str">
        <x:v>Ciberseguridad</x:v>
      </x:c>
      <x:c r="B45" s="73" t="str">
        <x:v>SEC-04</x:v>
      </x:c>
      <x:c r="C45" s="73" t="str">
        <x:v>Preparación para respuesta a incidentes</x:v>
      </x:c>
      <x:c r="D45" s="73" t="str">
        <x:v>04 · Evolución digital</x:v>
      </x:c>
      <x:c r="E45" s="73" t="str">
        <x:v>Procedimientos</x:v>
      </x:c>
      <x:c r="F45" s="73" t="str">
        <x:v>SEC4-005</x:v>
      </x:c>
      <x:c r="G45" s="73" t="str">
        <x:v>Playbook de contención y erradicación</x:v>
      </x:c>
      <x:c r="H45" s="73" t="str">
        <x:v>Escenario</x:v>
      </x:c>
      <x:c r="I45" s="85" t="n">
        <x:v>2</x:v>
      </x:c>
      <x:c r="J45" s="85" t="str">
        <x:v>Sí</x:v>
      </x:c>
      <x:c r="K45" s="85" t="str">
        <x:v>No</x:v>
      </x:c>
      <x:c r="L45" s="85" t="n">
        <x:v>2</x:v>
      </x:c>
      <x:c r="M45" s="85" t="str">
        <x:v>Parcial</x:v>
      </x:c>
      <x:c r="N45" s="85" t="n">
        <x:v>0.9</x:v>
      </x:c>
      <x:c r="O45" s="85" t="n">
        <x:v>1.8</x:v>
      </x:c>
      <x:c r="P45" s="85" t="str">
        <x:v>Alta</x:v>
      </x:c>
      <x:c r="Q45" s="85" t="n">
        <x:v>1</x:v>
      </x:c>
      <x:c r="R45" s="85" t="n">
        <x:v>1.45</x:v>
      </x:c>
      <x:c r="S45" s="85" t="n">
        <x:v>1.8</x:v>
      </x:c>
      <x:c r="T45" s="85" t="n">
        <x:v>3.6</x:v>
      </x:c>
      <x:c r="U45" s="85" t="n">
        <x:v>5.22</x:v>
      </x:c>
      <x:c r="V45" s="85" t="n">
        <x:v>6.48</x:v>
      </x:c>
      <x:c r="W45" s="73"/>
      <x:c r="X45" s="73" t="str">
        <x:v>Playbooks de contención</x:v>
      </x:c>
      <x:c r="Y45" s="73" t="str">
        <x:v>Aislamiento, bloqueo y limpieza</x:v>
      </x:c>
      <x:c r="Z45" s="73"/>
      <x:c r="AA45" s="73" t="str">
        <x:v>Preliminar</x:v>
      </x:c>
      <x:c r="AB45" s="78" t="str">
        <x:v>Estimación técnica ISM · Validar</x:v>
      </x:c>
    </x:row>
    <x:row r="46">
      <x:c r="A46" s="77" t="str">
        <x:v>Ciberseguridad</x:v>
      </x:c>
      <x:c r="B46" s="73" t="str">
        <x:v>SEC-04</x:v>
      </x:c>
      <x:c r="C46" s="73" t="str">
        <x:v>Preparación para respuesta a incidentes</x:v>
      </x:c>
      <x:c r="D46" s="73" t="str">
        <x:v>04 · Evolución digital</x:v>
      </x:c>
      <x:c r="E46" s="73" t="str">
        <x:v>Procedimientos</x:v>
      </x:c>
      <x:c r="F46" s="73" t="str">
        <x:v>SEC4-006</x:v>
      </x:c>
      <x:c r="G46" s="73" t="str">
        <x:v>Playbook de recuperación</x:v>
      </x:c>
      <x:c r="H46" s="73" t="str">
        <x:v>Escenario</x:v>
      </x:c>
      <x:c r="I46" s="85" t="n">
        <x:v>2</x:v>
      </x:c>
      <x:c r="J46" s="85" t="str">
        <x:v>Sí</x:v>
      </x:c>
      <x:c r="K46" s="85" t="str">
        <x:v>No</x:v>
      </x:c>
      <x:c r="L46" s="85" t="n">
        <x:v>1.5</x:v>
      </x:c>
      <x:c r="M46" s="85" t="str">
        <x:v>Parcial</x:v>
      </x:c>
      <x:c r="N46" s="85" t="n">
        <x:v>0.9</x:v>
      </x:c>
      <x:c r="O46" s="85" t="n">
        <x:v>1.35</x:v>
      </x:c>
      <x:c r="P46" s="85" t="str">
        <x:v>Alta</x:v>
      </x:c>
      <x:c r="Q46" s="85" t="n">
        <x:v>1</x:v>
      </x:c>
      <x:c r="R46" s="85" t="n">
        <x:v>1.45</x:v>
      </x:c>
      <x:c r="S46" s="85" t="n">
        <x:v>1.8</x:v>
      </x:c>
      <x:c r="T46" s="85" t="n">
        <x:v>2.7</x:v>
      </x:c>
      <x:c r="U46" s="85" t="n">
        <x:v>3.915</x:v>
      </x:c>
      <x:c r="V46" s="85" t="n">
        <x:v>4.86</x:v>
      </x:c>
      <x:c r="W46" s="73"/>
      <x:c r="X46" s="73" t="str">
        <x:v>Playbooks de recuperación</x:v>
      </x:c>
      <x:c r="Y46" s="73" t="str">
        <x:v>Restauración, validación y retorno</x:v>
      </x:c>
      <x:c r="Z46" s="73"/>
      <x:c r="AA46" s="73" t="str">
        <x:v>Preliminar</x:v>
      </x:c>
      <x:c r="AB46" s="78" t="str">
        <x:v>Estimación técnica ISM · Validar</x:v>
      </x:c>
    </x:row>
    <x:row r="47">
      <x:c r="A47" s="77" t="str">
        <x:v>Ciberseguridad</x:v>
      </x:c>
      <x:c r="B47" s="73" t="str">
        <x:v>SEC-04</x:v>
      </x:c>
      <x:c r="C47" s="73" t="str">
        <x:v>Preparación para respuesta a incidentes</x:v>
      </x:c>
      <x:c r="D47" s="73" t="str">
        <x:v>04 · Evolución digital</x:v>
      </x:c>
      <x:c r="E47" s="73" t="str">
        <x:v>Comunicación</x:v>
      </x:c>
      <x:c r="F47" s="73" t="str">
        <x:v>SEC4-007</x:v>
      </x:c>
      <x:c r="G47" s="73" t="str">
        <x:v>Plan de comunicación de incidentes</x:v>
      </x:c>
      <x:c r="H47" s="73" t="str">
        <x:v>Proyecto</x:v>
      </x:c>
      <x:c r="I47" s="85" t="n">
        <x:v>1</x:v>
      </x:c>
      <x:c r="J47" s="85" t="str">
        <x:v>Sí</x:v>
      </x:c>
      <x:c r="K47" s="85" t="str">
        <x:v>Sí</x:v>
      </x:c>
      <x:c r="L47" s="85" t="n">
        <x:v>1.5</x:v>
      </x:c>
      <x:c r="M47" s="85" t="str">
        <x:v>Parcial</x:v>
      </x:c>
      <x:c r="N47" s="85" t="n">
        <x:v>0.9</x:v>
      </x:c>
      <x:c r="O47" s="85" t="n">
        <x:v>1.35</x:v>
      </x:c>
      <x:c r="P47" s="85" t="str">
        <x:v>Media</x:v>
      </x:c>
      <x:c r="Q47" s="85" t="n">
        <x:v>1</x:v>
      </x:c>
      <x:c r="R47" s="85" t="n">
        <x:v>1.3</x:v>
      </x:c>
      <x:c r="S47" s="85" t="n">
        <x:v>1.55</x:v>
      </x:c>
      <x:c r="T47" s="85" t="n">
        <x:v>1.35</x:v>
      </x:c>
      <x:c r="U47" s="85" t="n">
        <x:v>1.7550000000000001</x:v>
      </x:c>
      <x:c r="V47" s="85" t="n">
        <x:v>2.0925000000000002</x:v>
      </x:c>
      <x:c r="W47" s="73"/>
      <x:c r="X47" s="73" t="str">
        <x:v>Plan de comunicación</x:v>
      </x:c>
      <x:c r="Y47" s="73" t="str">
        <x:v>Interna, cliente y terceros</x:v>
      </x:c>
      <x:c r="Z47" s="73"/>
      <x:c r="AA47" s="73" t="str">
        <x:v>Preliminar</x:v>
      </x:c>
      <x:c r="AB47" s="78" t="str">
        <x:v>Estimación técnica ISM · Validar</x:v>
      </x:c>
    </x:row>
    <x:row r="48">
      <x:c r="A48" s="77" t="str">
        <x:v>Ciberseguridad</x:v>
      </x:c>
      <x:c r="B48" s="73" t="str">
        <x:v>SEC-04</x:v>
      </x:c>
      <x:c r="C48" s="73" t="str">
        <x:v>Preparación para respuesta a incidentes</x:v>
      </x:c>
      <x:c r="D48" s="73" t="str">
        <x:v>04 · Evolución digital</x:v>
      </x:c>
      <x:c r="E48" s="73" t="str">
        <x:v>Evidencia</x:v>
      </x:c>
      <x:c r="F48" s="73" t="str">
        <x:v>SEC4-008</x:v>
      </x:c>
      <x:c r="G48" s="73" t="str">
        <x:v>Preparación de fuentes de evidencia</x:v>
      </x:c>
      <x:c r="H48" s="73" t="str">
        <x:v>Fuente</x:v>
      </x:c>
      <x:c r="I48" s="85" t="n">
        <x:v>4</x:v>
      </x:c>
      <x:c r="J48" s="85" t="str">
        <x:v>Sí</x:v>
      </x:c>
      <x:c r="K48" s="85" t="str">
        <x:v>No</x:v>
      </x:c>
      <x:c r="L48" s="85" t="n">
        <x:v>0.75</x:v>
      </x:c>
      <x:c r="M48" s="85" t="str">
        <x:v>Parcial</x:v>
      </x:c>
      <x:c r="N48" s="85" t="n">
        <x:v>0.9</x:v>
      </x:c>
      <x:c r="O48" s="85" t="n">
        <x:v>0.675</x:v>
      </x:c>
      <x:c r="P48" s="85" t="str">
        <x:v>Alta</x:v>
      </x:c>
      <x:c r="Q48" s="85" t="n">
        <x:v>1</x:v>
      </x:c>
      <x:c r="R48" s="85" t="n">
        <x:v>1.45</x:v>
      </x:c>
      <x:c r="S48" s="85" t="n">
        <x:v>1.8</x:v>
      </x:c>
      <x:c r="T48" s="85" t="n">
        <x:v>2.7</x:v>
      </x:c>
      <x:c r="U48" s="85" t="n">
        <x:v>3.915</x:v>
      </x:c>
      <x:c r="V48" s="85" t="n">
        <x:v>4.86</x:v>
      </x:c>
      <x:c r="W48" s="73"/>
      <x:c r="X48" s="73" t="str">
        <x:v>Fuentes preparadas</x:v>
      </x:c>
      <x:c r="Y48" s="73" t="str">
        <x:v>Logs, respaldos y auditoría</x:v>
      </x:c>
      <x:c r="Z48" s="73"/>
      <x:c r="AA48" s="73" t="str">
        <x:v>Preliminar</x:v>
      </x:c>
      <x:c r="AB48" s="78" t="str">
        <x:v>Estimación técnica ISM · Validar</x:v>
      </x:c>
    </x:row>
    <x:row r="49">
      <x:c r="A49" s="77" t="str">
        <x:v>Ciberseguridad</x:v>
      </x:c>
      <x:c r="B49" s="73" t="str">
        <x:v>SEC-04</x:v>
      </x:c>
      <x:c r="C49" s="73" t="str">
        <x:v>Preparación para respuesta a incidentes</x:v>
      </x:c>
      <x:c r="D49" s="73" t="str">
        <x:v>04 · Evolución digital</x:v>
      </x:c>
      <x:c r="E49" s="73" t="str">
        <x:v>Simulación</x:v>
      </x:c>
      <x:c r="F49" s="73" t="str">
        <x:v>SEC4-009</x:v>
      </x:c>
      <x:c r="G49" s="73" t="str">
        <x:v>Diseño de ejercicio de mesa</x:v>
      </x:c>
      <x:c r="H49" s="73" t="str">
        <x:v>Ejercicio</x:v>
      </x:c>
      <x:c r="I49" s="85" t="n">
        <x:v>1</x:v>
      </x:c>
      <x:c r="J49" s="85" t="str">
        <x:v>Sí</x:v>
      </x:c>
      <x:c r="K49" s="85" t="str">
        <x:v>Sí</x:v>
      </x:c>
      <x:c r="L49" s="85" t="n">
        <x:v>2</x:v>
      </x:c>
      <x:c r="M49" s="85" t="str">
        <x:v>Parcial</x:v>
      </x:c>
      <x:c r="N49" s="85" t="n">
        <x:v>0.9</x:v>
      </x:c>
      <x:c r="O49" s="85" t="n">
        <x:v>1.8</x:v>
      </x:c>
      <x:c r="P49" s="85" t="str">
        <x:v>Alta</x:v>
      </x:c>
      <x:c r="Q49" s="85" t="n">
        <x:v>1</x:v>
      </x:c>
      <x:c r="R49" s="85" t="n">
        <x:v>1.45</x:v>
      </x:c>
      <x:c r="S49" s="85" t="n">
        <x:v>1.8</x:v>
      </x:c>
      <x:c r="T49" s="85" t="n">
        <x:v>1.8</x:v>
      </x:c>
      <x:c r="U49" s="85" t="n">
        <x:v>2.61</x:v>
      </x:c>
      <x:c r="V49" s="85" t="n">
        <x:v>3.24</x:v>
      </x:c>
      <x:c r="W49" s="73"/>
      <x:c r="X49" s="73" t="str">
        <x:v>Guion de simulación</x:v>
      </x:c>
      <x:c r="Y49" s="73" t="str">
        <x:v>Escenario, decisiones y criterios</x:v>
      </x:c>
      <x:c r="Z49" s="73"/>
      <x:c r="AA49" s="73" t="str">
        <x:v>Preliminar</x:v>
      </x:c>
      <x:c r="AB49" s="78" t="str">
        <x:v>Estimación técnica ISM · Validar</x:v>
      </x:c>
    </x:row>
    <x:row r="50">
      <x:c r="A50" s="77" t="str">
        <x:v>Ciberseguridad</x:v>
      </x:c>
      <x:c r="B50" s="73" t="str">
        <x:v>SEC-04</x:v>
      </x:c>
      <x:c r="C50" s="73" t="str">
        <x:v>Preparación para respuesta a incidentes</x:v>
      </x:c>
      <x:c r="D50" s="73" t="str">
        <x:v>04 · Evolución digital</x:v>
      </x:c>
      <x:c r="E50" s="73" t="str">
        <x:v>Simulación</x:v>
      </x:c>
      <x:c r="F50" s="73" t="str">
        <x:v>SEC4-010</x:v>
      </x:c>
      <x:c r="G50" s="73" t="str">
        <x:v>Ejecución de ejercicio de mesa</x:v>
      </x:c>
      <x:c r="H50" s="73" t="str">
        <x:v>Ejercicio</x:v>
      </x:c>
      <x:c r="I50" s="85" t="n">
        <x:v>1</x:v>
      </x:c>
      <x:c r="J50" s="85" t="str">
        <x:v>Sí</x:v>
      </x:c>
      <x:c r="K50" s="85" t="str">
        <x:v>Sí</x:v>
      </x:c>
      <x:c r="L50" s="85" t="n">
        <x:v>3</x:v>
      </x:c>
      <x:c r="M50" s="85" t="str">
        <x:v>Parcial</x:v>
      </x:c>
      <x:c r="N50" s="85" t="n">
        <x:v>0.9</x:v>
      </x:c>
      <x:c r="O50" s="85" t="n">
        <x:v>2.7</x:v>
      </x:c>
      <x:c r="P50" s="85" t="str">
        <x:v>Alta</x:v>
      </x:c>
      <x:c r="Q50" s="85" t="n">
        <x:v>1</x:v>
      </x:c>
      <x:c r="R50" s="85" t="n">
        <x:v>1.45</x:v>
      </x:c>
      <x:c r="S50" s="85" t="n">
        <x:v>1.8</x:v>
      </x:c>
      <x:c r="T50" s="85" t="n">
        <x:v>2.7</x:v>
      </x:c>
      <x:c r="U50" s="85" t="n">
        <x:v>3.915</x:v>
      </x:c>
      <x:c r="V50" s="85" t="n">
        <x:v>4.86</x:v>
      </x:c>
      <x:c r="W50" s="73"/>
      <x:c r="X50" s="73" t="str">
        <x:v>Simulación ejecutada</x:v>
      </x:c>
      <x:c r="Y50" s="73" t="str">
        <x:v>Tiempos, coordinación y evidencia</x:v>
      </x:c>
      <x:c r="Z50" s="73"/>
      <x:c r="AA50" s="73" t="str">
        <x:v>Preliminar</x:v>
      </x:c>
      <x:c r="AB50" s="78" t="str">
        <x:v>Estimación técnica ISM · Validar</x:v>
      </x:c>
    </x:row>
    <x:row r="51">
      <x:c r="A51" s="80" t="str">
        <x:v>Ciberseguridad</x:v>
      </x:c>
      <x:c r="B51" s="81" t="str">
        <x:v>SEC-04</x:v>
      </x:c>
      <x:c r="C51" s="81" t="str">
        <x:v>Preparación para respuesta a incidentes</x:v>
      </x:c>
      <x:c r="D51" s="81" t="str">
        <x:v>04 · Evolución digital</x:v>
      </x:c>
      <x:c r="E51" s="81" t="str">
        <x:v>Mejora</x:v>
      </x:c>
      <x:c r="F51" s="81" t="str">
        <x:v>SEC4-011</x:v>
      </x:c>
      <x:c r="G51" s="81" t="str">
        <x:v>Informe de brechas y plan de mejora</x:v>
      </x:c>
      <x:c r="H51" s="81" t="str">
        <x:v>Proyecto</x:v>
      </x:c>
      <x:c r="I51" s="101" t="n">
        <x:v>1</x:v>
      </x:c>
      <x:c r="J51" s="101" t="str">
        <x:v>Sí</x:v>
      </x:c>
      <x:c r="K51" s="101" t="str">
        <x:v>Sí</x:v>
      </x:c>
      <x:c r="L51" s="101" t="n">
        <x:v>2</x:v>
      </x:c>
      <x:c r="M51" s="101" t="str">
        <x:v>Parcial</x:v>
      </x:c>
      <x:c r="N51" s="101" t="n">
        <x:v>0.9</x:v>
      </x:c>
      <x:c r="O51" s="101" t="n">
        <x:v>1.8</x:v>
      </x:c>
      <x:c r="P51" s="101" t="str">
        <x:v>Media</x:v>
      </x:c>
      <x:c r="Q51" s="101" t="n">
        <x:v>1</x:v>
      </x:c>
      <x:c r="R51" s="101" t="n">
        <x:v>1.3</x:v>
      </x:c>
      <x:c r="S51" s="101" t="n">
        <x:v>1.55</x:v>
      </x:c>
      <x:c r="T51" s="101" t="n">
        <x:v>1.8</x:v>
      </x:c>
      <x:c r="U51" s="101" t="n">
        <x:v>2.3400000000000003</x:v>
      </x:c>
      <x:c r="V51" s="101" t="n">
        <x:v>2.79</x:v>
      </x:c>
      <x:c r="W51" s="81"/>
      <x:c r="X51" s="81" t="str">
        <x:v>Plan de mejora</x:v>
      </x:c>
      <x:c r="Y51" s="81" t="str">
        <x:v>Hallazgos, acciones y responsables</x:v>
      </x:c>
      <x:c r="Z51" s="81"/>
      <x:c r="AA51" s="81" t="str">
        <x:v>Preliminar</x:v>
      </x:c>
      <x:c r="AB51" s="82" t="str">
        <x:v>Estimación técnica ISM · Validar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65390f8864424cb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5" hidden="0" customWidth="1"/>
    <x:col min="5" max="5" width="18" hidden="0" customWidth="1"/>
    <x:col min="6" max="6" width="14" hidden="0" customWidth="1"/>
    <x:col min="7" max="7" width="42" hidden="0" customWidth="1"/>
    <x:col min="8" max="8" width="16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4" hidden="0" customWidth="1"/>
    <x:col min="24" max="24" width="28" hidden="0" customWidth="1"/>
    <x:col min="25" max="25" width="38" hidden="0" customWidth="1"/>
    <x:col min="26" max="26" width="32" hidden="0" customWidth="1"/>
    <x:col min="27" max="27" width="18" hidden="0" customWidth="1"/>
    <x:col min="28" max="28" width="30" hidden="0" customWidth="1"/>
  </x:cols>
  <x:sheetData>
    <x:row r="1">
      <x:c r="A1" s="5" t="str">
        <x:v>CATÁLOGO TÉCNICO · SOPORTE Y GESTIÓN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>
      <x:c r="A2" s="55" t="str">
        <x:v>Mesa de ayuda, procesos de atención, bolsas de horas y documentación.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</x:row>
    <x:row r="3">
      <x:c r="A3" s="103" t="str">
        <x:v>Servicios</x:v>
      </x:c>
      <x:c r="B3" s="104" t="n">
        <x:v>4</x:v>
      </x:c>
      <x:c r="C3" s="104" t="str">
        <x:v>Actividades</x:v>
      </x:c>
      <x:c r="D3" s="104" t="n">
        <x:v>44</x:v>
      </x:c>
      <x:c r="E3" s="104" t="str">
        <x:v>HH Inicial</x:v>
      </x:c>
      <x:c r="F3" s="109" t="n">
        <x:v>96.79999999999998</x:v>
      </x:c>
      <x:c r="G3" s="109" t="str">
        <x:v>HH Estándar</x:v>
      </x:c>
      <x:c r="H3" s="109" t="n">
        <x:v>131.549</x:v>
      </x:c>
      <x:c r="I3" s="109" t="str">
        <x:v>HH Avanzado</x:v>
      </x:c>
      <x:c r="J3" s="109" t="n">
        <x:v>159.55499999999998</x:v>
      </x:c>
      <x:c r="K3" s="104" t="str">
        <x:v>Estado</x:v>
      </x:c>
      <x:c r="L3" s="105" t="str">
        <x:v>Preliminar</x:v>
      </x:c>
    </x:row>
    <x:row r="5">
      <x:c r="A5" s="20" t="str">
        <x:v>Línea de servicio</x:v>
      </x:c>
      <x:c r="B5" s="21" t="str">
        <x:v>Código servicio</x:v>
      </x:c>
      <x:c r="C5" s="21" t="str">
        <x:v>Servicio / solución</x:v>
      </x:c>
      <x:c r="D5" s="21" t="str">
        <x:v>Madurez</x:v>
      </x:c>
      <x:c r="E5" s="21" t="str">
        <x:v>Fase</x:v>
      </x:c>
      <x:c r="F5" s="21" t="str">
        <x:v>Código actividad</x:v>
      </x:c>
      <x:c r="G5" s="21" t="str">
        <x:v>Actividad / entregable</x:v>
      </x:c>
      <x:c r="H5" s="21" t="str">
        <x:v>Unidad</x:v>
      </x:c>
      <x:c r="I5" s="21" t="str">
        <x:v>Cantidad base</x:v>
      </x:c>
      <x:c r="J5" s="21" t="str">
        <x:v>Incluida base</x:v>
      </x:c>
      <x:c r="K5" s="21" t="str">
        <x:v>Obligatoria</x:v>
      </x:c>
      <x:c r="L5" s="21" t="str">
        <x:v>HH unitarias desde cero</x:v>
      </x:c>
      <x:c r="M5" s="21" t="str">
        <x:v>Reutilización</x:v>
      </x:c>
      <x:c r="N5" s="21" t="str">
        <x:v>Factor reutilización ISM</x:v>
      </x:c>
      <x:c r="O5" s="21" t="str">
        <x:v>HH unitarias configurador</x:v>
      </x:c>
      <x:c r="P5" s="21" t="str">
        <x:v>Complejidad</x:v>
      </x:c>
      <x:c r="Q5" s="21" t="str">
        <x:v>Factor Inicial</x:v>
      </x:c>
      <x:c r="R5" s="21" t="str">
        <x:v>Factor Estándar</x:v>
      </x:c>
      <x:c r="S5" s="21" t="str">
        <x:v>Factor Avanzado</x:v>
      </x:c>
      <x:c r="T5" s="21" t="str">
        <x:v>HH Inicial</x:v>
      </x:c>
      <x:c r="U5" s="21" t="str">
        <x:v>HH Estándar</x:v>
      </x:c>
      <x:c r="V5" s="21" t="str">
        <x:v>HH Avanzado</x:v>
      </x:c>
      <x:c r="W5" s="21" t="str">
        <x:v>Dependencias</x:v>
      </x:c>
      <x:c r="X5" s="21" t="str">
        <x:v>Entregable verificable</x:v>
      </x:c>
      <x:c r="Y5" s="21" t="str">
        <x:v>Alcance / criterio</x:v>
      </x:c>
      <x:c r="Z5" s="21" t="str">
        <x:v>Exclusiones</x:v>
      </x:c>
      <x:c r="AA5" s="21" t="str">
        <x:v>Estado validación</x:v>
      </x:c>
      <x:c r="AB5" s="22" t="str">
        <x:v>Fuente / calibración</x:v>
      </x:c>
    </x:row>
    <x:row r="6">
      <x:c r="A6" s="74" t="str">
        <x:v>Soporte y Gestión</x:v>
      </x:c>
      <x:c r="B6" s="75" t="str">
        <x:v>SUP-01</x:v>
      </x:c>
      <x:c r="C6" s="75" t="str">
        <x:v>Implementación de mesa de ayuda</x:v>
      </x:c>
      <x:c r="D6" s="75" t="str">
        <x:v>02 · Optimización digital</x:v>
      </x:c>
      <x:c r="E6" s="75" t="str">
        <x:v>Diseño</x:v>
      </x:c>
      <x:c r="F6" s="75" t="str">
        <x:v>SUP1-001</x:v>
      </x:c>
      <x:c r="G6" s="75" t="str">
        <x:v>Definición del catálogo de atención</x:v>
      </x:c>
      <x:c r="H6" s="75" t="str">
        <x:v>Servicio</x:v>
      </x:c>
      <x:c r="I6" s="84" t="n">
        <x:v>6</x:v>
      </x:c>
      <x:c r="J6" s="84" t="str">
        <x:v>Sí</x:v>
      </x:c>
      <x:c r="K6" s="84" t="str">
        <x:v>Sí</x:v>
      </x:c>
      <x:c r="L6" s="84" t="n">
        <x:v>0.5</x:v>
      </x:c>
      <x:c r="M6" s="84" t="str">
        <x:v>Parcial</x:v>
      </x:c>
      <x:c r="N6" s="84" t="n">
        <x:v>0.88</x:v>
      </x:c>
      <x:c r="O6" s="84" t="n">
        <x:v>0.44</x:v>
      </x:c>
      <x:c r="P6" s="84" t="str">
        <x:v>Media</x:v>
      </x:c>
      <x:c r="Q6" s="84" t="n">
        <x:v>1</x:v>
      </x:c>
      <x:c r="R6" s="84" t="n">
        <x:v>1.3</x:v>
      </x:c>
      <x:c r="S6" s="84" t="n">
        <x:v>1.55</x:v>
      </x:c>
      <x:c r="T6" s="84" t="n">
        <x:v>2.64</x:v>
      </x:c>
      <x:c r="U6" s="84" t="n">
        <x:v>3.4320000000000004</x:v>
      </x:c>
      <x:c r="V6" s="84" t="n">
        <x:v>4.0920000000000005</x:v>
      </x:c>
      <x:c r="W6" s="75"/>
      <x:c r="X6" s="75" t="str">
        <x:v>Catálogo de atención</x:v>
      </x:c>
      <x:c r="Y6" s="75" t="str">
        <x:v>Servicios, solicitudes y exclusiones</x:v>
      </x:c>
      <x:c r="Z6" s="75"/>
      <x:c r="AA6" s="75" t="str">
        <x:v>Preliminar</x:v>
      </x:c>
      <x:c r="AB6" s="76" t="str">
        <x:v>Estimación técnica ISM · Validar</x:v>
      </x:c>
    </x:row>
    <x:row r="7">
      <x:c r="A7" s="77" t="str">
        <x:v>Soporte y Gestión</x:v>
      </x:c>
      <x:c r="B7" s="73" t="str">
        <x:v>SUP-01</x:v>
      </x:c>
      <x:c r="C7" s="73" t="str">
        <x:v>Implementación de mesa de ayuda</x:v>
      </x:c>
      <x:c r="D7" s="73" t="str">
        <x:v>02 · Optimización digital</x:v>
      </x:c>
      <x:c r="E7" s="73" t="str">
        <x:v>Diseño</x:v>
      </x:c>
      <x:c r="F7" s="73" t="str">
        <x:v>SUP1-002</x:v>
      </x:c>
      <x:c r="G7" s="73" t="str">
        <x:v>Definición de canales de ingreso</x:v>
      </x:c>
      <x:c r="H7" s="73" t="str">
        <x:v>Canal</x:v>
      </x:c>
      <x:c r="I7" s="85" t="n">
        <x:v>2</x:v>
      </x:c>
      <x:c r="J7" s="85" t="str">
        <x:v>Sí</x:v>
      </x:c>
      <x:c r="K7" s="85" t="str">
        <x:v>Sí</x:v>
      </x:c>
      <x:c r="L7" s="85" t="n">
        <x:v>0.75</x:v>
      </x:c>
      <x:c r="M7" s="85" t="str">
        <x:v>Parcial</x:v>
      </x:c>
      <x:c r="N7" s="85" t="n">
        <x:v>0.88</x:v>
      </x:c>
      <x:c r="O7" s="85" t="n">
        <x:v>0.66</x:v>
      </x:c>
      <x:c r="P7" s="85" t="str">
        <x:v>Media</x:v>
      </x:c>
      <x:c r="Q7" s="85" t="n">
        <x:v>1</x:v>
      </x:c>
      <x:c r="R7" s="85" t="n">
        <x:v>1.3</x:v>
      </x:c>
      <x:c r="S7" s="85" t="n">
        <x:v>1.55</x:v>
      </x:c>
      <x:c r="T7" s="85" t="n">
        <x:v>1.32</x:v>
      </x:c>
      <x:c r="U7" s="85" t="n">
        <x:v>1.7160000000000002</x:v>
      </x:c>
      <x:c r="V7" s="85" t="n">
        <x:v>2.0460000000000003</x:v>
      </x:c>
      <x:c r="W7" s="73"/>
      <x:c r="X7" s="73" t="str">
        <x:v>Canales definidos</x:v>
      </x:c>
      <x:c r="Y7" s="73" t="str">
        <x:v>Formulario, correo o portal</x:v>
      </x:c>
      <x:c r="Z7" s="73"/>
      <x:c r="AA7" s="73" t="str">
        <x:v>Preliminar</x:v>
      </x:c>
      <x:c r="AB7" s="78" t="str">
        <x:v>Estimación técnica ISM · Validar</x:v>
      </x:c>
    </x:row>
    <x:row r="8">
      <x:c r="A8" s="77" t="str">
        <x:v>Soporte y Gestión</x:v>
      </x:c>
      <x:c r="B8" s="73" t="str">
        <x:v>SUP-01</x:v>
      </x:c>
      <x:c r="C8" s="73" t="str">
        <x:v>Implementación de mesa de ayuda</x:v>
      </x:c>
      <x:c r="D8" s="73" t="str">
        <x:v>02 · Optimización digital</x:v>
      </x:c>
      <x:c r="E8" s="73" t="str">
        <x:v>Proceso</x:v>
      </x:c>
      <x:c r="F8" s="73" t="str">
        <x:v>SUP1-003</x:v>
      </x:c>
      <x:c r="G8" s="73" t="str">
        <x:v>Parametrización del flujo básico de tickets</x:v>
      </x:c>
      <x:c r="H8" s="73" t="str">
        <x:v>Proyecto</x:v>
      </x:c>
      <x:c r="I8" s="85" t="n">
        <x:v>1</x:v>
      </x:c>
      <x:c r="J8" s="85" t="str">
        <x:v>Sí</x:v>
      </x:c>
      <x:c r="K8" s="85" t="str">
        <x:v>Sí</x:v>
      </x:c>
      <x:c r="L8" s="85" t="n">
        <x:v>2.5</x:v>
      </x:c>
      <x:c r="M8" s="85" t="str">
        <x:v>Parcial</x:v>
      </x:c>
      <x:c r="N8" s="85" t="n">
        <x:v>0.88</x:v>
      </x:c>
      <x:c r="O8" s="85" t="n">
        <x:v>2.2</x:v>
      </x:c>
      <x:c r="P8" s="85" t="str">
        <x:v>Alta</x:v>
      </x:c>
      <x:c r="Q8" s="85" t="n">
        <x:v>1</x:v>
      </x:c>
      <x:c r="R8" s="85" t="n">
        <x:v>1.45</x:v>
      </x:c>
      <x:c r="S8" s="85" t="n">
        <x:v>1.8</x:v>
      </x:c>
      <x:c r="T8" s="85" t="n">
        <x:v>2.2</x:v>
      </x:c>
      <x:c r="U8" s="85" t="n">
        <x:v>3.19</x:v>
      </x:c>
      <x:c r="V8" s="85" t="n">
        <x:v>3.9600000000000004</x:v>
      </x:c>
      <x:c r="W8" s="73"/>
      <x:c r="X8" s="73" t="str">
        <x:v>Flujo de tickets</x:v>
      </x:c>
      <x:c r="Y8" s="73" t="str">
        <x:v>Configuración operativa de estados, asignación y cierre sobre una definición básica.</x:v>
      </x:c>
      <x:c r="Z8" s="73" t="str">
        <x:v>El diseño formal de procesos ITSM se cotiza en SUP-02.</x:v>
      </x:c>
      <x:c r="AA8" s="73" t="str">
        <x:v>Preliminar</x:v>
      </x:c>
      <x:c r="AB8" s="78" t="str">
        <x:v>Estimación técnica ISM · Validar</x:v>
      </x:c>
    </x:row>
    <x:row r="9">
      <x:c r="A9" s="77" t="str">
        <x:v>Soporte y Gestión</x:v>
      </x:c>
      <x:c r="B9" s="73" t="str">
        <x:v>SUP-01</x:v>
      </x:c>
      <x:c r="C9" s="73" t="str">
        <x:v>Implementación de mesa de ayuda</x:v>
      </x:c>
      <x:c r="D9" s="73" t="str">
        <x:v>02 · Optimización digital</x:v>
      </x:c>
      <x:c r="E9" s="73" t="str">
        <x:v>Proceso</x:v>
      </x:c>
      <x:c r="F9" s="73" t="str">
        <x:v>SUP1-004</x:v>
      </x:c>
      <x:c r="G9" s="73" t="str">
        <x:v>Parametrización de prioridades y severidades</x:v>
      </x:c>
      <x:c r="H9" s="73" t="str">
        <x:v>Nivel</x:v>
      </x:c>
      <x:c r="I9" s="85" t="n">
        <x:v>4</x:v>
      </x:c>
      <x:c r="J9" s="85" t="str">
        <x:v>Sí</x:v>
      </x:c>
      <x:c r="K9" s="85" t="str">
        <x:v>Sí</x:v>
      </x:c>
      <x:c r="L9" s="85" t="n">
        <x:v>0.5</x:v>
      </x:c>
      <x:c r="M9" s="85" t="str">
        <x:v>Parcial</x:v>
      </x:c>
      <x:c r="N9" s="85" t="n">
        <x:v>0.88</x:v>
      </x:c>
      <x:c r="O9" s="85" t="n">
        <x:v>0.44</x:v>
      </x:c>
      <x:c r="P9" s="85" t="str">
        <x:v>Alta</x:v>
      </x:c>
      <x:c r="Q9" s="85" t="n">
        <x:v>1</x:v>
      </x:c>
      <x:c r="R9" s="85" t="n">
        <x:v>1.45</x:v>
      </x:c>
      <x:c r="S9" s="85" t="n">
        <x:v>1.8</x:v>
      </x:c>
      <x:c r="T9" s="85" t="n">
        <x:v>1.76</x:v>
      </x:c>
      <x:c r="U9" s="85" t="n">
        <x:v>2.552</x:v>
      </x:c>
      <x:c r="V9" s="85" t="n">
        <x:v>3.168</x:v>
      </x:c>
      <x:c r="W9" s="73"/>
      <x:c r="X9" s="73" t="str">
        <x:v>Matriz de prioridad</x:v>
      </x:c>
      <x:c r="Y9" s="73" t="str">
        <x:v>Configuración en la herramienta de niveles previamente acordados.</x:v>
      </x:c>
      <x:c r="Z9" s="73" t="str">
        <x:v>La definición metodológica completa se cotiza en SUP-02.</x:v>
      </x:c>
      <x:c r="AA9" s="73" t="str">
        <x:v>Preliminar</x:v>
      </x:c>
      <x:c r="AB9" s="78" t="str">
        <x:v>Estimación técnica ISM · Validar</x:v>
      </x:c>
    </x:row>
    <x:row r="10">
      <x:c r="A10" s="77" t="str">
        <x:v>Soporte y Gestión</x:v>
      </x:c>
      <x:c r="B10" s="73" t="str">
        <x:v>SUP-01</x:v>
      </x:c>
      <x:c r="C10" s="73" t="str">
        <x:v>Implementación de mesa de ayuda</x:v>
      </x:c>
      <x:c r="D10" s="73" t="str">
        <x:v>02 · Optimización digital</x:v>
      </x:c>
      <x:c r="E10" s="73" t="str">
        <x:v>SLA</x:v>
      </x:c>
      <x:c r="F10" s="73" t="str">
        <x:v>SUP1-005</x:v>
      </x:c>
      <x:c r="G10" s="73" t="str">
        <x:v>Parametrización de SLA definidos</x:v>
      </x:c>
      <x:c r="H10" s="73" t="str">
        <x:v>Servicio</x:v>
      </x:c>
      <x:c r="I10" s="85" t="n">
        <x:v>6</x:v>
      </x:c>
      <x:c r="J10" s="85" t="str">
        <x:v>Sí</x:v>
      </x:c>
      <x:c r="K10" s="85" t="str">
        <x:v>Sí</x:v>
      </x:c>
      <x:c r="L10" s="85" t="n">
        <x:v>0.5</x:v>
      </x:c>
      <x:c r="M10" s="85" t="str">
        <x:v>Parcial</x:v>
      </x:c>
      <x:c r="N10" s="85" t="n">
        <x:v>0.88</x:v>
      </x:c>
      <x:c r="O10" s="85" t="n">
        <x:v>0.44</x:v>
      </x:c>
      <x:c r="P10" s="85" t="str">
        <x:v>Alta</x:v>
      </x:c>
      <x:c r="Q10" s="85" t="n">
        <x:v>1</x:v>
      </x:c>
      <x:c r="R10" s="85" t="n">
        <x:v>1.45</x:v>
      </x:c>
      <x:c r="S10" s="85" t="n">
        <x:v>1.8</x:v>
      </x:c>
      <x:c r="T10" s="85" t="n">
        <x:v>2.64</x:v>
      </x:c>
      <x:c r="U10" s="85" t="n">
        <x:v>3.828</x:v>
      </x:c>
      <x:c r="V10" s="85" t="n">
        <x:v>4.752000000000001</x:v>
      </x:c>
      <x:c r="W10" s="73"/>
      <x:c r="X10" s="73" t="str">
        <x:v>Matriz SLA</x:v>
      </x:c>
      <x:c r="Y10" s="73" t="str">
        <x:v>Configuración de tiempos de respuesta, resolución y cobertura en la herramienta.</x:v>
      </x:c>
      <x:c r="Z10" s="73" t="str">
        <x:v>La definición y gobierno formal de SLA se cotizan en SUP-02.</x:v>
      </x:c>
      <x:c r="AA10" s="73" t="str">
        <x:v>Preliminar</x:v>
      </x:c>
      <x:c r="AB10" s="78" t="str">
        <x:v>Estimación técnica ISM · Validar</x:v>
      </x:c>
    </x:row>
    <x:row r="11">
      <x:c r="A11" s="77" t="str">
        <x:v>Soporte y Gestión</x:v>
      </x:c>
      <x:c r="B11" s="73" t="str">
        <x:v>SUP-01</x:v>
      </x:c>
      <x:c r="C11" s="73" t="str">
        <x:v>Implementación de mesa de ayuda</x:v>
      </x:c>
      <x:c r="D11" s="73" t="str">
        <x:v>02 · Optimización digital</x:v>
      </x:c>
      <x:c r="E11" s="73" t="str">
        <x:v>Configuración</x:v>
      </x:c>
      <x:c r="F11" s="73" t="str">
        <x:v>SUP1-006</x:v>
      </x:c>
      <x:c r="G11" s="73" t="str">
        <x:v>Configuración de campos y formularios</x:v>
      </x:c>
      <x:c r="H11" s="73" t="str">
        <x:v>Formulario</x:v>
      </x:c>
      <x:c r="I11" s="85" t="n">
        <x:v>3</x:v>
      </x:c>
      <x:c r="J11" s="85" t="str">
        <x:v>Sí</x:v>
      </x:c>
      <x:c r="K11" s="85" t="str">
        <x:v>No</x:v>
      </x:c>
      <x:c r="L11" s="85" t="n">
        <x:v>1</x:v>
      </x:c>
      <x:c r="M11" s="85" t="str">
        <x:v>Parcial</x:v>
      </x:c>
      <x:c r="N11" s="85" t="n">
        <x:v>0.88</x:v>
      </x:c>
      <x:c r="O11" s="85" t="n">
        <x:v>0.88</x:v>
      </x:c>
      <x:c r="P11" s="85" t="str">
        <x:v>Media</x:v>
      </x:c>
      <x:c r="Q11" s="85" t="n">
        <x:v>1</x:v>
      </x:c>
      <x:c r="R11" s="85" t="n">
        <x:v>1.3</x:v>
      </x:c>
      <x:c r="S11" s="85" t="n">
        <x:v>1.55</x:v>
      </x:c>
      <x:c r="T11" s="85" t="n">
        <x:v>2.64</x:v>
      </x:c>
      <x:c r="U11" s="85" t="n">
        <x:v>3.4320000000000004</x:v>
      </x:c>
      <x:c r="V11" s="85" t="n">
        <x:v>4.0920000000000005</x:v>
      </x:c>
      <x:c r="W11" s="73"/>
      <x:c r="X11" s="73" t="str">
        <x:v>Formularios operativos</x:v>
      </x:c>
      <x:c r="Y11" s="73" t="str">
        <x:v>Campos, validaciones y clasificación</x:v>
      </x:c>
      <x:c r="Z11" s="73"/>
      <x:c r="AA11" s="73" t="str">
        <x:v>Preliminar</x:v>
      </x:c>
      <x:c r="AB11" s="78" t="str">
        <x:v>Estimación técnica ISM · Validar</x:v>
      </x:c>
    </x:row>
    <x:row r="12">
      <x:c r="A12" s="77" t="str">
        <x:v>Soporte y Gestión</x:v>
      </x:c>
      <x:c r="B12" s="73" t="str">
        <x:v>SUP-01</x:v>
      </x:c>
      <x:c r="C12" s="73" t="str">
        <x:v>Implementación de mesa de ayuda</x:v>
      </x:c>
      <x:c r="D12" s="73" t="str">
        <x:v>02 · Optimización digital</x:v>
      </x:c>
      <x:c r="E12" s="73" t="str">
        <x:v>Configuración</x:v>
      </x:c>
      <x:c r="F12" s="73" t="str">
        <x:v>SUP1-007</x:v>
      </x:c>
      <x:c r="G12" s="73" t="str">
        <x:v>Configuración de estados y automatizaciones</x:v>
      </x:c>
      <x:c r="H12" s="73" t="str">
        <x:v>Flujo</x:v>
      </x:c>
      <x:c r="I12" s="85" t="n">
        <x:v>2</x:v>
      </x:c>
      <x:c r="J12" s="85" t="str">
        <x:v>Sí</x:v>
      </x:c>
      <x:c r="K12" s="85" t="str">
        <x:v>No</x:v>
      </x:c>
      <x:c r="L12" s="85" t="n">
        <x:v>1.5</x:v>
      </x:c>
      <x:c r="M12" s="85" t="str">
        <x:v>Parcial</x:v>
      </x:c>
      <x:c r="N12" s="85" t="n">
        <x:v>0.88</x:v>
      </x:c>
      <x:c r="O12" s="85" t="n">
        <x:v>1.32</x:v>
      </x:c>
      <x:c r="P12" s="85" t="str">
        <x:v>Alta</x:v>
      </x:c>
      <x:c r="Q12" s="85" t="n">
        <x:v>1</x:v>
      </x:c>
      <x:c r="R12" s="85" t="n">
        <x:v>1.45</x:v>
      </x:c>
      <x:c r="S12" s="85" t="n">
        <x:v>1.8</x:v>
      </x:c>
      <x:c r="T12" s="85" t="n">
        <x:v>2.64</x:v>
      </x:c>
      <x:c r="U12" s="85" t="n">
        <x:v>3.828</x:v>
      </x:c>
      <x:c r="V12" s="85" t="n">
        <x:v>4.752000000000001</x:v>
      </x:c>
      <x:c r="W12" s="73"/>
      <x:c r="X12" s="73" t="str">
        <x:v>Flujos configurados</x:v>
      </x:c>
      <x:c r="Y12" s="73" t="str">
        <x:v>Asignación, notificación y escalamiento</x:v>
      </x:c>
      <x:c r="Z12" s="73"/>
      <x:c r="AA12" s="73" t="str">
        <x:v>Preliminar</x:v>
      </x:c>
      <x:c r="AB12" s="78" t="str">
        <x:v>Estimación técnica ISM · Validar</x:v>
      </x:c>
    </x:row>
    <x:row r="13">
      <x:c r="A13" s="77" t="str">
        <x:v>Soporte y Gestión</x:v>
      </x:c>
      <x:c r="B13" s="73" t="str">
        <x:v>SUP-01</x:v>
      </x:c>
      <x:c r="C13" s="73" t="str">
        <x:v>Implementación de mesa de ayuda</x:v>
      </x:c>
      <x:c r="D13" s="73" t="str">
        <x:v>02 · Optimización digital</x:v>
      </x:c>
      <x:c r="E13" s="73" t="str">
        <x:v>Configuración</x:v>
      </x:c>
      <x:c r="F13" s="73" t="str">
        <x:v>SUP1-008</x:v>
      </x:c>
      <x:c r="G13" s="73" t="str">
        <x:v>Configuración de usuarios y permisos</x:v>
      </x:c>
      <x:c r="H13" s="73" t="str">
        <x:v>Rol</x:v>
      </x:c>
      <x:c r="I13" s="85" t="n">
        <x:v>3</x:v>
      </x:c>
      <x:c r="J13" s="85" t="str">
        <x:v>Sí</x:v>
      </x:c>
      <x:c r="K13" s="85" t="str">
        <x:v>No</x:v>
      </x:c>
      <x:c r="L13" s="85" t="n">
        <x:v>0.75</x:v>
      </x:c>
      <x:c r="M13" s="85" t="str">
        <x:v>Parcial</x:v>
      </x:c>
      <x:c r="N13" s="85" t="n">
        <x:v>0.88</x:v>
      </x:c>
      <x:c r="O13" s="85" t="n">
        <x:v>0.66</x:v>
      </x:c>
      <x:c r="P13" s="85" t="str">
        <x:v>Alta</x:v>
      </x:c>
      <x:c r="Q13" s="85" t="n">
        <x:v>1</x:v>
      </x:c>
      <x:c r="R13" s="85" t="n">
        <x:v>1.45</x:v>
      </x:c>
      <x:c r="S13" s="85" t="n">
        <x:v>1.8</x:v>
      </x:c>
      <x:c r="T13" s="85" t="n">
        <x:v>1.98</x:v>
      </x:c>
      <x:c r="U13" s="85" t="n">
        <x:v>2.871</x:v>
      </x:c>
      <x:c r="V13" s="85" t="n">
        <x:v>3.564</x:v>
      </x:c>
      <x:c r="W13" s="73"/>
      <x:c r="X13" s="73" t="str">
        <x:v>Accesos configurados</x:v>
      </x:c>
      <x:c r="Y13" s="73" t="str">
        <x:v>Agentes, administradores y solicitantes</x:v>
      </x:c>
      <x:c r="Z13" s="73"/>
      <x:c r="AA13" s="73" t="str">
        <x:v>Preliminar</x:v>
      </x:c>
      <x:c r="AB13" s="78" t="str">
        <x:v>Estimación técnica ISM · Validar</x:v>
      </x:c>
    </x:row>
    <x:row r="14">
      <x:c r="A14" s="77" t="str">
        <x:v>Soporte y Gestión</x:v>
      </x:c>
      <x:c r="B14" s="73" t="str">
        <x:v>SUP-01</x:v>
      </x:c>
      <x:c r="C14" s="73" t="str">
        <x:v>Implementación de mesa de ayuda</x:v>
      </x:c>
      <x:c r="D14" s="73" t="str">
        <x:v>02 · Optimización digital</x:v>
      </x:c>
      <x:c r="E14" s="73" t="str">
        <x:v>Comunicación</x:v>
      </x:c>
      <x:c r="F14" s="73" t="str">
        <x:v>SUP1-009</x:v>
      </x:c>
      <x:c r="G14" s="73" t="str">
        <x:v>Plantillas de comunicación</x:v>
      </x:c>
      <x:c r="H14" s="73" t="str">
        <x:v>Plantilla</x:v>
      </x:c>
      <x:c r="I14" s="85" t="n">
        <x:v>5</x:v>
      </x:c>
      <x:c r="J14" s="85" t="str">
        <x:v>Sí</x:v>
      </x:c>
      <x:c r="K14" s="85" t="str">
        <x:v>No</x:v>
      </x:c>
      <x:c r="L14" s="85" t="n">
        <x:v>0.5</x:v>
      </x:c>
      <x:c r="M14" s="85" t="str">
        <x:v>Parcial</x:v>
      </x:c>
      <x:c r="N14" s="85" t="n">
        <x:v>0.88</x:v>
      </x:c>
      <x:c r="O14" s="85" t="n">
        <x:v>0.44</x:v>
      </x:c>
      <x:c r="P14" s="85" t="str">
        <x:v>Baja</x:v>
      </x:c>
      <x:c r="Q14" s="85" t="n">
        <x:v>1</x:v>
      </x:c>
      <x:c r="R14" s="85" t="n">
        <x:v>1.15</x:v>
      </x:c>
      <x:c r="S14" s="85" t="n">
        <x:v>1.3</x:v>
      </x:c>
      <x:c r="T14" s="85" t="n">
        <x:v>2.2</x:v>
      </x:c>
      <x:c r="U14" s="85" t="n">
        <x:v>2.53</x:v>
      </x:c>
      <x:c r="V14" s="85" t="n">
        <x:v>2.8600000000000003</x:v>
      </x:c>
      <x:c r="W14" s="73"/>
      <x:c r="X14" s="73" t="str">
        <x:v>Plantillas</x:v>
      </x:c>
      <x:c r="Y14" s="73" t="str">
        <x:v>Recepción, actualización y cierre</x:v>
      </x:c>
      <x:c r="Z14" s="73"/>
      <x:c r="AA14" s="73" t="str">
        <x:v>Preliminar</x:v>
      </x:c>
      <x:c r="AB14" s="78" t="str">
        <x:v>Estimación técnica ISM · Validar</x:v>
      </x:c>
    </x:row>
    <x:row r="15">
      <x:c r="A15" s="77" t="str">
        <x:v>Soporte y Gestión</x:v>
      </x:c>
      <x:c r="B15" s="73" t="str">
        <x:v>SUP-01</x:v>
      </x:c>
      <x:c r="C15" s="73" t="str">
        <x:v>Implementación de mesa de ayuda</x:v>
      </x:c>
      <x:c r="D15" s="73" t="str">
        <x:v>02 · Optimización digital</x:v>
      </x:c>
      <x:c r="E15" s="73" t="str">
        <x:v>Reportes</x:v>
      </x:c>
      <x:c r="F15" s="73" t="str">
        <x:v>SUP1-010</x:v>
      </x:c>
      <x:c r="G15" s="73" t="str">
        <x:v>Dashboard y reporte inicial de puesta en marcha</x:v>
      </x:c>
      <x:c r="H15" s="73" t="str">
        <x:v>Reporte</x:v>
      </x:c>
      <x:c r="I15" s="85" t="n">
        <x:v>1</x:v>
      </x:c>
      <x:c r="J15" s="85" t="str">
        <x:v>Sí</x:v>
      </x:c>
      <x:c r="K15" s="85" t="str">
        <x:v>No</x:v>
      </x:c>
      <x:c r="L15" s="85" t="n">
        <x:v>2</x:v>
      </x:c>
      <x:c r="M15" s="85" t="str">
        <x:v>Parcial</x:v>
      </x:c>
      <x:c r="N15" s="85" t="n">
        <x:v>0.88</x:v>
      </x:c>
      <x:c r="O15" s="85" t="n">
        <x:v>1.76</x:v>
      </x:c>
      <x:c r="P15" s="85" t="str">
        <x:v>Media</x:v>
      </x:c>
      <x:c r="Q15" s="85" t="n">
        <x:v>1</x:v>
      </x:c>
      <x:c r="R15" s="85" t="n">
        <x:v>1.3</x:v>
      </x:c>
      <x:c r="S15" s="85" t="n">
        <x:v>1.55</x:v>
      </x:c>
      <x:c r="T15" s="85" t="n">
        <x:v>1.76</x:v>
      </x:c>
      <x:c r="U15" s="85" t="n">
        <x:v>2.2880000000000003</x:v>
      </x:c>
      <x:c r="V15" s="85" t="n">
        <x:v>2.728</x:v>
      </x:c>
      <x:c r="W15" s="73"/>
      <x:c r="X15" s="73" t="str">
        <x:v>Reporte operativo</x:v>
      </x:c>
      <x:c r="Y15" s="73" t="str">
        <x:v>Vista inicial de volumen, tiempos y estado para validar la operación.</x:v>
      </x:c>
      <x:c r="Z15" s="73" t="str">
        <x:v>La reportería operacional avanzada se contabiliza en SUP2-010.</x:v>
      </x:c>
      <x:c r="AA15" s="73" t="str">
        <x:v>Preliminar</x:v>
      </x:c>
      <x:c r="AB15" s="78" t="str">
        <x:v>Estimación técnica ISM · Validar</x:v>
      </x:c>
    </x:row>
    <x:row r="16">
      <x:c r="A16" s="77" t="str">
        <x:v>Soporte y Gestión</x:v>
      </x:c>
      <x:c r="B16" s="73" t="str">
        <x:v>SUP-01</x:v>
      </x:c>
      <x:c r="C16" s="73" t="str">
        <x:v>Implementación de mesa de ayuda</x:v>
      </x:c>
      <x:c r="D16" s="73" t="str">
        <x:v>02 · Optimización digital</x:v>
      </x:c>
      <x:c r="E16" s="73" t="str">
        <x:v>Calidad</x:v>
      </x:c>
      <x:c r="F16" s="73" t="str">
        <x:v>SUP1-011</x:v>
      </x:c>
      <x:c r="G16" s="73" t="str">
        <x:v>Piloto con casos de atención</x:v>
      </x:c>
      <x:c r="H16" s="73" t="str">
        <x:v>Caso</x:v>
      </x:c>
      <x:c r="I16" s="85" t="n">
        <x:v>6</x:v>
      </x:c>
      <x:c r="J16" s="85" t="str">
        <x:v>Sí</x:v>
      </x:c>
      <x:c r="K16" s="85" t="str">
        <x:v>Sí</x:v>
      </x:c>
      <x:c r="L16" s="85" t="n">
        <x:v>0.5</x:v>
      </x:c>
      <x:c r="M16" s="85" t="str">
        <x:v>Parcial</x:v>
      </x:c>
      <x:c r="N16" s="85" t="n">
        <x:v>0.88</x:v>
      </x:c>
      <x:c r="O16" s="85" t="n">
        <x:v>0.44</x:v>
      </x:c>
      <x:c r="P16" s="85" t="str">
        <x:v>Media</x:v>
      </x:c>
      <x:c r="Q16" s="85" t="n">
        <x:v>1</x:v>
      </x:c>
      <x:c r="R16" s="85" t="n">
        <x:v>1.3</x:v>
      </x:c>
      <x:c r="S16" s="85" t="n">
        <x:v>1.55</x:v>
      </x:c>
      <x:c r="T16" s="85" t="n">
        <x:v>2.64</x:v>
      </x:c>
      <x:c r="U16" s="85" t="n">
        <x:v>3.4320000000000004</x:v>
      </x:c>
      <x:c r="V16" s="85" t="n">
        <x:v>4.0920000000000005</x:v>
      </x:c>
      <x:c r="W16" s="73"/>
      <x:c r="X16" s="73" t="str">
        <x:v>Piloto validado</x:v>
      </x:c>
      <x:c r="Y16" s="73" t="str">
        <x:v>Creación, asignación, atención y cierre</x:v>
      </x:c>
      <x:c r="Z16" s="73"/>
      <x:c r="AA16" s="73" t="str">
        <x:v>Preliminar</x:v>
      </x:c>
      <x:c r="AB16" s="78" t="str">
        <x:v>Estimación técnica ISM · Validar</x:v>
      </x:c>
    </x:row>
    <x:row r="17">
      <x:c r="A17" s="77" t="str">
        <x:v>Soporte y Gestión</x:v>
      </x:c>
      <x:c r="B17" s="73" t="str">
        <x:v>SUP-01</x:v>
      </x:c>
      <x:c r="C17" s="73" t="str">
        <x:v>Implementación de mesa de ayuda</x:v>
      </x:c>
      <x:c r="D17" s="73" t="str">
        <x:v>02 · Optimización digital</x:v>
      </x:c>
      <x:c r="E17" s="73" t="str">
        <x:v>Entrega</x:v>
      </x:c>
      <x:c r="F17" s="73" t="str">
        <x:v>SUP1-012</x:v>
      </x:c>
      <x:c r="G17" s="73" t="str">
        <x:v>Capacitación y documentación</x:v>
      </x:c>
      <x:c r="H17" s="73" t="str">
        <x:v>Sesión</x:v>
      </x:c>
      <x:c r="I17" s="85" t="n">
        <x:v>1</x:v>
      </x:c>
      <x:c r="J17" s="85" t="str">
        <x:v>Sí</x:v>
      </x:c>
      <x:c r="K17" s="85" t="str">
        <x:v>Sí</x:v>
      </x:c>
      <x:c r="L17" s="85" t="n">
        <x:v>2</x:v>
      </x:c>
      <x:c r="M17" s="85" t="str">
        <x:v>Parcial</x:v>
      </x:c>
      <x:c r="N17" s="85" t="n">
        <x:v>0.88</x:v>
      </x:c>
      <x:c r="O17" s="85" t="n">
        <x:v>1.76</x:v>
      </x:c>
      <x:c r="P17" s="85" t="str">
        <x:v>Media</x:v>
      </x:c>
      <x:c r="Q17" s="85" t="n">
        <x:v>1</x:v>
      </x:c>
      <x:c r="R17" s="85" t="n">
        <x:v>1.3</x:v>
      </x:c>
      <x:c r="S17" s="85" t="n">
        <x:v>1.55</x:v>
      </x:c>
      <x:c r="T17" s="85" t="n">
        <x:v>1.76</x:v>
      </x:c>
      <x:c r="U17" s="85" t="n">
        <x:v>2.2880000000000003</x:v>
      </x:c>
      <x:c r="V17" s="85" t="n">
        <x:v>2.728</x:v>
      </x:c>
      <x:c r="W17" s="73"/>
      <x:c r="X17" s="73" t="str">
        <x:v>Mesa de ayuda entregada</x:v>
      </x:c>
      <x:c r="Y17" s="73" t="str">
        <x:v>Uso, administración y soporte</x:v>
      </x:c>
      <x:c r="Z17" s="73"/>
      <x:c r="AA17" s="73" t="str">
        <x:v>Preliminar</x:v>
      </x:c>
      <x:c r="AB17" s="78" t="str">
        <x:v>Estimación técnica ISM · Validar</x:v>
      </x:c>
    </x:row>
    <x:row r="18">
      <x:c r="A18" s="77" t="str">
        <x:v>Soporte y Gestión</x:v>
      </x:c>
      <x:c r="B18" s="73" t="str">
        <x:v>SUP-02</x:v>
      </x:c>
      <x:c r="C18" s="73" t="str">
        <x:v>Gestión de incidentes, solicitudes y cambios</x:v>
      </x:c>
      <x:c r="D18" s="73" t="str">
        <x:v>03 · Consolidación digital</x:v>
      </x:c>
      <x:c r="E18" s="73" t="str">
        <x:v>Gobierno</x:v>
      </x:c>
      <x:c r="F18" s="73" t="str">
        <x:v>SUP2-001</x:v>
      </x:c>
      <x:c r="G18" s="73" t="str">
        <x:v>Definición de alcance de procesos ITSM</x:v>
      </x:c>
      <x:c r="H18" s="73" t="str">
        <x:v>Proceso</x:v>
      </x:c>
      <x:c r="I18" s="85" t="n">
        <x:v>4</x:v>
      </x:c>
      <x:c r="J18" s="85" t="str">
        <x:v>Sí</x:v>
      </x:c>
      <x:c r="K18" s="85" t="str">
        <x:v>Sí</x:v>
      </x:c>
      <x:c r="L18" s="85" t="n">
        <x:v>0.75</x:v>
      </x:c>
      <x:c r="M18" s="85" t="str">
        <x:v>Parcial</x:v>
      </x:c>
      <x:c r="N18" s="85" t="n">
        <x:v>0.88</x:v>
      </x:c>
      <x:c r="O18" s="85" t="n">
        <x:v>0.66</x:v>
      </x:c>
      <x:c r="P18" s="85" t="str">
        <x:v>Alta</x:v>
      </x:c>
      <x:c r="Q18" s="85" t="n">
        <x:v>1</x:v>
      </x:c>
      <x:c r="R18" s="85" t="n">
        <x:v>1.45</x:v>
      </x:c>
      <x:c r="S18" s="85" t="n">
        <x:v>1.8</x:v>
      </x:c>
      <x:c r="T18" s="85" t="n">
        <x:v>2.64</x:v>
      </x:c>
      <x:c r="U18" s="85" t="n">
        <x:v>3.828</x:v>
      </x:c>
      <x:c r="V18" s="85" t="n">
        <x:v>4.752000000000001</x:v>
      </x:c>
      <x:c r="W18" s="73"/>
      <x:c r="X18" s="73" t="str">
        <x:v>Alcance ITSM</x:v>
      </x:c>
      <x:c r="Y18" s="73" t="str">
        <x:v>Incidente, solicitud, problema y cambio</x:v>
      </x:c>
      <x:c r="Z18" s="73"/>
      <x:c r="AA18" s="73" t="str">
        <x:v>Preliminar</x:v>
      </x:c>
      <x:c r="AB18" s="78" t="str">
        <x:v>Estimación técnica ISM · Validar</x:v>
      </x:c>
    </x:row>
    <x:row r="19">
      <x:c r="A19" s="77" t="str">
        <x:v>Soporte y Gestión</x:v>
      </x:c>
      <x:c r="B19" s="73" t="str">
        <x:v>SUP-02</x:v>
      </x:c>
      <x:c r="C19" s="73" t="str">
        <x:v>Gestión de incidentes, solicitudes y cambios</x:v>
      </x:c>
      <x:c r="D19" s="73" t="str">
        <x:v>03 · Consolidación digital</x:v>
      </x:c>
      <x:c r="E19" s="73" t="str">
        <x:v>Proceso</x:v>
      </x:c>
      <x:c r="F19" s="73" t="str">
        <x:v>SUP2-002</x:v>
      </x:c>
      <x:c r="G19" s="73" t="str">
        <x:v>Diseño formal del proceso de incidentes</x:v>
      </x:c>
      <x:c r="H19" s="73" t="str">
        <x:v>Proceso</x:v>
      </x:c>
      <x:c r="I19" s="85" t="n">
        <x:v>1</x:v>
      </x:c>
      <x:c r="J19" s="85" t="str">
        <x:v>Sí</x:v>
      </x:c>
      <x:c r="K19" s="85" t="str">
        <x:v>Sí</x:v>
      </x:c>
      <x:c r="L19" s="85" t="n">
        <x:v>2</x:v>
      </x:c>
      <x:c r="M19" s="85" t="str">
        <x:v>Parcial</x:v>
      </x:c>
      <x:c r="N19" s="85" t="n">
        <x:v>0.88</x:v>
      </x:c>
      <x:c r="O19" s="85" t="n">
        <x:v>1.76</x:v>
      </x:c>
      <x:c r="P19" s="85" t="str">
        <x:v>Alta</x:v>
      </x:c>
      <x:c r="Q19" s="85" t="n">
        <x:v>1</x:v>
      </x:c>
      <x:c r="R19" s="85" t="n">
        <x:v>1.45</x:v>
      </x:c>
      <x:c r="S19" s="85" t="n">
        <x:v>1.8</x:v>
      </x:c>
      <x:c r="T19" s="85" t="n">
        <x:v>1.76</x:v>
      </x:c>
      <x:c r="U19" s="85" t="n">
        <x:v>2.552</x:v>
      </x:c>
      <x:c r="V19" s="85" t="n">
        <x:v>3.168</x:v>
      </x:c>
      <x:c r="W19" s="73"/>
      <x:c r="X19" s="73" t="str">
        <x:v>Proceso de incidentes</x:v>
      </x:c>
      <x:c r="Y19" s="73" t="str">
        <x:v>Registro, clasificación, escalamiento y cierre</x:v>
      </x:c>
      <x:c r="Z19" s="73"/>
      <x:c r="AA19" s="73" t="str">
        <x:v>Preliminar</x:v>
      </x:c>
      <x:c r="AB19" s="78" t="str">
        <x:v>Estimación técnica ISM · Validar</x:v>
      </x:c>
    </x:row>
    <x:row r="20">
      <x:c r="A20" s="77" t="str">
        <x:v>Soporte y Gestión</x:v>
      </x:c>
      <x:c r="B20" s="73" t="str">
        <x:v>SUP-02</x:v>
      </x:c>
      <x:c r="C20" s="73" t="str">
        <x:v>Gestión de incidentes, solicitudes y cambios</x:v>
      </x:c>
      <x:c r="D20" s="73" t="str">
        <x:v>03 · Consolidación digital</x:v>
      </x:c>
      <x:c r="E20" s="73" t="str">
        <x:v>Proceso</x:v>
      </x:c>
      <x:c r="F20" s="73" t="str">
        <x:v>SUP2-003</x:v>
      </x:c>
      <x:c r="G20" s="73" t="str">
        <x:v>Diseño formal del proceso de solicitudes</x:v>
      </x:c>
      <x:c r="H20" s="73" t="str">
        <x:v>Proceso</x:v>
      </x:c>
      <x:c r="I20" s="85" t="n">
        <x:v>1</x:v>
      </x:c>
      <x:c r="J20" s="85" t="str">
        <x:v>Sí</x:v>
      </x:c>
      <x:c r="K20" s="85" t="str">
        <x:v>Sí</x:v>
      </x:c>
      <x:c r="L20" s="85" t="n">
        <x:v>1.5</x:v>
      </x:c>
      <x:c r="M20" s="85" t="str">
        <x:v>Parcial</x:v>
      </x:c>
      <x:c r="N20" s="85" t="n">
        <x:v>0.88</x:v>
      </x:c>
      <x:c r="O20" s="85" t="n">
        <x:v>1.32</x:v>
      </x:c>
      <x:c r="P20" s="85" t="str">
        <x:v>Media</x:v>
      </x:c>
      <x:c r="Q20" s="85" t="n">
        <x:v>1</x:v>
      </x:c>
      <x:c r="R20" s="85" t="n">
        <x:v>1.3</x:v>
      </x:c>
      <x:c r="S20" s="85" t="n">
        <x:v>1.55</x:v>
      </x:c>
      <x:c r="T20" s="85" t="n">
        <x:v>1.32</x:v>
      </x:c>
      <x:c r="U20" s="85" t="n">
        <x:v>1.7160000000000002</x:v>
      </x:c>
      <x:c r="V20" s="85" t="n">
        <x:v>2.0460000000000003</x:v>
      </x:c>
      <x:c r="W20" s="73"/>
      <x:c r="X20" s="73" t="str">
        <x:v>Proceso de solicitudes</x:v>
      </x:c>
      <x:c r="Y20" s="73" t="str">
        <x:v>Catálogo, aprobación y entrega</x:v>
      </x:c>
      <x:c r="Z20" s="73"/>
      <x:c r="AA20" s="73" t="str">
        <x:v>Preliminar</x:v>
      </x:c>
      <x:c r="AB20" s="78" t="str">
        <x:v>Estimación técnica ISM · Validar</x:v>
      </x:c>
    </x:row>
    <x:row r="21">
      <x:c r="A21" s="77" t="str">
        <x:v>Soporte y Gestión</x:v>
      </x:c>
      <x:c r="B21" s="73" t="str">
        <x:v>SUP-02</x:v>
      </x:c>
      <x:c r="C21" s="73" t="str">
        <x:v>Gestión de incidentes, solicitudes y cambios</x:v>
      </x:c>
      <x:c r="D21" s="73" t="str">
        <x:v>03 · Consolidación digital</x:v>
      </x:c>
      <x:c r="E21" s="73" t="str">
        <x:v>Proceso</x:v>
      </x:c>
      <x:c r="F21" s="73" t="str">
        <x:v>SUP2-004</x:v>
      </x:c>
      <x:c r="G21" s="73" t="str">
        <x:v>Diseño formal del proceso de cambios</x:v>
      </x:c>
      <x:c r="H21" s="73" t="str">
        <x:v>Proceso</x:v>
      </x:c>
      <x:c r="I21" s="85" t="n">
        <x:v>1</x:v>
      </x:c>
      <x:c r="J21" s="85" t="str">
        <x:v>Sí</x:v>
      </x:c>
      <x:c r="K21" s="85" t="str">
        <x:v>Sí</x:v>
      </x:c>
      <x:c r="L21" s="85" t="n">
        <x:v>2</x:v>
      </x:c>
      <x:c r="M21" s="85" t="str">
        <x:v>Parcial</x:v>
      </x:c>
      <x:c r="N21" s="85" t="n">
        <x:v>0.88</x:v>
      </x:c>
      <x:c r="O21" s="85" t="n">
        <x:v>1.76</x:v>
      </x:c>
      <x:c r="P21" s="85" t="str">
        <x:v>Alta</x:v>
      </x:c>
      <x:c r="Q21" s="85" t="n">
        <x:v>1</x:v>
      </x:c>
      <x:c r="R21" s="85" t="n">
        <x:v>1.45</x:v>
      </x:c>
      <x:c r="S21" s="85" t="n">
        <x:v>1.8</x:v>
      </x:c>
      <x:c r="T21" s="85" t="n">
        <x:v>1.76</x:v>
      </x:c>
      <x:c r="U21" s="85" t="n">
        <x:v>2.552</x:v>
      </x:c>
      <x:c r="V21" s="85" t="n">
        <x:v>3.168</x:v>
      </x:c>
      <x:c r="W21" s="73"/>
      <x:c r="X21" s="73" t="str">
        <x:v>Proceso de cambios</x:v>
      </x:c>
      <x:c r="Y21" s="73" t="str">
        <x:v>Riesgo, aprobación, reversa y validación</x:v>
      </x:c>
      <x:c r="Z21" s="73"/>
      <x:c r="AA21" s="73" t="str">
        <x:v>Preliminar</x:v>
      </x:c>
      <x:c r="AB21" s="78" t="str">
        <x:v>Estimación técnica ISM · Validar</x:v>
      </x:c>
    </x:row>
    <x:row r="22">
      <x:c r="A22" s="77" t="str">
        <x:v>Soporte y Gestión</x:v>
      </x:c>
      <x:c r="B22" s="73" t="str">
        <x:v>SUP-02</x:v>
      </x:c>
      <x:c r="C22" s="73" t="str">
        <x:v>Gestión de incidentes, solicitudes y cambios</x:v>
      </x:c>
      <x:c r="D22" s="73" t="str">
        <x:v>03 · Consolidación digital</x:v>
      </x:c>
      <x:c r="E22" s="73" t="str">
        <x:v>Proceso</x:v>
      </x:c>
      <x:c r="F22" s="73" t="str">
        <x:v>SUP2-005</x:v>
      </x:c>
      <x:c r="G22" s="73" t="str">
        <x:v>Diseño formal del proceso de problemas</x:v>
      </x:c>
      <x:c r="H22" s="73" t="str">
        <x:v>Proceso</x:v>
      </x:c>
      <x:c r="I22" s="85" t="n">
        <x:v>1</x:v>
      </x:c>
      <x:c r="J22" s="85" t="str">
        <x:v>No</x:v>
      </x:c>
      <x:c r="K22" s="85" t="str">
        <x:v>No</x:v>
      </x:c>
      <x:c r="L22" s="85" t="n">
        <x:v>1.5</x:v>
      </x:c>
      <x:c r="M22" s="85" t="str">
        <x:v>Parcial</x:v>
      </x:c>
      <x:c r="N22" s="85" t="n">
        <x:v>0.88</x:v>
      </x:c>
      <x:c r="O22" s="85" t="n">
        <x:v>1.32</x:v>
      </x:c>
      <x:c r="P22" s="85" t="str">
        <x:v>Alta</x:v>
      </x:c>
      <x:c r="Q22" s="85" t="n">
        <x:v>1</x:v>
      </x:c>
      <x:c r="R22" s="85" t="n">
        <x:v>1.45</x:v>
      </x:c>
      <x:c r="S22" s="85" t="n">
        <x:v>1.8</x:v>
      </x:c>
      <x:c r="T22" s="85" t="n">
        <x:v>0</x:v>
      </x:c>
      <x:c r="U22" s="85" t="n">
        <x:v>0</x:v>
      </x:c>
      <x:c r="V22" s="85" t="n">
        <x:v>0</x:v>
      </x:c>
      <x:c r="W22" s="73"/>
      <x:c r="X22" s="73" t="str">
        <x:v>Proceso de problemas</x:v>
      </x:c>
      <x:c r="Y22" s="73" t="str">
        <x:v>Causa raíz y error conocido</x:v>
      </x:c>
      <x:c r="Z22" s="73"/>
      <x:c r="AA22" s="73" t="str">
        <x:v>Preliminar</x:v>
      </x:c>
      <x:c r="AB22" s="78" t="str">
        <x:v>Estimación técnica ISM · Validar</x:v>
      </x:c>
    </x:row>
    <x:row r="23">
      <x:c r="A23" s="77" t="str">
        <x:v>Soporte y Gestión</x:v>
      </x:c>
      <x:c r="B23" s="73" t="str">
        <x:v>SUP-02</x:v>
      </x:c>
      <x:c r="C23" s="73" t="str">
        <x:v>Gestión de incidentes, solicitudes y cambios</x:v>
      </x:c>
      <x:c r="D23" s="73" t="str">
        <x:v>03 · Consolidación digital</x:v>
      </x:c>
      <x:c r="E23" s="73" t="str">
        <x:v>Roles</x:v>
      </x:c>
      <x:c r="F23" s="73" t="str">
        <x:v>SUP2-006</x:v>
      </x:c>
      <x:c r="G23" s="73" t="str">
        <x:v>Definición de roles y responsabilidades</x:v>
      </x:c>
      <x:c r="H23" s="73" t="str">
        <x:v>Rol</x:v>
      </x:c>
      <x:c r="I23" s="85" t="n">
        <x:v>5</x:v>
      </x:c>
      <x:c r="J23" s="85" t="str">
        <x:v>Sí</x:v>
      </x:c>
      <x:c r="K23" s="85" t="str">
        <x:v>Sí</x:v>
      </x:c>
      <x:c r="L23" s="85" t="n">
        <x:v>0.5</x:v>
      </x:c>
      <x:c r="M23" s="85" t="str">
        <x:v>Parcial</x:v>
      </x:c>
      <x:c r="N23" s="85" t="n">
        <x:v>0.88</x:v>
      </x:c>
      <x:c r="O23" s="85" t="n">
        <x:v>0.44</x:v>
      </x:c>
      <x:c r="P23" s="85" t="str">
        <x:v>Alta</x:v>
      </x:c>
      <x:c r="Q23" s="85" t="n">
        <x:v>1</x:v>
      </x:c>
      <x:c r="R23" s="85" t="n">
        <x:v>1.45</x:v>
      </x:c>
      <x:c r="S23" s="85" t="n">
        <x:v>1.8</x:v>
      </x:c>
      <x:c r="T23" s="85" t="n">
        <x:v>2.2</x:v>
      </x:c>
      <x:c r="U23" s="85" t="n">
        <x:v>3.19</x:v>
      </x:c>
      <x:c r="V23" s="85" t="n">
        <x:v>3.9600000000000004</x:v>
      </x:c>
      <x:c r="W23" s="73"/>
      <x:c r="X23" s="73" t="str">
        <x:v>Matriz RACI</x:v>
      </x:c>
      <x:c r="Y23" s="73" t="str">
        <x:v>Responsables y escalamiento</x:v>
      </x:c>
      <x:c r="Z23" s="73"/>
      <x:c r="AA23" s="73" t="str">
        <x:v>Preliminar</x:v>
      </x:c>
      <x:c r="AB23" s="78" t="str">
        <x:v>Estimación técnica ISM · Validar</x:v>
      </x:c>
    </x:row>
    <x:row r="24">
      <x:c r="A24" s="77" t="str">
        <x:v>Soporte y Gestión</x:v>
      </x:c>
      <x:c r="B24" s="73" t="str">
        <x:v>SUP-02</x:v>
      </x:c>
      <x:c r="C24" s="73" t="str">
        <x:v>Gestión de incidentes, solicitudes y cambios</x:v>
      </x:c>
      <x:c r="D24" s="73" t="str">
        <x:v>03 · Consolidación digital</x:v>
      </x:c>
      <x:c r="E24" s="73" t="str">
        <x:v>Herramienta</x:v>
      </x:c>
      <x:c r="F24" s="73" t="str">
        <x:v>SUP2-007</x:v>
      </x:c>
      <x:c r="G24" s="73" t="str">
        <x:v>Configuración de herramienta o tablero</x:v>
      </x:c>
      <x:c r="H24" s="73" t="str">
        <x:v>Proceso</x:v>
      </x:c>
      <x:c r="I24" s="85" t="n">
        <x:v>4</x:v>
      </x:c>
      <x:c r="J24" s="85" t="str">
        <x:v>Sí</x:v>
      </x:c>
      <x:c r="K24" s="85" t="str">
        <x:v>No</x:v>
      </x:c>
      <x:c r="L24" s="85" t="n">
        <x:v>1.5</x:v>
      </x:c>
      <x:c r="M24" s="85" t="str">
        <x:v>Parcial</x:v>
      </x:c>
      <x:c r="N24" s="85" t="n">
        <x:v>0.88</x:v>
      </x:c>
      <x:c r="O24" s="85" t="n">
        <x:v>1.32</x:v>
      </x:c>
      <x:c r="P24" s="85" t="str">
        <x:v>Alta</x:v>
      </x:c>
      <x:c r="Q24" s="85" t="n">
        <x:v>1</x:v>
      </x:c>
      <x:c r="R24" s="85" t="n">
        <x:v>1.45</x:v>
      </x:c>
      <x:c r="S24" s="85" t="n">
        <x:v>1.8</x:v>
      </x:c>
      <x:c r="T24" s="85" t="n">
        <x:v>5.28</x:v>
      </x:c>
      <x:c r="U24" s="85" t="n">
        <x:v>7.656</x:v>
      </x:c>
      <x:c r="V24" s="85" t="n">
        <x:v>9.504000000000001</x:v>
      </x:c>
      <x:c r="W24" s="73"/>
      <x:c r="X24" s="73" t="str">
        <x:v>Herramienta configurada</x:v>
      </x:c>
      <x:c r="Y24" s="73" t="str">
        <x:v>Campos, vistas, estados y permisos</x:v>
      </x:c>
      <x:c r="Z24" s="73"/>
      <x:c r="AA24" s="73" t="str">
        <x:v>Preliminar</x:v>
      </x:c>
      <x:c r="AB24" s="78" t="str">
        <x:v>Estimación técnica ISM · Validar</x:v>
      </x:c>
    </x:row>
    <x:row r="25">
      <x:c r="A25" s="77" t="str">
        <x:v>Soporte y Gestión</x:v>
      </x:c>
      <x:c r="B25" s="73" t="str">
        <x:v>SUP-02</x:v>
      </x:c>
      <x:c r="C25" s="73" t="str">
        <x:v>Gestión de incidentes, solicitudes y cambios</x:v>
      </x:c>
      <x:c r="D25" s="73" t="str">
        <x:v>03 · Consolidación digital</x:v>
      </x:c>
      <x:c r="E25" s="73" t="str">
        <x:v>Automatización</x:v>
      </x:c>
      <x:c r="F25" s="73" t="str">
        <x:v>SUP2-008</x:v>
      </x:c>
      <x:c r="G25" s="73" t="str">
        <x:v>Automatización de asignación y escalamiento</x:v>
      </x:c>
      <x:c r="H25" s="73" t="str">
        <x:v>Regla</x:v>
      </x:c>
      <x:c r="I25" s="85" t="n">
        <x:v>5</x:v>
      </x:c>
      <x:c r="J25" s="85" t="str">
        <x:v>No</x:v>
      </x:c>
      <x:c r="K25" s="85" t="str">
        <x:v>No</x:v>
      </x:c>
      <x:c r="L25" s="85" t="n">
        <x:v>0.75</x:v>
      </x:c>
      <x:c r="M25" s="85" t="str">
        <x:v>Parcial</x:v>
      </x:c>
      <x:c r="N25" s="85" t="n">
        <x:v>0.88</x:v>
      </x:c>
      <x:c r="O25" s="85" t="n">
        <x:v>0.66</x:v>
      </x:c>
      <x:c r="P25" s="85" t="str">
        <x:v>Alta</x:v>
      </x:c>
      <x:c r="Q25" s="85" t="n">
        <x:v>1</x:v>
      </x:c>
      <x:c r="R25" s="85" t="n">
        <x:v>1.45</x:v>
      </x:c>
      <x:c r="S25" s="85" t="n">
        <x:v>1.8</x:v>
      </x:c>
      <x:c r="T25" s="85" t="n">
        <x:v>0</x:v>
      </x:c>
      <x:c r="U25" s="85" t="n">
        <x:v>0</x:v>
      </x:c>
      <x:c r="V25" s="85" t="n">
        <x:v>0</x:v>
      </x:c>
      <x:c r="W25" s="73"/>
      <x:c r="X25" s="73" t="str">
        <x:v>Reglas automáticas</x:v>
      </x:c>
      <x:c r="Y25" s="73" t="str">
        <x:v>Condiciones, responsables y avisos</x:v>
      </x:c>
      <x:c r="Z25" s="73"/>
      <x:c r="AA25" s="73" t="str">
        <x:v>Preliminar</x:v>
      </x:c>
      <x:c r="AB25" s="78" t="str">
        <x:v>Estimación técnica ISM · Validar</x:v>
      </x:c>
    </x:row>
    <x:row r="26">
      <x:c r="A26" s="77" t="str">
        <x:v>Soporte y Gestión</x:v>
      </x:c>
      <x:c r="B26" s="73" t="str">
        <x:v>SUP-02</x:v>
      </x:c>
      <x:c r="C26" s="73" t="str">
        <x:v>Gestión de incidentes, solicitudes y cambios</x:v>
      </x:c>
      <x:c r="D26" s="73" t="str">
        <x:v>03 · Consolidación digital</x:v>
      </x:c>
      <x:c r="E26" s="73" t="str">
        <x:v>Indicadores</x:v>
      </x:c>
      <x:c r="F26" s="73" t="str">
        <x:v>SUP2-009</x:v>
      </x:c>
      <x:c r="G26" s="73" t="str">
        <x:v>Definición de indicadores de gestión</x:v>
      </x:c>
      <x:c r="H26" s="73" t="str">
        <x:v>Indicador</x:v>
      </x:c>
      <x:c r="I26" s="85" t="n">
        <x:v>6</x:v>
      </x:c>
      <x:c r="J26" s="85" t="str">
        <x:v>Sí</x:v>
      </x:c>
      <x:c r="K26" s="85" t="str">
        <x:v>Sí</x:v>
      </x:c>
      <x:c r="L26" s="85" t="n">
        <x:v>0.5</x:v>
      </x:c>
      <x:c r="M26" s="85" t="str">
        <x:v>Parcial</x:v>
      </x:c>
      <x:c r="N26" s="85" t="n">
        <x:v>0.88</x:v>
      </x:c>
      <x:c r="O26" s="85" t="n">
        <x:v>0.44</x:v>
      </x:c>
      <x:c r="P26" s="85" t="str">
        <x:v>Media</x:v>
      </x:c>
      <x:c r="Q26" s="85" t="n">
        <x:v>1</x:v>
      </x:c>
      <x:c r="R26" s="85" t="n">
        <x:v>1.3</x:v>
      </x:c>
      <x:c r="S26" s="85" t="n">
        <x:v>1.55</x:v>
      </x:c>
      <x:c r="T26" s="85" t="n">
        <x:v>2.64</x:v>
      </x:c>
      <x:c r="U26" s="85" t="n">
        <x:v>3.4320000000000004</x:v>
      </x:c>
      <x:c r="V26" s="85" t="n">
        <x:v>4.0920000000000005</x:v>
      </x:c>
      <x:c r="W26" s="73"/>
      <x:c r="X26" s="73" t="str">
        <x:v>Catálogo de KPIs</x:v>
      </x:c>
      <x:c r="Y26" s="73" t="str">
        <x:v>Volumen, cumplimiento y tendencia</x:v>
      </x:c>
      <x:c r="Z26" s="73"/>
      <x:c r="AA26" s="73" t="str">
        <x:v>Preliminar</x:v>
      </x:c>
      <x:c r="AB26" s="78" t="str">
        <x:v>Estimación técnica ISM · Validar</x:v>
      </x:c>
    </x:row>
    <x:row r="27">
      <x:c r="A27" s="77" t="str">
        <x:v>Soporte y Gestión</x:v>
      </x:c>
      <x:c r="B27" s="73" t="str">
        <x:v>SUP-02</x:v>
      </x:c>
      <x:c r="C27" s="73" t="str">
        <x:v>Gestión de incidentes, solicitudes y cambios</x:v>
      </x:c>
      <x:c r="D27" s="73" t="str">
        <x:v>03 · Consolidación digital</x:v>
      </x:c>
      <x:c r="E27" s="73" t="str">
        <x:v>Reportes</x:v>
      </x:c>
      <x:c r="F27" s="73" t="str">
        <x:v>SUP2-010</x:v>
      </x:c>
      <x:c r="G27" s="73" t="str">
        <x:v>Configuración de reportes operacionales avanzados</x:v>
      </x:c>
      <x:c r="H27" s="73" t="str">
        <x:v>Reporte</x:v>
      </x:c>
      <x:c r="I27" s="85" t="n">
        <x:v>2</x:v>
      </x:c>
      <x:c r="J27" s="85" t="str">
        <x:v>Sí</x:v>
      </x:c>
      <x:c r="K27" s="85" t="str">
        <x:v>No</x:v>
      </x:c>
      <x:c r="L27" s="85" t="n">
        <x:v>1.5</x:v>
      </x:c>
      <x:c r="M27" s="85" t="str">
        <x:v>Parcial</x:v>
      </x:c>
      <x:c r="N27" s="85" t="n">
        <x:v>0.88</x:v>
      </x:c>
      <x:c r="O27" s="85" t="n">
        <x:v>1.32</x:v>
      </x:c>
      <x:c r="P27" s="85" t="str">
        <x:v>Media</x:v>
      </x:c>
      <x:c r="Q27" s="85" t="n">
        <x:v>1</x:v>
      </x:c>
      <x:c r="R27" s="85" t="n">
        <x:v>1.3</x:v>
      </x:c>
      <x:c r="S27" s="85" t="n">
        <x:v>1.55</x:v>
      </x:c>
      <x:c r="T27" s="85" t="n">
        <x:v>2.64</x:v>
      </x:c>
      <x:c r="U27" s="85" t="n">
        <x:v>3.4320000000000004</x:v>
      </x:c>
      <x:c r="V27" s="85" t="n">
        <x:v>4.0920000000000005</x:v>
      </x:c>
      <x:c r="W27" s="73"/>
      <x:c r="X27" s="73" t="str">
        <x:v>Reportes ITSM</x:v>
      </x:c>
      <x:c r="Y27" s="73" t="str">
        <x:v>Reportes periódicos por estado, SLA, carga, tendencia y cumplimiento.</x:v>
      </x:c>
      <x:c r="Z27" s="73" t="str">
        <x:v>No vuelve a incluir el reporte inicial de puesta en marcha de SUP1-010.</x:v>
      </x:c>
      <x:c r="AA27" s="73" t="str">
        <x:v>Preliminar</x:v>
      </x:c>
      <x:c r="AB27" s="78" t="str">
        <x:v>Estimación técnica ISM · Validar</x:v>
      </x:c>
    </x:row>
    <x:row r="28">
      <x:c r="A28" s="77" t="str">
        <x:v>Soporte y Gestión</x:v>
      </x:c>
      <x:c r="B28" s="73" t="str">
        <x:v>SUP-02</x:v>
      </x:c>
      <x:c r="C28" s="73" t="str">
        <x:v>Gestión de incidentes, solicitudes y cambios</x:v>
      </x:c>
      <x:c r="D28" s="73" t="str">
        <x:v>03 · Consolidación digital</x:v>
      </x:c>
      <x:c r="E28" s="73" t="str">
        <x:v>Piloto</x:v>
      </x:c>
      <x:c r="F28" s="73" t="str">
        <x:v>SUP2-011</x:v>
      </x:c>
      <x:c r="G28" s="73" t="str">
        <x:v>Piloto con casos reales</x:v>
      </x:c>
      <x:c r="H28" s="73" t="str">
        <x:v>Caso</x:v>
      </x:c>
      <x:c r="I28" s="85" t="n">
        <x:v>8</x:v>
      </x:c>
      <x:c r="J28" s="85" t="str">
        <x:v>Sí</x:v>
      </x:c>
      <x:c r="K28" s="85" t="str">
        <x:v>Sí</x:v>
      </x:c>
      <x:c r="L28" s="85" t="n">
        <x:v>0.5</x:v>
      </x:c>
      <x:c r="M28" s="85" t="str">
        <x:v>Parcial</x:v>
      </x:c>
      <x:c r="N28" s="85" t="n">
        <x:v>0.88</x:v>
      </x:c>
      <x:c r="O28" s="85" t="n">
        <x:v>0.44</x:v>
      </x:c>
      <x:c r="P28" s="85" t="str">
        <x:v>Alta</x:v>
      </x:c>
      <x:c r="Q28" s="85" t="n">
        <x:v>1</x:v>
      </x:c>
      <x:c r="R28" s="85" t="n">
        <x:v>1.45</x:v>
      </x:c>
      <x:c r="S28" s="85" t="n">
        <x:v>1.8</x:v>
      </x:c>
      <x:c r="T28" s="85" t="n">
        <x:v>3.52</x:v>
      </x:c>
      <x:c r="U28" s="85" t="n">
        <x:v>5.104</x:v>
      </x:c>
      <x:c r="V28" s="85" t="n">
        <x:v>6.336</x:v>
      </x:c>
      <x:c r="W28" s="73"/>
      <x:c r="X28" s="73" t="str">
        <x:v>Piloto ejecutado</x:v>
      </x:c>
      <x:c r="Y28" s="73" t="str">
        <x:v>Casos y retroalimentación</x:v>
      </x:c>
      <x:c r="Z28" s="73"/>
      <x:c r="AA28" s="73" t="str">
        <x:v>Preliminar</x:v>
      </x:c>
      <x:c r="AB28" s="78" t="str">
        <x:v>Estimación técnica ISM · Validar</x:v>
      </x:c>
    </x:row>
    <x:row r="29">
      <x:c r="A29" s="77" t="str">
        <x:v>Soporte y Gestión</x:v>
      </x:c>
      <x:c r="B29" s="73" t="str">
        <x:v>SUP-02</x:v>
      </x:c>
      <x:c r="C29" s="73" t="str">
        <x:v>Gestión de incidentes, solicitudes y cambios</x:v>
      </x:c>
      <x:c r="D29" s="73" t="str">
        <x:v>03 · Consolidación digital</x:v>
      </x:c>
      <x:c r="E29" s="73" t="str">
        <x:v>Cierre</x:v>
      </x:c>
      <x:c r="F29" s="73" t="str">
        <x:v>SUP2-012</x:v>
      </x:c>
      <x:c r="G29" s="73" t="str">
        <x:v>Ajustes y documentación final</x:v>
      </x:c>
      <x:c r="H29" s="73" t="str">
        <x:v>Proyecto</x:v>
      </x:c>
      <x:c r="I29" s="85" t="n">
        <x:v>1</x:v>
      </x:c>
      <x:c r="J29" s="85" t="str">
        <x:v>Sí</x:v>
      </x:c>
      <x:c r="K29" s="85" t="str">
        <x:v>Sí</x:v>
      </x:c>
      <x:c r="L29" s="85" t="n">
        <x:v>2</x:v>
      </x:c>
      <x:c r="M29" s="85" t="str">
        <x:v>Parcial</x:v>
      </x:c>
      <x:c r="N29" s="85" t="n">
        <x:v>0.88</x:v>
      </x:c>
      <x:c r="O29" s="85" t="n">
        <x:v>1.76</x:v>
      </x:c>
      <x:c r="P29" s="85" t="str">
        <x:v>Media</x:v>
      </x:c>
      <x:c r="Q29" s="85" t="n">
        <x:v>1</x:v>
      </x:c>
      <x:c r="R29" s="85" t="n">
        <x:v>1.3</x:v>
      </x:c>
      <x:c r="S29" s="85" t="n">
        <x:v>1.55</x:v>
      </x:c>
      <x:c r="T29" s="85" t="n">
        <x:v>1.76</x:v>
      </x:c>
      <x:c r="U29" s="85" t="n">
        <x:v>2.2880000000000003</x:v>
      </x:c>
      <x:c r="V29" s="85" t="n">
        <x:v>2.728</x:v>
      </x:c>
      <x:c r="W29" s="73"/>
      <x:c r="X29" s="73" t="str">
        <x:v>Procesos entregados</x:v>
      </x:c>
      <x:c r="Y29" s="73" t="str">
        <x:v>Procedimientos y mejoras</x:v>
      </x:c>
      <x:c r="Z29" s="73"/>
      <x:c r="AA29" s="73" t="str">
        <x:v>Preliminar</x:v>
      </x:c>
      <x:c r="AB29" s="78" t="str">
        <x:v>Estimación técnica ISM · Validar</x:v>
      </x:c>
    </x:row>
    <x:row r="30">
      <x:c r="A30" s="77" t="str">
        <x:v>Soporte y Gestión</x:v>
      </x:c>
      <x:c r="B30" s="73" t="str">
        <x:v>SUP-03</x:v>
      </x:c>
      <x:c r="C30" s="73" t="str">
        <x:v>Bolsa mensual de soporte evolutivo</x:v>
      </x:c>
      <x:c r="D30" s="73" t="str">
        <x:v>03 · Consolidación digital</x:v>
      </x:c>
      <x:c r="E30" s="73" t="str">
        <x:v>Gestión</x:v>
      </x:c>
      <x:c r="F30" s="73" t="str">
        <x:v>SUP3-001</x:v>
      </x:c>
      <x:c r="G30" s="73" t="str">
        <x:v>Reunión de priorización y planificación</x:v>
      </x:c>
      <x:c r="H30" s="73" t="str">
        <x:v>Sesión</x:v>
      </x:c>
      <x:c r="I30" s="85" t="n">
        <x:v>4</x:v>
      </x:c>
      <x:c r="J30" s="85" t="str">
        <x:v>Sí</x:v>
      </x:c>
      <x:c r="K30" s="85" t="str">
        <x:v>Sí</x:v>
      </x:c>
      <x:c r="L30" s="85" t="n">
        <x:v>0.5</x:v>
      </x:c>
      <x:c r="M30" s="85" t="str">
        <x:v>Parcial</x:v>
      </x:c>
      <x:c r="N30" s="85" t="n">
        <x:v>0.88</x:v>
      </x:c>
      <x:c r="O30" s="85" t="n">
        <x:v>0.44</x:v>
      </x:c>
      <x:c r="P30" s="85" t="str">
        <x:v>Media</x:v>
      </x:c>
      <x:c r="Q30" s="85" t="n">
        <x:v>1</x:v>
      </x:c>
      <x:c r="R30" s="85" t="n">
        <x:v>1.3</x:v>
      </x:c>
      <x:c r="S30" s="85" t="n">
        <x:v>1.55</x:v>
      </x:c>
      <x:c r="T30" s="85" t="n">
        <x:v>1.76</x:v>
      </x:c>
      <x:c r="U30" s="85" t="n">
        <x:v>2.2880000000000003</x:v>
      </x:c>
      <x:c r="V30" s="85" t="n">
        <x:v>2.728</x:v>
      </x:c>
      <x:c r="W30" s="73"/>
      <x:c r="X30" s="73" t="str">
        <x:v>Plan mensual</x:v>
      </x:c>
      <x:c r="Y30" s="73" t="str">
        <x:v>Prioridades, responsables y consumo</x:v>
      </x:c>
      <x:c r="Z30" s="73"/>
      <x:c r="AA30" s="73" t="str">
        <x:v>Preliminar</x:v>
      </x:c>
      <x:c r="AB30" s="78" t="str">
        <x:v>Estimación técnica ISM · Validar</x:v>
      </x:c>
    </x:row>
    <x:row r="31">
      <x:c r="A31" s="77" t="str">
        <x:v>Soporte y Gestión</x:v>
      </x:c>
      <x:c r="B31" s="73" t="str">
        <x:v>SUP-03</x:v>
      </x:c>
      <x:c r="C31" s="73" t="str">
        <x:v>Bolsa mensual de soporte evolutivo</x:v>
      </x:c>
      <x:c r="D31" s="73" t="str">
        <x:v>03 · Consolidación digital</x:v>
      </x:c>
      <x:c r="E31" s="73" t="str">
        <x:v>Gestión</x:v>
      </x:c>
      <x:c r="F31" s="73" t="str">
        <x:v>SUP3-002</x:v>
      </x:c>
      <x:c r="G31" s="73" t="str">
        <x:v>Triage de solicitudes e incidentes</x:v>
      </x:c>
      <x:c r="H31" s="73" t="str">
        <x:v>Ticket</x:v>
      </x:c>
      <x:c r="I31" s="85" t="n">
        <x:v>8</x:v>
      </x:c>
      <x:c r="J31" s="85" t="str">
        <x:v>Sí</x:v>
      </x:c>
      <x:c r="K31" s="85" t="str">
        <x:v>Sí</x:v>
      </x:c>
      <x:c r="L31" s="85" t="n">
        <x:v>0.25</x:v>
      </x:c>
      <x:c r="M31" s="85" t="str">
        <x:v>Parcial</x:v>
      </x:c>
      <x:c r="N31" s="85" t="n">
        <x:v>0.88</x:v>
      </x:c>
      <x:c r="O31" s="85" t="n">
        <x:v>0.22</x:v>
      </x:c>
      <x:c r="P31" s="85" t="str">
        <x:v>Media</x:v>
      </x:c>
      <x:c r="Q31" s="85" t="n">
        <x:v>1</x:v>
      </x:c>
      <x:c r="R31" s="85" t="n">
        <x:v>1.3</x:v>
      </x:c>
      <x:c r="S31" s="85" t="n">
        <x:v>1.55</x:v>
      </x:c>
      <x:c r="T31" s="85" t="n">
        <x:v>1.76</x:v>
      </x:c>
      <x:c r="U31" s="85" t="n">
        <x:v>2.2880000000000003</x:v>
      </x:c>
      <x:c r="V31" s="85" t="n">
        <x:v>2.728</x:v>
      </x:c>
      <x:c r="W31" s="73"/>
      <x:c r="X31" s="73" t="str">
        <x:v>Tickets clasificados</x:v>
      </x:c>
      <x:c r="Y31" s="73" t="str">
        <x:v>Impacto, urgencia y estimación</x:v>
      </x:c>
      <x:c r="Z31" s="73"/>
      <x:c r="AA31" s="73" t="str">
        <x:v>Preliminar</x:v>
      </x:c>
      <x:c r="AB31" s="78" t="str">
        <x:v>Estimación técnica ISM · Validar</x:v>
      </x:c>
    </x:row>
    <x:row r="32">
      <x:c r="A32" s="77" t="str">
        <x:v>Soporte y Gestión</x:v>
      </x:c>
      <x:c r="B32" s="73" t="str">
        <x:v>SUP-03</x:v>
      </x:c>
      <x:c r="C32" s="73" t="str">
        <x:v>Bolsa mensual de soporte evolutivo</x:v>
      </x:c>
      <x:c r="D32" s="73" t="str">
        <x:v>03 · Consolidación digital</x:v>
      </x:c>
      <x:c r="E32" s="73" t="str">
        <x:v>Soporte</x:v>
      </x:c>
      <x:c r="F32" s="73" t="str">
        <x:v>SUP3-003</x:v>
      </x:c>
      <x:c r="G32" s="73" t="str">
        <x:v>Atención de incidente menor</x:v>
      </x:c>
      <x:c r="H32" s="73" t="str">
        <x:v>Ticket</x:v>
      </x:c>
      <x:c r="I32" s="85" t="n">
        <x:v>4</x:v>
      </x:c>
      <x:c r="J32" s="85" t="str">
        <x:v>Sí</x:v>
      </x:c>
      <x:c r="K32" s="85" t="str">
        <x:v>No</x:v>
      </x:c>
      <x:c r="L32" s="85" t="n">
        <x:v>1.5</x:v>
      </x:c>
      <x:c r="M32" s="85" t="str">
        <x:v>Parcial</x:v>
      </x:c>
      <x:c r="N32" s="85" t="n">
        <x:v>0.88</x:v>
      </x:c>
      <x:c r="O32" s="85" t="n">
        <x:v>1.32</x:v>
      </x:c>
      <x:c r="P32" s="85" t="str">
        <x:v>Media</x:v>
      </x:c>
      <x:c r="Q32" s="85" t="n">
        <x:v>1</x:v>
      </x:c>
      <x:c r="R32" s="85" t="n">
        <x:v>1.3</x:v>
      </x:c>
      <x:c r="S32" s="85" t="n">
        <x:v>1.55</x:v>
      </x:c>
      <x:c r="T32" s="85" t="n">
        <x:v>5.28</x:v>
      </x:c>
      <x:c r="U32" s="85" t="n">
        <x:v>6.864000000000001</x:v>
      </x:c>
      <x:c r="V32" s="85" t="n">
        <x:v>8.184000000000001</x:v>
      </x:c>
      <x:c r="W32" s="73"/>
      <x:c r="X32" s="73" t="str">
        <x:v>Incidentes resueltos</x:v>
      </x:c>
      <x:c r="Y32" s="73" t="str">
        <x:v>Diagnóstico, corrección y cierre</x:v>
      </x:c>
      <x:c r="Z32" s="73"/>
      <x:c r="AA32" s="73" t="str">
        <x:v>Preliminar</x:v>
      </x:c>
      <x:c r="AB32" s="78" t="str">
        <x:v>Estimación técnica ISM · Validar</x:v>
      </x:c>
    </x:row>
    <x:row r="33">
      <x:c r="A33" s="77" t="str">
        <x:v>Soporte y Gestión</x:v>
      </x:c>
      <x:c r="B33" s="73" t="str">
        <x:v>SUP-03</x:v>
      </x:c>
      <x:c r="C33" s="73" t="str">
        <x:v>Bolsa mensual de soporte evolutivo</x:v>
      </x:c>
      <x:c r="D33" s="73" t="str">
        <x:v>03 · Consolidación digital</x:v>
      </x:c>
      <x:c r="E33" s="73" t="str">
        <x:v>Soporte</x:v>
      </x:c>
      <x:c r="F33" s="73" t="str">
        <x:v>SUP3-004</x:v>
      </x:c>
      <x:c r="G33" s="73" t="str">
        <x:v>Atención de solicitud operativa</x:v>
      </x:c>
      <x:c r="H33" s="73" t="str">
        <x:v>Ticket</x:v>
      </x:c>
      <x:c r="I33" s="85" t="n">
        <x:v>4</x:v>
      </x:c>
      <x:c r="J33" s="85" t="str">
        <x:v>Sí</x:v>
      </x:c>
      <x:c r="K33" s="85" t="str">
        <x:v>No</x:v>
      </x:c>
      <x:c r="L33" s="85" t="n">
        <x:v>1</x:v>
      </x:c>
      <x:c r="M33" s="85" t="str">
        <x:v>Parcial</x:v>
      </x:c>
      <x:c r="N33" s="85" t="n">
        <x:v>0.88</x:v>
      </x:c>
      <x:c r="O33" s="85" t="n">
        <x:v>0.88</x:v>
      </x:c>
      <x:c r="P33" s="85" t="str">
        <x:v>Media</x:v>
      </x:c>
      <x:c r="Q33" s="85" t="n">
        <x:v>1</x:v>
      </x:c>
      <x:c r="R33" s="85" t="n">
        <x:v>1.3</x:v>
      </x:c>
      <x:c r="S33" s="85" t="n">
        <x:v>1.55</x:v>
      </x:c>
      <x:c r="T33" s="85" t="n">
        <x:v>3.52</x:v>
      </x:c>
      <x:c r="U33" s="85" t="n">
        <x:v>4.5760000000000005</x:v>
      </x:c>
      <x:c r="V33" s="85" t="n">
        <x:v>5.456</x:v>
      </x:c>
      <x:c r="W33" s="73"/>
      <x:c r="X33" s="73" t="str">
        <x:v>Solicitudes atendidas</x:v>
      </x:c>
      <x:c r="Y33" s="73" t="str">
        <x:v>Configuración o apoyo funcional</x:v>
      </x:c>
      <x:c r="Z33" s="73"/>
      <x:c r="AA33" s="73" t="str">
        <x:v>Preliminar</x:v>
      </x:c>
      <x:c r="AB33" s="78" t="str">
        <x:v>Estimación técnica ISM · Validar</x:v>
      </x:c>
    </x:row>
    <x:row r="34">
      <x:c r="A34" s="77" t="str">
        <x:v>Soporte y Gestión</x:v>
      </x:c>
      <x:c r="B34" s="73" t="str">
        <x:v>SUP-03</x:v>
      </x:c>
      <x:c r="C34" s="73" t="str">
        <x:v>Bolsa mensual de soporte evolutivo</x:v>
      </x:c>
      <x:c r="D34" s="73" t="str">
        <x:v>03 · Consolidación digital</x:v>
      </x:c>
      <x:c r="E34" s="73" t="str">
        <x:v>Evolución</x:v>
      </x:c>
      <x:c r="F34" s="73" t="str">
        <x:v>SUP3-005</x:v>
      </x:c>
      <x:c r="G34" s="73" t="str">
        <x:v>Cambio menor de aplicación</x:v>
      </x:c>
      <x:c r="H34" s="73" t="str">
        <x:v>Cambio</x:v>
      </x:c>
      <x:c r="I34" s="85" t="n">
        <x:v>2</x:v>
      </x:c>
      <x:c r="J34" s="85" t="str">
        <x:v>Sí</x:v>
      </x:c>
      <x:c r="K34" s="85" t="str">
        <x:v>No</x:v>
      </x:c>
      <x:c r="L34" s="85" t="n">
        <x:v>2</x:v>
      </x:c>
      <x:c r="M34" s="85" t="str">
        <x:v>Parcial</x:v>
      </x:c>
      <x:c r="N34" s="85" t="n">
        <x:v>0.88</x:v>
      </x:c>
      <x:c r="O34" s="85" t="n">
        <x:v>1.76</x:v>
      </x:c>
      <x:c r="P34" s="85" t="str">
        <x:v>Alta</x:v>
      </x:c>
      <x:c r="Q34" s="85" t="n">
        <x:v>1</x:v>
      </x:c>
      <x:c r="R34" s="85" t="n">
        <x:v>1.45</x:v>
      </x:c>
      <x:c r="S34" s="85" t="n">
        <x:v>1.8</x:v>
      </x:c>
      <x:c r="T34" s="85" t="n">
        <x:v>3.52</x:v>
      </x:c>
      <x:c r="U34" s="85" t="n">
        <x:v>5.104</x:v>
      </x:c>
      <x:c r="V34" s="85" t="n">
        <x:v>6.336</x:v>
      </x:c>
      <x:c r="W34" s="73"/>
      <x:c r="X34" s="73" t="str">
        <x:v>Cambios menores</x:v>
      </x:c>
      <x:c r="Y34" s="73" t="str">
        <x:v>Ajuste acotado con pruebas</x:v>
      </x:c>
      <x:c r="Z34" s="73"/>
      <x:c r="AA34" s="73" t="str">
        <x:v>Preliminar</x:v>
      </x:c>
      <x:c r="AB34" s="78" t="str">
        <x:v>Estimación técnica ISM · Validar</x:v>
      </x:c>
    </x:row>
    <x:row r="35">
      <x:c r="A35" s="77" t="str">
        <x:v>Soporte y Gestión</x:v>
      </x:c>
      <x:c r="B35" s="73" t="str">
        <x:v>SUP-03</x:v>
      </x:c>
      <x:c r="C35" s="73" t="str">
        <x:v>Bolsa mensual de soporte evolutivo</x:v>
      </x:c>
      <x:c r="D35" s="73" t="str">
        <x:v>03 · Consolidación digital</x:v>
      </x:c>
      <x:c r="E35" s="73" t="str">
        <x:v>Prevención</x:v>
      </x:c>
      <x:c r="F35" s="73" t="str">
        <x:v>SUP3-006</x:v>
      </x:c>
      <x:c r="G35" s="73" t="str">
        <x:v>Revisión preventiva de logs y alertas</x:v>
      </x:c>
      <x:c r="H35" s="73" t="str">
        <x:v>Sesión</x:v>
      </x:c>
      <x:c r="I35" s="85" t="n">
        <x:v>4</x:v>
      </x:c>
      <x:c r="J35" s="85" t="str">
        <x:v>No</x:v>
      </x:c>
      <x:c r="K35" s="85" t="str">
        <x:v>No</x:v>
      </x:c>
      <x:c r="L35" s="85" t="n">
        <x:v>0.5</x:v>
      </x:c>
      <x:c r="M35" s="85" t="str">
        <x:v>Parcial</x:v>
      </x:c>
      <x:c r="N35" s="85" t="n">
        <x:v>0.88</x:v>
      </x:c>
      <x:c r="O35" s="85" t="n">
        <x:v>0.44</x:v>
      </x:c>
      <x:c r="P35" s="85" t="str">
        <x:v>Media</x:v>
      </x:c>
      <x:c r="Q35" s="85" t="n">
        <x:v>1</x:v>
      </x:c>
      <x:c r="R35" s="85" t="n">
        <x:v>1.3</x:v>
      </x:c>
      <x:c r="S35" s="85" t="n">
        <x:v>1.55</x:v>
      </x:c>
      <x:c r="T35" s="85" t="n">
        <x:v>0</x:v>
      </x:c>
      <x:c r="U35" s="85" t="n">
        <x:v>0</x:v>
      </x:c>
      <x:c r="V35" s="85" t="n">
        <x:v>0</x:v>
      </x:c>
      <x:c r="W35" s="73"/>
      <x:c r="X35" s="73" t="str">
        <x:v>Revisión preventiva</x:v>
      </x:c>
      <x:c r="Y35" s="73" t="str">
        <x:v>Eventos y riesgos recurrentes</x:v>
      </x:c>
      <x:c r="Z35" s="73"/>
      <x:c r="AA35" s="73" t="str">
        <x:v>Preliminar</x:v>
      </x:c>
      <x:c r="AB35" s="78" t="str">
        <x:v>Estimación técnica ISM · Validar</x:v>
      </x:c>
    </x:row>
    <x:row r="36">
      <x:c r="A36" s="77" t="str">
        <x:v>Soporte y Gestión</x:v>
      </x:c>
      <x:c r="B36" s="73" t="str">
        <x:v>SUP-03</x:v>
      </x:c>
      <x:c r="C36" s="73" t="str">
        <x:v>Bolsa mensual de soporte evolutivo</x:v>
      </x:c>
      <x:c r="D36" s="73" t="str">
        <x:v>03 · Consolidación digital</x:v>
      </x:c>
      <x:c r="E36" s="73" t="str">
        <x:v>Documentación</x:v>
      </x:c>
      <x:c r="F36" s="73" t="str">
        <x:v>SUP3-007</x:v>
      </x:c>
      <x:c r="G36" s="73" t="str">
        <x:v>Actualización de documentación</x:v>
      </x:c>
      <x:c r="H36" s="73" t="str">
        <x:v>Documento</x:v>
      </x:c>
      <x:c r="I36" s="85" t="n">
        <x:v>1</x:v>
      </x:c>
      <x:c r="J36" s="85" t="str">
        <x:v>Sí</x:v>
      </x:c>
      <x:c r="K36" s="85" t="str">
        <x:v>No</x:v>
      </x:c>
      <x:c r="L36" s="85" t="n">
        <x:v>1</x:v>
      </x:c>
      <x:c r="M36" s="85" t="str">
        <x:v>Parcial</x:v>
      </x:c>
      <x:c r="N36" s="85" t="n">
        <x:v>0.88</x:v>
      </x:c>
      <x:c r="O36" s="85" t="n">
        <x:v>0.88</x:v>
      </x:c>
      <x:c r="P36" s="85" t="str">
        <x:v>Baja</x:v>
      </x:c>
      <x:c r="Q36" s="85" t="n">
        <x:v>1</x:v>
      </x:c>
      <x:c r="R36" s="85" t="n">
        <x:v>1.15</x:v>
      </x:c>
      <x:c r="S36" s="85" t="n">
        <x:v>1.3</x:v>
      </x:c>
      <x:c r="T36" s="85" t="n">
        <x:v>0.88</x:v>
      </x:c>
      <x:c r="U36" s="85" t="n">
        <x:v>1.012</x:v>
      </x:c>
      <x:c r="V36" s="85" t="n">
        <x:v>1.1440000000000001</x:v>
      </x:c>
      <x:c r="W36" s="73"/>
      <x:c r="X36" s="73" t="str">
        <x:v>Documentación actualizada</x:v>
      </x:c>
      <x:c r="Y36" s="73" t="str">
        <x:v>Cambios y soluciones recurrentes</x:v>
      </x:c>
      <x:c r="Z36" s="73"/>
      <x:c r="AA36" s="73" t="str">
        <x:v>Preliminar</x:v>
      </x:c>
      <x:c r="AB36" s="78" t="str">
        <x:v>Estimación técnica ISM · Validar</x:v>
      </x:c>
    </x:row>
    <x:row r="37">
      <x:c r="A37" s="77" t="str">
        <x:v>Soporte y Gestión</x:v>
      </x:c>
      <x:c r="B37" s="73" t="str">
        <x:v>SUP-03</x:v>
      </x:c>
      <x:c r="C37" s="73" t="str">
        <x:v>Bolsa mensual de soporte evolutivo</x:v>
      </x:c>
      <x:c r="D37" s="73" t="str">
        <x:v>03 · Consolidación digital</x:v>
      </x:c>
      <x:c r="E37" s="73" t="str">
        <x:v>Reporte</x:v>
      </x:c>
      <x:c r="F37" s="73" t="str">
        <x:v>SUP3-008</x:v>
      </x:c>
      <x:c r="G37" s="73" t="str">
        <x:v>Reporte mensual de servicio</x:v>
      </x:c>
      <x:c r="H37" s="73" t="str">
        <x:v>Reporte</x:v>
      </x:c>
      <x:c r="I37" s="85" t="n">
        <x:v>1</x:v>
      </x:c>
      <x:c r="J37" s="85" t="str">
        <x:v>Sí</x:v>
      </x:c>
      <x:c r="K37" s="85" t="str">
        <x:v>Sí</x:v>
      </x:c>
      <x:c r="L37" s="85" t="n">
        <x:v>1.5</x:v>
      </x:c>
      <x:c r="M37" s="85" t="str">
        <x:v>Parcial</x:v>
      </x:c>
      <x:c r="N37" s="85" t="n">
        <x:v>0.88</x:v>
      </x:c>
      <x:c r="O37" s="85" t="n">
        <x:v>1.32</x:v>
      </x:c>
      <x:c r="P37" s="85" t="str">
        <x:v>Media</x:v>
      </x:c>
      <x:c r="Q37" s="85" t="n">
        <x:v>1</x:v>
      </x:c>
      <x:c r="R37" s="85" t="n">
        <x:v>1.3</x:v>
      </x:c>
      <x:c r="S37" s="85" t="n">
        <x:v>1.55</x:v>
      </x:c>
      <x:c r="T37" s="85" t="n">
        <x:v>1.32</x:v>
      </x:c>
      <x:c r="U37" s="85" t="n">
        <x:v>1.7160000000000002</x:v>
      </x:c>
      <x:c r="V37" s="85" t="n">
        <x:v>2.0460000000000003</x:v>
      </x:c>
      <x:c r="W37" s="73"/>
      <x:c r="X37" s="73" t="str">
        <x:v>Reporte mensual</x:v>
      </x:c>
      <x:c r="Y37" s="73" t="str">
        <x:v>Consumo, cumplimiento y recomendaciones</x:v>
      </x:c>
      <x:c r="Z37" s="73"/>
      <x:c r="AA37" s="73" t="str">
        <x:v>Preliminar</x:v>
      </x:c>
      <x:c r="AB37" s="78" t="str">
        <x:v>Estimación técnica ISM · Validar</x:v>
      </x:c>
    </x:row>
    <x:row r="38">
      <x:c r="A38" s="77" t="str">
        <x:v>Soporte y Gestión</x:v>
      </x:c>
      <x:c r="B38" s="73" t="str">
        <x:v>SUP-03</x:v>
      </x:c>
      <x:c r="C38" s="73" t="str">
        <x:v>Bolsa mensual de soporte evolutivo</x:v>
      </x:c>
      <x:c r="D38" s="73" t="str">
        <x:v>03 · Consolidación digital</x:v>
      </x:c>
      <x:c r="E38" s="73" t="str">
        <x:v>Coordinación</x:v>
      </x:c>
      <x:c r="F38" s="73" t="str">
        <x:v>SUP3-009</x:v>
      </x:c>
      <x:c r="G38" s="73" t="str">
        <x:v>Gestión de pendientes y terceros</x:v>
      </x:c>
      <x:c r="H38" s="73" t="str">
        <x:v>Hora</x:v>
      </x:c>
      <x:c r="I38" s="85" t="n">
        <x:v>2</x:v>
      </x:c>
      <x:c r="J38" s="85" t="str">
        <x:v>Sí</x:v>
      </x:c>
      <x:c r="K38" s="85" t="str">
        <x:v>No</x:v>
      </x:c>
      <x:c r="L38" s="85" t="n">
        <x:v>1</x:v>
      </x:c>
      <x:c r="M38" s="85" t="str">
        <x:v>Parcial</x:v>
      </x:c>
      <x:c r="N38" s="85" t="n">
        <x:v>0.88</x:v>
      </x:c>
      <x:c r="O38" s="85" t="n">
        <x:v>0.88</x:v>
      </x:c>
      <x:c r="P38" s="85" t="str">
        <x:v>Media</x:v>
      </x:c>
      <x:c r="Q38" s="85" t="n">
        <x:v>1</x:v>
      </x:c>
      <x:c r="R38" s="85" t="n">
        <x:v>1.3</x:v>
      </x:c>
      <x:c r="S38" s="85" t="n">
        <x:v>1.55</x:v>
      </x:c>
      <x:c r="T38" s="85" t="n">
        <x:v>1.76</x:v>
      </x:c>
      <x:c r="U38" s="85" t="n">
        <x:v>2.2880000000000003</x:v>
      </x:c>
      <x:c r="V38" s="85" t="n">
        <x:v>2.728</x:v>
      </x:c>
      <x:c r="W38" s="73"/>
      <x:c r="X38" s="73" t="str">
        <x:v>Seguimiento</x:v>
      </x:c>
      <x:c r="Y38" s="73" t="str">
        <x:v>Dependencias, accesos y coordinaciones</x:v>
      </x:c>
      <x:c r="Z38" s="73"/>
      <x:c r="AA38" s="73" t="str">
        <x:v>Preliminar</x:v>
      </x:c>
      <x:c r="AB38" s="78" t="str">
        <x:v>Estimación técnica ISM · Validar</x:v>
      </x:c>
    </x:row>
    <x:row r="39">
      <x:c r="A39" s="77" t="str">
        <x:v>Soporte y Gestión</x:v>
      </x:c>
      <x:c r="B39" s="73" t="str">
        <x:v>SUP-04</x:v>
      </x:c>
      <x:c r="C39" s="73" t="str">
        <x:v>Documentación y base de conocimiento</x:v>
      </x:c>
      <x:c r="D39" s="73" t="str">
        <x:v>02 · Optimización digital</x:v>
      </x:c>
      <x:c r="E39" s="73" t="str">
        <x:v>Inventario</x:v>
      </x:c>
      <x:c r="F39" s="73" t="str">
        <x:v>SUP4-001</x:v>
      </x:c>
      <x:c r="G39" s="73" t="str">
        <x:v>Inventario de procesos y documentos existentes</x:v>
      </x:c>
      <x:c r="H39" s="73" t="str">
        <x:v>Fuente</x:v>
      </x:c>
      <x:c r="I39" s="85" t="n">
        <x:v>6</x:v>
      </x:c>
      <x:c r="J39" s="85" t="str">
        <x:v>Sí</x:v>
      </x:c>
      <x:c r="K39" s="85" t="str">
        <x:v>Sí</x:v>
      </x:c>
      <x:c r="L39" s="85" t="n">
        <x:v>0.5</x:v>
      </x:c>
      <x:c r="M39" s="85" t="str">
        <x:v>Parcial</x:v>
      </x:c>
      <x:c r="N39" s="85" t="n">
        <x:v>0.88</x:v>
      </x:c>
      <x:c r="O39" s="85" t="n">
        <x:v>0.44</x:v>
      </x:c>
      <x:c r="P39" s="85" t="str">
        <x:v>Media</x:v>
      </x:c>
      <x:c r="Q39" s="85" t="n">
        <x:v>1</x:v>
      </x:c>
      <x:c r="R39" s="85" t="n">
        <x:v>1.3</x:v>
      </x:c>
      <x:c r="S39" s="85" t="n">
        <x:v>1.55</x:v>
      </x:c>
      <x:c r="T39" s="85" t="n">
        <x:v>2.64</x:v>
      </x:c>
      <x:c r="U39" s="85" t="n">
        <x:v>3.4320000000000004</x:v>
      </x:c>
      <x:c r="V39" s="85" t="n">
        <x:v>4.0920000000000005</x:v>
      </x:c>
      <x:c r="W39" s="73"/>
      <x:c r="X39" s="73" t="str">
        <x:v>Inventario documental</x:v>
      </x:c>
      <x:c r="Y39" s="73" t="str">
        <x:v>Documentos, responsables y vigencia</x:v>
      </x:c>
      <x:c r="Z39" s="73"/>
      <x:c r="AA39" s="73" t="str">
        <x:v>Preliminar</x:v>
      </x:c>
      <x:c r="AB39" s="78" t="str">
        <x:v>Estimación técnica ISM · Validar</x:v>
      </x:c>
    </x:row>
    <x:row r="40">
      <x:c r="A40" s="77" t="str">
        <x:v>Soporte y Gestión</x:v>
      </x:c>
      <x:c r="B40" s="73" t="str">
        <x:v>SUP-04</x:v>
      </x:c>
      <x:c r="C40" s="73" t="str">
        <x:v>Documentación y base de conocimiento</x:v>
      </x:c>
      <x:c r="D40" s="73" t="str">
        <x:v>02 · Optimización digital</x:v>
      </x:c>
      <x:c r="E40" s="73" t="str">
        <x:v>Diseño</x:v>
      </x:c>
      <x:c r="F40" s="73" t="str">
        <x:v>SUP4-002</x:v>
      </x:c>
      <x:c r="G40" s="73" t="str">
        <x:v>Diseño de estructura documental</x:v>
      </x:c>
      <x:c r="H40" s="73" t="str">
        <x:v>Proyecto</x:v>
      </x:c>
      <x:c r="I40" s="85" t="n">
        <x:v>1</x:v>
      </x:c>
      <x:c r="J40" s="85" t="str">
        <x:v>Sí</x:v>
      </x:c>
      <x:c r="K40" s="85" t="str">
        <x:v>Sí</x:v>
      </x:c>
      <x:c r="L40" s="85" t="n">
        <x:v>1.5</x:v>
      </x:c>
      <x:c r="M40" s="85" t="str">
        <x:v>Parcial</x:v>
      </x:c>
      <x:c r="N40" s="85" t="n">
        <x:v>0.88</x:v>
      </x:c>
      <x:c r="O40" s="85" t="n">
        <x:v>1.32</x:v>
      </x:c>
      <x:c r="P40" s="85" t="str">
        <x:v>Media</x:v>
      </x:c>
      <x:c r="Q40" s="85" t="n">
        <x:v>1</x:v>
      </x:c>
      <x:c r="R40" s="85" t="n">
        <x:v>1.3</x:v>
      </x:c>
      <x:c r="S40" s="85" t="n">
        <x:v>1.55</x:v>
      </x:c>
      <x:c r="T40" s="85" t="n">
        <x:v>1.32</x:v>
      </x:c>
      <x:c r="U40" s="85" t="n">
        <x:v>1.7160000000000002</x:v>
      </x:c>
      <x:c r="V40" s="85" t="n">
        <x:v>2.0460000000000003</x:v>
      </x:c>
      <x:c r="W40" s="73"/>
      <x:c r="X40" s="73" t="str">
        <x:v>Arquitectura documental</x:v>
      </x:c>
      <x:c r="Y40" s="73" t="str">
        <x:v>Categorías, nomenclatura y acceso</x:v>
      </x:c>
      <x:c r="Z40" s="73"/>
      <x:c r="AA40" s="73" t="str">
        <x:v>Preliminar</x:v>
      </x:c>
      <x:c r="AB40" s="78" t="str">
        <x:v>Estimación técnica ISM · Validar</x:v>
      </x:c>
    </x:row>
    <x:row r="41">
      <x:c r="A41" s="77" t="str">
        <x:v>Soporte y Gestión</x:v>
      </x:c>
      <x:c r="B41" s="73" t="str">
        <x:v>SUP-04</x:v>
      </x:c>
      <x:c r="C41" s="73" t="str">
        <x:v>Documentación y base de conocimiento</x:v>
      </x:c>
      <x:c r="D41" s="73" t="str">
        <x:v>02 · Optimización digital</x:v>
      </x:c>
      <x:c r="E41" s="73" t="str">
        <x:v>Gobierno</x:v>
      </x:c>
      <x:c r="F41" s="73" t="str">
        <x:v>SUP4-003</x:v>
      </x:c>
      <x:c r="G41" s="73" t="str">
        <x:v>Definición de control de versiones y aprobación</x:v>
      </x:c>
      <x:c r="H41" s="73" t="str">
        <x:v>Proyecto</x:v>
      </x:c>
      <x:c r="I41" s="85" t="n">
        <x:v>1</x:v>
      </x:c>
      <x:c r="J41" s="85" t="str">
        <x:v>Sí</x:v>
      </x:c>
      <x:c r="K41" s="85" t="str">
        <x:v>Sí</x:v>
      </x:c>
      <x:c r="L41" s="85" t="n">
        <x:v>1.5</x:v>
      </x:c>
      <x:c r="M41" s="85" t="str">
        <x:v>Parcial</x:v>
      </x:c>
      <x:c r="N41" s="85" t="n">
        <x:v>0.88</x:v>
      </x:c>
      <x:c r="O41" s="85" t="n">
        <x:v>1.32</x:v>
      </x:c>
      <x:c r="P41" s="85" t="str">
        <x:v>Alta</x:v>
      </x:c>
      <x:c r="Q41" s="85" t="n">
        <x:v>1</x:v>
      </x:c>
      <x:c r="R41" s="85" t="n">
        <x:v>1.45</x:v>
      </x:c>
      <x:c r="S41" s="85" t="n">
        <x:v>1.8</x:v>
      </x:c>
      <x:c r="T41" s="85" t="n">
        <x:v>1.32</x:v>
      </x:c>
      <x:c r="U41" s="85" t="n">
        <x:v>1.914</x:v>
      </x:c>
      <x:c r="V41" s="85" t="n">
        <x:v>2.3760000000000003</x:v>
      </x:c>
      <x:c r="W41" s="73"/>
      <x:c r="X41" s="73" t="str">
        <x:v>Reglas documentales</x:v>
      </x:c>
      <x:c r="Y41" s="73" t="str">
        <x:v>Estados, responsables y publicación</x:v>
      </x:c>
      <x:c r="Z41" s="73"/>
      <x:c r="AA41" s="73" t="str">
        <x:v>Preliminar</x:v>
      </x:c>
      <x:c r="AB41" s="78" t="str">
        <x:v>Estimación técnica ISM · Validar</x:v>
      </x:c>
    </x:row>
    <x:row r="42">
      <x:c r="A42" s="77" t="str">
        <x:v>Soporte y Gestión</x:v>
      </x:c>
      <x:c r="B42" s="73" t="str">
        <x:v>SUP-04</x:v>
      </x:c>
      <x:c r="C42" s="73" t="str">
        <x:v>Documentación y base de conocimiento</x:v>
      </x:c>
      <x:c r="D42" s="73" t="str">
        <x:v>02 · Optimización digital</x:v>
      </x:c>
      <x:c r="E42" s="73" t="str">
        <x:v>Documentación</x:v>
      </x:c>
      <x:c r="F42" s="73" t="str">
        <x:v>SUP4-004</x:v>
      </x:c>
      <x:c r="G42" s="73" t="str">
        <x:v>Creación de manual de usuario</x:v>
      </x:c>
      <x:c r="H42" s="73" t="str">
        <x:v>Documento</x:v>
      </x:c>
      <x:c r="I42" s="85" t="n">
        <x:v>1</x:v>
      </x:c>
      <x:c r="J42" s="85" t="str">
        <x:v>Sí</x:v>
      </x:c>
      <x:c r="K42" s="85" t="str">
        <x:v>No</x:v>
      </x:c>
      <x:c r="L42" s="85" t="n">
        <x:v>4</x:v>
      </x:c>
      <x:c r="M42" s="85" t="str">
        <x:v>Parcial</x:v>
      </x:c>
      <x:c r="N42" s="85" t="n">
        <x:v>0.88</x:v>
      </x:c>
      <x:c r="O42" s="85" t="n">
        <x:v>3.52</x:v>
      </x:c>
      <x:c r="P42" s="85" t="str">
        <x:v>Alta</x:v>
      </x:c>
      <x:c r="Q42" s="85" t="n">
        <x:v>1</x:v>
      </x:c>
      <x:c r="R42" s="85" t="n">
        <x:v>1.45</x:v>
      </x:c>
      <x:c r="S42" s="85" t="n">
        <x:v>1.8</x:v>
      </x:c>
      <x:c r="T42" s="85" t="n">
        <x:v>3.52</x:v>
      </x:c>
      <x:c r="U42" s="85" t="n">
        <x:v>5.104</x:v>
      </x:c>
      <x:c r="V42" s="85" t="n">
        <x:v>6.336</x:v>
      </x:c>
      <x:c r="W42" s="73"/>
      <x:c r="X42" s="73" t="str">
        <x:v>Manual de usuario</x:v>
      </x:c>
      <x:c r="Y42" s="73" t="str">
        <x:v>Flujos, pantallas y preguntas frecuentes</x:v>
      </x:c>
      <x:c r="Z42" s="73"/>
      <x:c r="AA42" s="73" t="str">
        <x:v>Preliminar</x:v>
      </x:c>
      <x:c r="AB42" s="78" t="str">
        <x:v>Estimación técnica ISM · Validar</x:v>
      </x:c>
    </x:row>
    <x:row r="43">
      <x:c r="A43" s="77" t="str">
        <x:v>Soporte y Gestión</x:v>
      </x:c>
      <x:c r="B43" s="73" t="str">
        <x:v>SUP-04</x:v>
      </x:c>
      <x:c r="C43" s="73" t="str">
        <x:v>Documentación y base de conocimiento</x:v>
      </x:c>
      <x:c r="D43" s="73" t="str">
        <x:v>02 · Optimización digital</x:v>
      </x:c>
      <x:c r="E43" s="73" t="str">
        <x:v>Documentación</x:v>
      </x:c>
      <x:c r="F43" s="73" t="str">
        <x:v>SUP4-005</x:v>
      </x:c>
      <x:c r="G43" s="73" t="str">
        <x:v>Creación de manual técnico</x:v>
      </x:c>
      <x:c r="H43" s="73" t="str">
        <x:v>Documento</x:v>
      </x:c>
      <x:c r="I43" s="85" t="n">
        <x:v>1</x:v>
      </x:c>
      <x:c r="J43" s="85" t="str">
        <x:v>No</x:v>
      </x:c>
      <x:c r="K43" s="85" t="str">
        <x:v>No</x:v>
      </x:c>
      <x:c r="L43" s="85" t="n">
        <x:v>4</x:v>
      </x:c>
      <x:c r="M43" s="85" t="str">
        <x:v>Parcial</x:v>
      </x:c>
      <x:c r="N43" s="85" t="n">
        <x:v>0.88</x:v>
      </x:c>
      <x:c r="O43" s="85" t="n">
        <x:v>3.52</x:v>
      </x:c>
      <x:c r="P43" s="85" t="str">
        <x:v>Alta</x:v>
      </x:c>
      <x:c r="Q43" s="85" t="n">
        <x:v>1</x:v>
      </x:c>
      <x:c r="R43" s="85" t="n">
        <x:v>1.45</x:v>
      </x:c>
      <x:c r="S43" s="85" t="n">
        <x:v>1.8</x:v>
      </x:c>
      <x:c r="T43" s="85" t="n">
        <x:v>0</x:v>
      </x:c>
      <x:c r="U43" s="85" t="n">
        <x:v>0</x:v>
      </x:c>
      <x:c r="V43" s="85" t="n">
        <x:v>0</x:v>
      </x:c>
      <x:c r="W43" s="73"/>
      <x:c r="X43" s="73" t="str">
        <x:v>Manual técnico</x:v>
      </x:c>
      <x:c r="Y43" s="73" t="str">
        <x:v>Arquitectura, instalación y operación</x:v>
      </x:c>
      <x:c r="Z43" s="73"/>
      <x:c r="AA43" s="73" t="str">
        <x:v>Preliminar</x:v>
      </x:c>
      <x:c r="AB43" s="78" t="str">
        <x:v>Estimación técnica ISM · Validar</x:v>
      </x:c>
    </x:row>
    <x:row r="44">
      <x:c r="A44" s="77" t="str">
        <x:v>Soporte y Gestión</x:v>
      </x:c>
      <x:c r="B44" s="73" t="str">
        <x:v>SUP-04</x:v>
      </x:c>
      <x:c r="C44" s="73" t="str">
        <x:v>Documentación y base de conocimiento</x:v>
      </x:c>
      <x:c r="D44" s="73" t="str">
        <x:v>02 · Optimización digital</x:v>
      </x:c>
      <x:c r="E44" s="73" t="str">
        <x:v>Documentación</x:v>
      </x:c>
      <x:c r="F44" s="73" t="str">
        <x:v>SUP4-006</x:v>
      </x:c>
      <x:c r="G44" s="73" t="str">
        <x:v>Creación de procedimiento operativo</x:v>
      </x:c>
      <x:c r="H44" s="73" t="str">
        <x:v>Documento</x:v>
      </x:c>
      <x:c r="I44" s="85" t="n">
        <x:v>3</x:v>
      </x:c>
      <x:c r="J44" s="85" t="str">
        <x:v>Sí</x:v>
      </x:c>
      <x:c r="K44" s="85" t="str">
        <x:v>No</x:v>
      </x:c>
      <x:c r="L44" s="85" t="n">
        <x:v>2</x:v>
      </x:c>
      <x:c r="M44" s="85" t="str">
        <x:v>Parcial</x:v>
      </x:c>
      <x:c r="N44" s="85" t="n">
        <x:v>0.88</x:v>
      </x:c>
      <x:c r="O44" s="85" t="n">
        <x:v>1.76</x:v>
      </x:c>
      <x:c r="P44" s="85" t="str">
        <x:v>Media</x:v>
      </x:c>
      <x:c r="Q44" s="85" t="n">
        <x:v>1</x:v>
      </x:c>
      <x:c r="R44" s="85" t="n">
        <x:v>1.3</x:v>
      </x:c>
      <x:c r="S44" s="85" t="n">
        <x:v>1.55</x:v>
      </x:c>
      <x:c r="T44" s="85" t="n">
        <x:v>5.28</x:v>
      </x:c>
      <x:c r="U44" s="85" t="n">
        <x:v>6.864000000000001</x:v>
      </x:c>
      <x:c r="V44" s="85" t="n">
        <x:v>8.184000000000001</x:v>
      </x:c>
      <x:c r="W44" s="73"/>
      <x:c r="X44" s="73" t="str">
        <x:v>Procedimientos</x:v>
      </x:c>
      <x:c r="Y44" s="73" t="str">
        <x:v>Objetivo, pasos, responsables y evidencia</x:v>
      </x:c>
      <x:c r="Z44" s="73"/>
      <x:c r="AA44" s="73" t="str">
        <x:v>Preliminar</x:v>
      </x:c>
      <x:c r="AB44" s="78" t="str">
        <x:v>Estimación técnica ISM · Validar</x:v>
      </x:c>
    </x:row>
    <x:row r="45">
      <x:c r="A45" s="77" t="str">
        <x:v>Soporte y Gestión</x:v>
      </x:c>
      <x:c r="B45" s="73" t="str">
        <x:v>SUP-04</x:v>
      </x:c>
      <x:c r="C45" s="73" t="str">
        <x:v>Documentación y base de conocimiento</x:v>
      </x:c>
      <x:c r="D45" s="73" t="str">
        <x:v>02 · Optimización digital</x:v>
      </x:c>
      <x:c r="E45" s="73" t="str">
        <x:v>Documentación</x:v>
      </x:c>
      <x:c r="F45" s="73" t="str">
        <x:v>SUP4-007</x:v>
      </x:c>
      <x:c r="G45" s="73" t="str">
        <x:v>Creación de runbook</x:v>
      </x:c>
      <x:c r="H45" s="73" t="str">
        <x:v>Documento</x:v>
      </x:c>
      <x:c r="I45" s="85" t="n">
        <x:v>2</x:v>
      </x:c>
      <x:c r="J45" s="85" t="str">
        <x:v>Sí</x:v>
      </x:c>
      <x:c r="K45" s="85" t="str">
        <x:v>No</x:v>
      </x:c>
      <x:c r="L45" s="85" t="n">
        <x:v>2.5</x:v>
      </x:c>
      <x:c r="M45" s="85" t="str">
        <x:v>Parcial</x:v>
      </x:c>
      <x:c r="N45" s="85" t="n">
        <x:v>0.88</x:v>
      </x:c>
      <x:c r="O45" s="85" t="n">
        <x:v>2.2</x:v>
      </x:c>
      <x:c r="P45" s="85" t="str">
        <x:v>Alta</x:v>
      </x:c>
      <x:c r="Q45" s="85" t="n">
        <x:v>1</x:v>
      </x:c>
      <x:c r="R45" s="85" t="n">
        <x:v>1.45</x:v>
      </x:c>
      <x:c r="S45" s="85" t="n">
        <x:v>1.8</x:v>
      </x:c>
      <x:c r="T45" s="85" t="n">
        <x:v>4.4</x:v>
      </x:c>
      <x:c r="U45" s="85" t="n">
        <x:v>6.38</x:v>
      </x:c>
      <x:c r="V45" s="85" t="n">
        <x:v>7.920000000000001</x:v>
      </x:c>
      <x:c r="W45" s="73"/>
      <x:c r="X45" s="73" t="str">
        <x:v>Runbooks</x:v>
      </x:c>
      <x:c r="Y45" s="73" t="str">
        <x:v>Eventos frecuentes, diagnóstico y escalamiento</x:v>
      </x:c>
      <x:c r="Z45" s="73"/>
      <x:c r="AA45" s="73" t="str">
        <x:v>Preliminar</x:v>
      </x:c>
      <x:c r="AB45" s="78" t="str">
        <x:v>Estimación técnica ISM · Validar</x:v>
      </x:c>
    </x:row>
    <x:row r="46">
      <x:c r="A46" s="77" t="str">
        <x:v>Soporte y Gestión</x:v>
      </x:c>
      <x:c r="B46" s="73" t="str">
        <x:v>SUP-04</x:v>
      </x:c>
      <x:c r="C46" s="73" t="str">
        <x:v>Documentación y base de conocimiento</x:v>
      </x:c>
      <x:c r="D46" s="73" t="str">
        <x:v>02 · Optimización digital</x:v>
      </x:c>
      <x:c r="E46" s="73" t="str">
        <x:v>Contenido</x:v>
      </x:c>
      <x:c r="F46" s="73" t="str">
        <x:v>SUP4-008</x:v>
      </x:c>
      <x:c r="G46" s="73" t="str">
        <x:v>Creación de artículo de conocimiento</x:v>
      </x:c>
      <x:c r="H46" s="73" t="str">
        <x:v>Artículo</x:v>
      </x:c>
      <x:c r="I46" s="85" t="n">
        <x:v>5</x:v>
      </x:c>
      <x:c r="J46" s="85" t="str">
        <x:v>Sí</x:v>
      </x:c>
      <x:c r="K46" s="85" t="str">
        <x:v>No</x:v>
      </x:c>
      <x:c r="L46" s="85" t="n">
        <x:v>0.75</x:v>
      </x:c>
      <x:c r="M46" s="85" t="str">
        <x:v>Parcial</x:v>
      </x:c>
      <x:c r="N46" s="85" t="n">
        <x:v>0.88</x:v>
      </x:c>
      <x:c r="O46" s="85" t="n">
        <x:v>0.66</x:v>
      </x:c>
      <x:c r="P46" s="85" t="str">
        <x:v>Media</x:v>
      </x:c>
      <x:c r="Q46" s="85" t="n">
        <x:v>1</x:v>
      </x:c>
      <x:c r="R46" s="85" t="n">
        <x:v>1.3</x:v>
      </x:c>
      <x:c r="S46" s="85" t="n">
        <x:v>1.55</x:v>
      </x:c>
      <x:c r="T46" s="85" t="n">
        <x:v>3.3000000000000003</x:v>
      </x:c>
      <x:c r="U46" s="85" t="n">
        <x:v>4.290000000000001</x:v>
      </x:c>
      <x:c r="V46" s="85" t="n">
        <x:v>5.115</x:v>
      </x:c>
      <x:c r="W46" s="73"/>
      <x:c r="X46" s="73" t="str">
        <x:v>Artículos</x:v>
      </x:c>
      <x:c r="Y46" s="73" t="str">
        <x:v>Problema, solución y palabras clave</x:v>
      </x:c>
      <x:c r="Z46" s="73"/>
      <x:c r="AA46" s="73" t="str">
        <x:v>Preliminar</x:v>
      </x:c>
      <x:c r="AB46" s="78" t="str">
        <x:v>Estimación técnica ISM · Validar</x:v>
      </x:c>
    </x:row>
    <x:row r="47">
      <x:c r="A47" s="77" t="str">
        <x:v>Soporte y Gestión</x:v>
      </x:c>
      <x:c r="B47" s="73" t="str">
        <x:v>SUP-04</x:v>
      </x:c>
      <x:c r="C47" s="73" t="str">
        <x:v>Documentación y base de conocimiento</x:v>
      </x:c>
      <x:c r="D47" s="73" t="str">
        <x:v>02 · Optimización digital</x:v>
      </x:c>
      <x:c r="E47" s="73" t="str">
        <x:v>Publicación</x:v>
      </x:c>
      <x:c r="F47" s="73" t="str">
        <x:v>SUP4-009</x:v>
      </x:c>
      <x:c r="G47" s="73" t="str">
        <x:v>Configuración de repositorio o portal</x:v>
      </x:c>
      <x:c r="H47" s="73" t="str">
        <x:v>Entorno</x:v>
      </x:c>
      <x:c r="I47" s="85" t="n">
        <x:v>1</x:v>
      </x:c>
      <x:c r="J47" s="85" t="str">
        <x:v>No</x:v>
      </x:c>
      <x:c r="K47" s="85" t="str">
        <x:v>No</x:v>
      </x:c>
      <x:c r="L47" s="85" t="n">
        <x:v>2</x:v>
      </x:c>
      <x:c r="M47" s="85" t="str">
        <x:v>Parcial</x:v>
      </x:c>
      <x:c r="N47" s="85" t="n">
        <x:v>0.88</x:v>
      </x:c>
      <x:c r="O47" s="85" t="n">
        <x:v>1.76</x:v>
      </x:c>
      <x:c r="P47" s="85" t="str">
        <x:v>Media</x:v>
      </x:c>
      <x:c r="Q47" s="85" t="n">
        <x:v>1</x:v>
      </x:c>
      <x:c r="R47" s="85" t="n">
        <x:v>1.3</x:v>
      </x:c>
      <x:c r="S47" s="85" t="n">
        <x:v>1.55</x:v>
      </x:c>
      <x:c r="T47" s="85" t="n">
        <x:v>0</x:v>
      </x:c>
      <x:c r="U47" s="85" t="n">
        <x:v>0</x:v>
      </x:c>
      <x:c r="V47" s="85" t="n">
        <x:v>0</x:v>
      </x:c>
      <x:c r="W47" s="73"/>
      <x:c r="X47" s="73" t="str">
        <x:v>Base publicada</x:v>
      </x:c>
      <x:c r="Y47" s="73" t="str">
        <x:v>Estructura, permisos y búsqueda</x:v>
      </x:c>
      <x:c r="Z47" s="73"/>
      <x:c r="AA47" s="73" t="str">
        <x:v>Preliminar</x:v>
      </x:c>
      <x:c r="AB47" s="78" t="str">
        <x:v>Estimación técnica ISM · Validar</x:v>
      </x:c>
    </x:row>
    <x:row r="48">
      <x:c r="A48" s="77" t="str">
        <x:v>Soporte y Gestión</x:v>
      </x:c>
      <x:c r="B48" s="73" t="str">
        <x:v>SUP-04</x:v>
      </x:c>
      <x:c r="C48" s="73" t="str">
        <x:v>Documentación y base de conocimiento</x:v>
      </x:c>
      <x:c r="D48" s="73" t="str">
        <x:v>02 · Optimización digital</x:v>
      </x:c>
      <x:c r="E48" s="73" t="str">
        <x:v>Calidad</x:v>
      </x:c>
      <x:c r="F48" s="73" t="str">
        <x:v>SUP4-010</x:v>
      </x:c>
      <x:c r="G48" s="73" t="str">
        <x:v>Revisión técnica y funcional</x:v>
      </x:c>
      <x:c r="H48" s="73" t="str">
        <x:v>Documento</x:v>
      </x:c>
      <x:c r="I48" s="85" t="n">
        <x:v>5</x:v>
      </x:c>
      <x:c r="J48" s="85" t="str">
        <x:v>Sí</x:v>
      </x:c>
      <x:c r="K48" s="85" t="str">
        <x:v>Sí</x:v>
      </x:c>
      <x:c r="L48" s="85" t="n">
        <x:v>0.5</x:v>
      </x:c>
      <x:c r="M48" s="85" t="str">
        <x:v>Parcial</x:v>
      </x:c>
      <x:c r="N48" s="85" t="n">
        <x:v>0.88</x:v>
      </x:c>
      <x:c r="O48" s="85" t="n">
        <x:v>0.44</x:v>
      </x:c>
      <x:c r="P48" s="85" t="str">
        <x:v>Media</x:v>
      </x:c>
      <x:c r="Q48" s="85" t="n">
        <x:v>1</x:v>
      </x:c>
      <x:c r="R48" s="85" t="n">
        <x:v>1.3</x:v>
      </x:c>
      <x:c r="S48" s="85" t="n">
        <x:v>1.55</x:v>
      </x:c>
      <x:c r="T48" s="85" t="n">
        <x:v>2.2</x:v>
      </x:c>
      <x:c r="U48" s="85" t="n">
        <x:v>2.8600000000000003</x:v>
      </x:c>
      <x:c r="V48" s="85" t="n">
        <x:v>3.4100000000000006</x:v>
      </x:c>
      <x:c r="W48" s="73"/>
      <x:c r="X48" s="73" t="str">
        <x:v>Documentos revisados</x:v>
      </x:c>
      <x:c r="Y48" s="73" t="str">
        <x:v>Exactitud, claridad y vigencia</x:v>
      </x:c>
      <x:c r="Z48" s="73"/>
      <x:c r="AA48" s="73" t="str">
        <x:v>Preliminar</x:v>
      </x:c>
      <x:c r="AB48" s="78" t="str">
        <x:v>Estimación técnica ISM · Validar</x:v>
      </x:c>
    </x:row>
    <x:row r="49">
      <x:c r="A49" s="80" t="str">
        <x:v>Soporte y Gestión</x:v>
      </x:c>
      <x:c r="B49" s="81" t="str">
        <x:v>SUP-04</x:v>
      </x:c>
      <x:c r="C49" s="81" t="str">
        <x:v>Documentación y base de conocimiento</x:v>
      </x:c>
      <x:c r="D49" s="81" t="str">
        <x:v>02 · Optimización digital</x:v>
      </x:c>
      <x:c r="E49" s="81" t="str">
        <x:v>Entrega</x:v>
      </x:c>
      <x:c r="F49" s="81" t="str">
        <x:v>SUP4-011</x:v>
      </x:c>
      <x:c r="G49" s="81" t="str">
        <x:v>Capacitación y transferencia</x:v>
      </x:c>
      <x:c r="H49" s="81" t="str">
        <x:v>Sesión</x:v>
      </x:c>
      <x:c r="I49" s="101" t="n">
        <x:v>1</x:v>
      </x:c>
      <x:c r="J49" s="101" t="str">
        <x:v>Sí</x:v>
      </x:c>
      <x:c r="K49" s="101" t="str">
        <x:v>Sí</x:v>
      </x:c>
      <x:c r="L49" s="101" t="n">
        <x:v>1.5</x:v>
      </x:c>
      <x:c r="M49" s="101" t="str">
        <x:v>Parcial</x:v>
      </x:c>
      <x:c r="N49" s="101" t="n">
        <x:v>0.88</x:v>
      </x:c>
      <x:c r="O49" s="101" t="n">
        <x:v>1.32</x:v>
      </x:c>
      <x:c r="P49" s="101" t="str">
        <x:v>Media</x:v>
      </x:c>
      <x:c r="Q49" s="101" t="n">
        <x:v>1</x:v>
      </x:c>
      <x:c r="R49" s="101" t="n">
        <x:v>1.3</x:v>
      </x:c>
      <x:c r="S49" s="101" t="n">
        <x:v>1.55</x:v>
      </x:c>
      <x:c r="T49" s="101" t="n">
        <x:v>1.32</x:v>
      </x:c>
      <x:c r="U49" s="101" t="n">
        <x:v>1.7160000000000002</x:v>
      </x:c>
      <x:c r="V49" s="101" t="n">
        <x:v>2.0460000000000003</x:v>
      </x:c>
      <x:c r="W49" s="81"/>
      <x:c r="X49" s="81" t="str">
        <x:v>Transferencia realizada</x:v>
      </x:c>
      <x:c r="Y49" s="81" t="str">
        <x:v>Uso, mantenimiento y responsabilidades</x:v>
      </x:c>
      <x:c r="Z49" s="81"/>
      <x:c r="AA49" s="81" t="str">
        <x:v>Preliminar</x:v>
      </x:c>
      <x:c r="AB49" s="82" t="str">
        <x:v>Estimación técnica ISM · Validar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807c68ac26714d6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5" hidden="0" customWidth="1"/>
    <x:col min="5" max="5" width="15" hidden="0" customWidth="1"/>
    <x:col min="6" max="6" width="3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24" hidden="0" customWidth="1"/>
    <x:col min="13" max="13" width="18" hidden="0" customWidth="1"/>
    <x:col min="14" max="14" width="18" hidden="0" customWidth="1"/>
  </x:cols>
  <x:sheetData>
    <x:row r="1">
      <x:c r="A1" s="5" t="str">
        <x:v>MATRIZ DE CALIBRACIÓN DE HORAS REALES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5" t="str">
        <x:v>Registre proyectos reales para comparar la estimación con el esfuerzo ejecutado. Los ajustes aprobados deben actualizarse luego en el Catálogo Maestro.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5">
      <x:c r="A5" s="20" t="str">
        <x:v>Fecha</x:v>
      </x:c>
      <x:c r="B5" s="21" t="str">
        <x:v>Proyecto</x:v>
      </x:c>
      <x:c r="C5" s="21" t="str">
        <x:v>Cliente</x:v>
      </x:c>
      <x:c r="D5" s="21" t="str">
        <x:v>Código servicio</x:v>
      </x:c>
      <x:c r="E5" s="21" t="str">
        <x:v>Código actividad</x:v>
      </x:c>
      <x:c r="F5" s="21" t="str">
        <x:v>Descripción / alcance</x:v>
      </x:c>
      <x:c r="G5" s="21" t="str">
        <x:v>HH estimadas</x:v>
      </x:c>
      <x:c r="H5" s="21" t="str">
        <x:v>HH reales</x:v>
      </x:c>
      <x:c r="I5" s="21" t="str">
        <x:v>Diferencia HH</x:v>
      </x:c>
      <x:c r="J5" s="21" t="str">
        <x:v>Desviación %</x:v>
      </x:c>
      <x:c r="K5" s="21" t="str">
        <x:v>Motivo de desviación</x:v>
      </x:c>
      <x:c r="L5" s="21" t="str">
        <x:v>Ajuste propuesto</x:v>
      </x:c>
      <x:c r="M5" s="21" t="str">
        <x:v>Responsable</x:v>
      </x:c>
      <x:c r="N5" s="22" t="str">
        <x:v>Estado</x:v>
      </x:c>
    </x:row>
    <x:row r="6">
      <x:c r="A6" s="147"/>
      <x:c r="B6" s="75"/>
      <x:c r="C6" s="75"/>
      <x:c r="D6" s="75"/>
      <x:c r="E6" s="75"/>
      <x:c r="F6" s="75"/>
      <x:c r="G6" s="84"/>
      <x:c r="H6" s="84"/>
      <x:c r="I6" s="84" t="str">
        <x:f>IF(OR(G6="",H6=""),"",H6-G6)</x:f>
      </x:c>
      <x:c r="J6" s="153" t="str">
        <x:f>IF(OR(G6="",G6=0,H6=""),"",I6/G6)</x:f>
      </x:c>
      <x:c r="K6" s="75"/>
      <x:c r="L6" s="75"/>
      <x:c r="M6" s="75"/>
      <x:c r="N6" s="76" t="str">
        <x:v>Pendiente</x:v>
      </x:c>
    </x:row>
    <x:row r="7">
      <x:c r="A7" s="148"/>
      <x:c r="B7" s="73"/>
      <x:c r="C7" s="73"/>
      <x:c r="D7" s="73"/>
      <x:c r="E7" s="73"/>
      <x:c r="F7" s="73"/>
      <x:c r="G7" s="85"/>
      <x:c r="H7" s="85"/>
      <x:c r="I7" s="85" t="str">
        <x:f>IF(OR(G7="",H7=""),"",H7-G7)</x:f>
      </x:c>
      <x:c r="J7" s="79" t="str">
        <x:f>IF(OR(G7="",G7=0,H7=""),"",I7/G7)</x:f>
      </x:c>
      <x:c r="K7" s="73"/>
      <x:c r="L7" s="73"/>
      <x:c r="M7" s="73"/>
      <x:c r="N7" s="78" t="str">
        <x:v>Pendiente</x:v>
      </x:c>
    </x:row>
    <x:row r="8">
      <x:c r="A8" s="148"/>
      <x:c r="B8" s="73"/>
      <x:c r="C8" s="73"/>
      <x:c r="D8" s="73"/>
      <x:c r="E8" s="73"/>
      <x:c r="F8" s="73"/>
      <x:c r="G8" s="85"/>
      <x:c r="H8" s="85"/>
      <x:c r="I8" s="85" t="str">
        <x:f>IF(OR(G8="",H8=""),"",H8-G8)</x:f>
      </x:c>
      <x:c r="J8" s="79" t="str">
        <x:f>IF(OR(G8="",G8=0,H8=""),"",I8/G8)</x:f>
      </x:c>
      <x:c r="K8" s="73"/>
      <x:c r="L8" s="73"/>
      <x:c r="M8" s="73"/>
      <x:c r="N8" s="78" t="str">
        <x:v>Pendiente</x:v>
      </x:c>
    </x:row>
    <x:row r="9">
      <x:c r="A9" s="148"/>
      <x:c r="B9" s="73"/>
      <x:c r="C9" s="73"/>
      <x:c r="D9" s="73"/>
      <x:c r="E9" s="73"/>
      <x:c r="F9" s="73"/>
      <x:c r="G9" s="85"/>
      <x:c r="H9" s="85"/>
      <x:c r="I9" s="85" t="str">
        <x:f>IF(OR(G9="",H9=""),"",H9-G9)</x:f>
      </x:c>
      <x:c r="J9" s="79" t="str">
        <x:f>IF(OR(G9="",G9=0,H9=""),"",I9/G9)</x:f>
      </x:c>
      <x:c r="K9" s="73"/>
      <x:c r="L9" s="73"/>
      <x:c r="M9" s="73"/>
      <x:c r="N9" s="78" t="str">
        <x:v>Pendiente</x:v>
      </x:c>
    </x:row>
    <x:row r="10">
      <x:c r="A10" s="148"/>
      <x:c r="B10" s="73"/>
      <x:c r="C10" s="73"/>
      <x:c r="D10" s="73"/>
      <x:c r="E10" s="73"/>
      <x:c r="F10" s="73"/>
      <x:c r="G10" s="85"/>
      <x:c r="H10" s="85"/>
      <x:c r="I10" s="85" t="str">
        <x:f>IF(OR(G10="",H10=""),"",H10-G10)</x:f>
      </x:c>
      <x:c r="J10" s="79" t="str">
        <x:f>IF(OR(G10="",G10=0,H10=""),"",I10/G10)</x:f>
      </x:c>
      <x:c r="K10" s="73"/>
      <x:c r="L10" s="73"/>
      <x:c r="M10" s="73"/>
      <x:c r="N10" s="78" t="str">
        <x:v>Pendiente</x:v>
      </x:c>
    </x:row>
    <x:row r="11">
      <x:c r="A11" s="148"/>
      <x:c r="B11" s="73"/>
      <x:c r="C11" s="73"/>
      <x:c r="D11" s="73"/>
      <x:c r="E11" s="73"/>
      <x:c r="F11" s="73"/>
      <x:c r="G11" s="85"/>
      <x:c r="H11" s="85"/>
      <x:c r="I11" s="85" t="str">
        <x:f>IF(OR(G11="",H11=""),"",H11-G11)</x:f>
      </x:c>
      <x:c r="J11" s="79" t="str">
        <x:f>IF(OR(G11="",G11=0,H11=""),"",I11/G11)</x:f>
      </x:c>
      <x:c r="K11" s="73"/>
      <x:c r="L11" s="73"/>
      <x:c r="M11" s="73"/>
      <x:c r="N11" s="78" t="str">
        <x:v>Pendiente</x:v>
      </x:c>
    </x:row>
    <x:row r="12">
      <x:c r="A12" s="148"/>
      <x:c r="B12" s="73"/>
      <x:c r="C12" s="73"/>
      <x:c r="D12" s="73"/>
      <x:c r="E12" s="73"/>
      <x:c r="F12" s="73"/>
      <x:c r="G12" s="85"/>
      <x:c r="H12" s="85"/>
      <x:c r="I12" s="85" t="str">
        <x:f>IF(OR(G12="",H12=""),"",H12-G12)</x:f>
      </x:c>
      <x:c r="J12" s="79" t="str">
        <x:f>IF(OR(G12="",G12=0,H12=""),"",I12/G12)</x:f>
      </x:c>
      <x:c r="K12" s="73"/>
      <x:c r="L12" s="73"/>
      <x:c r="M12" s="73"/>
      <x:c r="N12" s="78" t="str">
        <x:v>Pendiente</x:v>
      </x:c>
    </x:row>
    <x:row r="13">
      <x:c r="A13" s="148"/>
      <x:c r="B13" s="73"/>
      <x:c r="C13" s="73"/>
      <x:c r="D13" s="73"/>
      <x:c r="E13" s="73"/>
      <x:c r="F13" s="73"/>
      <x:c r="G13" s="85"/>
      <x:c r="H13" s="85"/>
      <x:c r="I13" s="85" t="str">
        <x:f>IF(OR(G13="",H13=""),"",H13-G13)</x:f>
      </x:c>
      <x:c r="J13" s="79" t="str">
        <x:f>IF(OR(G13="",G13=0,H13=""),"",I13/G13)</x:f>
      </x:c>
      <x:c r="K13" s="73"/>
      <x:c r="L13" s="73"/>
      <x:c r="M13" s="73"/>
      <x:c r="N13" s="78" t="str">
        <x:v>Pendiente</x:v>
      </x:c>
    </x:row>
    <x:row r="14">
      <x:c r="A14" s="148"/>
      <x:c r="B14" s="73"/>
      <x:c r="C14" s="73"/>
      <x:c r="D14" s="73"/>
      <x:c r="E14" s="73"/>
      <x:c r="F14" s="73"/>
      <x:c r="G14" s="85"/>
      <x:c r="H14" s="85"/>
      <x:c r="I14" s="85" t="str">
        <x:f>IF(OR(G14="",H14=""),"",H14-G14)</x:f>
      </x:c>
      <x:c r="J14" s="79" t="str">
        <x:f>IF(OR(G14="",G14=0,H14=""),"",I14/G14)</x:f>
      </x:c>
      <x:c r="K14" s="73"/>
      <x:c r="L14" s="73"/>
      <x:c r="M14" s="73"/>
      <x:c r="N14" s="78" t="str">
        <x:v>Pendiente</x:v>
      </x:c>
    </x:row>
    <x:row r="15">
      <x:c r="A15" s="148"/>
      <x:c r="B15" s="73"/>
      <x:c r="C15" s="73"/>
      <x:c r="D15" s="73"/>
      <x:c r="E15" s="73"/>
      <x:c r="F15" s="73"/>
      <x:c r="G15" s="85"/>
      <x:c r="H15" s="85"/>
      <x:c r="I15" s="85" t="str">
        <x:f>IF(OR(G15="",H15=""),"",H15-G15)</x:f>
      </x:c>
      <x:c r="J15" s="79" t="str">
        <x:f>IF(OR(G15="",G15=0,H15=""),"",I15/G15)</x:f>
      </x:c>
      <x:c r="K15" s="73"/>
      <x:c r="L15" s="73"/>
      <x:c r="M15" s="73"/>
      <x:c r="N15" s="78" t="str">
        <x:v>Pendiente</x:v>
      </x:c>
    </x:row>
    <x:row r="16">
      <x:c r="A16" s="148"/>
      <x:c r="B16" s="73"/>
      <x:c r="C16" s="73"/>
      <x:c r="D16" s="73"/>
      <x:c r="E16" s="73"/>
      <x:c r="F16" s="73"/>
      <x:c r="G16" s="85"/>
      <x:c r="H16" s="85"/>
      <x:c r="I16" s="85" t="str">
        <x:f>IF(OR(G16="",H16=""),"",H16-G16)</x:f>
      </x:c>
      <x:c r="J16" s="79" t="str">
        <x:f>IF(OR(G16="",G16=0,H16=""),"",I16/G16)</x:f>
      </x:c>
      <x:c r="K16" s="73"/>
      <x:c r="L16" s="73"/>
      <x:c r="M16" s="73"/>
      <x:c r="N16" s="78" t="str">
        <x:v>Pendiente</x:v>
      </x:c>
    </x:row>
    <x:row r="17">
      <x:c r="A17" s="148"/>
      <x:c r="B17" s="73"/>
      <x:c r="C17" s="73"/>
      <x:c r="D17" s="73"/>
      <x:c r="E17" s="73"/>
      <x:c r="F17" s="73"/>
      <x:c r="G17" s="85"/>
      <x:c r="H17" s="85"/>
      <x:c r="I17" s="85" t="str">
        <x:f>IF(OR(G17="",H17=""),"",H17-G17)</x:f>
      </x:c>
      <x:c r="J17" s="79" t="str">
        <x:f>IF(OR(G17="",G17=0,H17=""),"",I17/G17)</x:f>
      </x:c>
      <x:c r="K17" s="73"/>
      <x:c r="L17" s="73"/>
      <x:c r="M17" s="73"/>
      <x:c r="N17" s="78" t="str">
        <x:v>Pendiente</x:v>
      </x:c>
    </x:row>
    <x:row r="18">
      <x:c r="A18" s="148"/>
      <x:c r="B18" s="73"/>
      <x:c r="C18" s="73"/>
      <x:c r="D18" s="73"/>
      <x:c r="E18" s="73"/>
      <x:c r="F18" s="73"/>
      <x:c r="G18" s="85"/>
      <x:c r="H18" s="85"/>
      <x:c r="I18" s="85" t="str">
        <x:f>IF(OR(G18="",H18=""),"",H18-G18)</x:f>
      </x:c>
      <x:c r="J18" s="79" t="str">
        <x:f>IF(OR(G18="",G18=0,H18=""),"",I18/G18)</x:f>
      </x:c>
      <x:c r="K18" s="73"/>
      <x:c r="L18" s="73"/>
      <x:c r="M18" s="73"/>
      <x:c r="N18" s="78" t="str">
        <x:v>Pendiente</x:v>
      </x:c>
    </x:row>
    <x:row r="19">
      <x:c r="A19" s="148"/>
      <x:c r="B19" s="73"/>
      <x:c r="C19" s="73"/>
      <x:c r="D19" s="73"/>
      <x:c r="E19" s="73"/>
      <x:c r="F19" s="73"/>
      <x:c r="G19" s="85"/>
      <x:c r="H19" s="85"/>
      <x:c r="I19" s="85" t="str">
        <x:f>IF(OR(G19="",H19=""),"",H19-G19)</x:f>
      </x:c>
      <x:c r="J19" s="79" t="str">
        <x:f>IF(OR(G19="",G19=0,H19=""),"",I19/G19)</x:f>
      </x:c>
      <x:c r="K19" s="73"/>
      <x:c r="L19" s="73"/>
      <x:c r="M19" s="73"/>
      <x:c r="N19" s="78" t="str">
        <x:v>Pendiente</x:v>
      </x:c>
    </x:row>
    <x:row r="20">
      <x:c r="A20" s="148"/>
      <x:c r="B20" s="73"/>
      <x:c r="C20" s="73"/>
      <x:c r="D20" s="73"/>
      <x:c r="E20" s="73"/>
      <x:c r="F20" s="73"/>
      <x:c r="G20" s="85"/>
      <x:c r="H20" s="85"/>
      <x:c r="I20" s="85" t="str">
        <x:f>IF(OR(G20="",H20=""),"",H20-G20)</x:f>
      </x:c>
      <x:c r="J20" s="79" t="str">
        <x:f>IF(OR(G20="",G20=0,H20=""),"",I20/G20)</x:f>
      </x:c>
      <x:c r="K20" s="73"/>
      <x:c r="L20" s="73"/>
      <x:c r="M20" s="73"/>
      <x:c r="N20" s="78" t="str">
        <x:v>Pendiente</x:v>
      </x:c>
    </x:row>
    <x:row r="21">
      <x:c r="A21" s="148"/>
      <x:c r="B21" s="73"/>
      <x:c r="C21" s="73"/>
      <x:c r="D21" s="73"/>
      <x:c r="E21" s="73"/>
      <x:c r="F21" s="73"/>
      <x:c r="G21" s="85"/>
      <x:c r="H21" s="85"/>
      <x:c r="I21" s="85" t="str">
        <x:f>IF(OR(G21="",H21=""),"",H21-G21)</x:f>
      </x:c>
      <x:c r="J21" s="79" t="str">
        <x:f>IF(OR(G21="",G21=0,H21=""),"",I21/G21)</x:f>
      </x:c>
      <x:c r="K21" s="73"/>
      <x:c r="L21" s="73"/>
      <x:c r="M21" s="73"/>
      <x:c r="N21" s="78" t="str">
        <x:v>Pendiente</x:v>
      </x:c>
    </x:row>
    <x:row r="22">
      <x:c r="A22" s="148"/>
      <x:c r="B22" s="73"/>
      <x:c r="C22" s="73"/>
      <x:c r="D22" s="73"/>
      <x:c r="E22" s="73"/>
      <x:c r="F22" s="73"/>
      <x:c r="G22" s="85"/>
      <x:c r="H22" s="85"/>
      <x:c r="I22" s="85" t="str">
        <x:f>IF(OR(G22="",H22=""),"",H22-G22)</x:f>
      </x:c>
      <x:c r="J22" s="79" t="str">
        <x:f>IF(OR(G22="",G22=0,H22=""),"",I22/G22)</x:f>
      </x:c>
      <x:c r="K22" s="73"/>
      <x:c r="L22" s="73"/>
      <x:c r="M22" s="73"/>
      <x:c r="N22" s="78" t="str">
        <x:v>Pendiente</x:v>
      </x:c>
    </x:row>
    <x:row r="23">
      <x:c r="A23" s="148"/>
      <x:c r="B23" s="73"/>
      <x:c r="C23" s="73"/>
      <x:c r="D23" s="73"/>
      <x:c r="E23" s="73"/>
      <x:c r="F23" s="73"/>
      <x:c r="G23" s="85"/>
      <x:c r="H23" s="85"/>
      <x:c r="I23" s="85" t="str">
        <x:f>IF(OR(G23="",H23=""),"",H23-G23)</x:f>
      </x:c>
      <x:c r="J23" s="79" t="str">
        <x:f>IF(OR(G23="",G23=0,H23=""),"",I23/G23)</x:f>
      </x:c>
      <x:c r="K23" s="73"/>
      <x:c r="L23" s="73"/>
      <x:c r="M23" s="73"/>
      <x:c r="N23" s="78" t="str">
        <x:v>Pendiente</x:v>
      </x:c>
    </x:row>
    <x:row r="24">
      <x:c r="A24" s="148"/>
      <x:c r="B24" s="73"/>
      <x:c r="C24" s="73"/>
      <x:c r="D24" s="73"/>
      <x:c r="E24" s="73"/>
      <x:c r="F24" s="73"/>
      <x:c r="G24" s="85"/>
      <x:c r="H24" s="85"/>
      <x:c r="I24" s="85" t="str">
        <x:f>IF(OR(G24="",H24=""),"",H24-G24)</x:f>
      </x:c>
      <x:c r="J24" s="79" t="str">
        <x:f>IF(OR(G24="",G24=0,H24=""),"",I24/G24)</x:f>
      </x:c>
      <x:c r="K24" s="73"/>
      <x:c r="L24" s="73"/>
      <x:c r="M24" s="73"/>
      <x:c r="N24" s="78" t="str">
        <x:v>Pendiente</x:v>
      </x:c>
    </x:row>
    <x:row r="25">
      <x:c r="A25" s="148"/>
      <x:c r="B25" s="73"/>
      <x:c r="C25" s="73"/>
      <x:c r="D25" s="73"/>
      <x:c r="E25" s="73"/>
      <x:c r="F25" s="73"/>
      <x:c r="G25" s="85"/>
      <x:c r="H25" s="85"/>
      <x:c r="I25" s="85" t="str">
        <x:f>IF(OR(G25="",H25=""),"",H25-G25)</x:f>
      </x:c>
      <x:c r="J25" s="79" t="str">
        <x:f>IF(OR(G25="",G25=0,H25=""),"",I25/G25)</x:f>
      </x:c>
      <x:c r="K25" s="73"/>
      <x:c r="L25" s="73"/>
      <x:c r="M25" s="73"/>
      <x:c r="N25" s="78" t="str">
        <x:v>Pendiente</x:v>
      </x:c>
    </x:row>
    <x:row r="26">
      <x:c r="A26" s="148"/>
      <x:c r="B26" s="73"/>
      <x:c r="C26" s="73"/>
      <x:c r="D26" s="73"/>
      <x:c r="E26" s="73"/>
      <x:c r="F26" s="73"/>
      <x:c r="G26" s="85"/>
      <x:c r="H26" s="85"/>
      <x:c r="I26" s="85" t="str">
        <x:f>IF(OR(G26="",H26=""),"",H26-G26)</x:f>
      </x:c>
      <x:c r="J26" s="79" t="str">
        <x:f>IF(OR(G26="",G26=0,H26=""),"",I26/G26)</x:f>
      </x:c>
      <x:c r="K26" s="73"/>
      <x:c r="L26" s="73"/>
      <x:c r="M26" s="73"/>
      <x:c r="N26" s="78" t="str">
        <x:v>Pendiente</x:v>
      </x:c>
    </x:row>
    <x:row r="27">
      <x:c r="A27" s="148"/>
      <x:c r="B27" s="73"/>
      <x:c r="C27" s="73"/>
      <x:c r="D27" s="73"/>
      <x:c r="E27" s="73"/>
      <x:c r="F27" s="73"/>
      <x:c r="G27" s="85"/>
      <x:c r="H27" s="85"/>
      <x:c r="I27" s="85" t="str">
        <x:f>IF(OR(G27="",H27=""),"",H27-G27)</x:f>
      </x:c>
      <x:c r="J27" s="79" t="str">
        <x:f>IF(OR(G27="",G27=0,H27=""),"",I27/G27)</x:f>
      </x:c>
      <x:c r="K27" s="73"/>
      <x:c r="L27" s="73"/>
      <x:c r="M27" s="73"/>
      <x:c r="N27" s="78" t="str">
        <x:v>Pendiente</x:v>
      </x:c>
    </x:row>
    <x:row r="28">
      <x:c r="A28" s="148"/>
      <x:c r="B28" s="73"/>
      <x:c r="C28" s="73"/>
      <x:c r="D28" s="73"/>
      <x:c r="E28" s="73"/>
      <x:c r="F28" s="73"/>
      <x:c r="G28" s="85"/>
      <x:c r="H28" s="85"/>
      <x:c r="I28" s="85" t="str">
        <x:f>IF(OR(G28="",H28=""),"",H28-G28)</x:f>
      </x:c>
      <x:c r="J28" s="79" t="str">
        <x:f>IF(OR(G28="",G28=0,H28=""),"",I28/G28)</x:f>
      </x:c>
      <x:c r="K28" s="73"/>
      <x:c r="L28" s="73"/>
      <x:c r="M28" s="73"/>
      <x:c r="N28" s="78" t="str">
        <x:v>Pendiente</x:v>
      </x:c>
    </x:row>
    <x:row r="29">
      <x:c r="A29" s="148"/>
      <x:c r="B29" s="73"/>
      <x:c r="C29" s="73"/>
      <x:c r="D29" s="73"/>
      <x:c r="E29" s="73"/>
      <x:c r="F29" s="73"/>
      <x:c r="G29" s="85"/>
      <x:c r="H29" s="85"/>
      <x:c r="I29" s="85" t="str">
        <x:f>IF(OR(G29="",H29=""),"",H29-G29)</x:f>
      </x:c>
      <x:c r="J29" s="79" t="str">
        <x:f>IF(OR(G29="",G29=0,H29=""),"",I29/G29)</x:f>
      </x:c>
      <x:c r="K29" s="73"/>
      <x:c r="L29" s="73"/>
      <x:c r="M29" s="73"/>
      <x:c r="N29" s="78" t="str">
        <x:v>Pendiente</x:v>
      </x:c>
    </x:row>
    <x:row r="30">
      <x:c r="A30" s="148"/>
      <x:c r="B30" s="73"/>
      <x:c r="C30" s="73"/>
      <x:c r="D30" s="73"/>
      <x:c r="E30" s="73"/>
      <x:c r="F30" s="73"/>
      <x:c r="G30" s="85"/>
      <x:c r="H30" s="85"/>
      <x:c r="I30" s="85" t="str">
        <x:f>IF(OR(G30="",H30=""),"",H30-G30)</x:f>
      </x:c>
      <x:c r="J30" s="79" t="str">
        <x:f>IF(OR(G30="",G30=0,H30=""),"",I30/G30)</x:f>
      </x:c>
      <x:c r="K30" s="73"/>
      <x:c r="L30" s="73"/>
      <x:c r="M30" s="73"/>
      <x:c r="N30" s="78" t="str">
        <x:v>Pendiente</x:v>
      </x:c>
    </x:row>
    <x:row r="31">
      <x:c r="A31" s="148"/>
      <x:c r="B31" s="73"/>
      <x:c r="C31" s="73"/>
      <x:c r="D31" s="73"/>
      <x:c r="E31" s="73"/>
      <x:c r="F31" s="73"/>
      <x:c r="G31" s="85"/>
      <x:c r="H31" s="85"/>
      <x:c r="I31" s="85" t="str">
        <x:f>IF(OR(G31="",H31=""),"",H31-G31)</x:f>
      </x:c>
      <x:c r="J31" s="79" t="str">
        <x:f>IF(OR(G31="",G31=0,H31=""),"",I31/G31)</x:f>
      </x:c>
      <x:c r="K31" s="73"/>
      <x:c r="L31" s="73"/>
      <x:c r="M31" s="73"/>
      <x:c r="N31" s="78" t="str">
        <x:v>Pendiente</x:v>
      </x:c>
    </x:row>
    <x:row r="32">
      <x:c r="A32" s="148"/>
      <x:c r="B32" s="73"/>
      <x:c r="C32" s="73"/>
      <x:c r="D32" s="73"/>
      <x:c r="E32" s="73"/>
      <x:c r="F32" s="73"/>
      <x:c r="G32" s="85"/>
      <x:c r="H32" s="85"/>
      <x:c r="I32" s="85" t="str">
        <x:f>IF(OR(G32="",H32=""),"",H32-G32)</x:f>
      </x:c>
      <x:c r="J32" s="79" t="str">
        <x:f>IF(OR(G32="",G32=0,H32=""),"",I32/G32)</x:f>
      </x:c>
      <x:c r="K32" s="73"/>
      <x:c r="L32" s="73"/>
      <x:c r="M32" s="73"/>
      <x:c r="N32" s="78" t="str">
        <x:v>Pendiente</x:v>
      </x:c>
    </x:row>
    <x:row r="33">
      <x:c r="A33" s="148"/>
      <x:c r="B33" s="73"/>
      <x:c r="C33" s="73"/>
      <x:c r="D33" s="73"/>
      <x:c r="E33" s="73"/>
      <x:c r="F33" s="73"/>
      <x:c r="G33" s="85"/>
      <x:c r="H33" s="85"/>
      <x:c r="I33" s="85" t="str">
        <x:f>IF(OR(G33="",H33=""),"",H33-G33)</x:f>
      </x:c>
      <x:c r="J33" s="79" t="str">
        <x:f>IF(OR(G33="",G33=0,H33=""),"",I33/G33)</x:f>
      </x:c>
      <x:c r="K33" s="73"/>
      <x:c r="L33" s="73"/>
      <x:c r="M33" s="73"/>
      <x:c r="N33" s="78" t="str">
        <x:v>Pendiente</x:v>
      </x:c>
    </x:row>
    <x:row r="34">
      <x:c r="A34" s="148"/>
      <x:c r="B34" s="73"/>
      <x:c r="C34" s="73"/>
      <x:c r="D34" s="73"/>
      <x:c r="E34" s="73"/>
      <x:c r="F34" s="73"/>
      <x:c r="G34" s="85"/>
      <x:c r="H34" s="85"/>
      <x:c r="I34" s="85" t="str">
        <x:f>IF(OR(G34="",H34=""),"",H34-G34)</x:f>
      </x:c>
      <x:c r="J34" s="79" t="str">
        <x:f>IF(OR(G34="",G34=0,H34=""),"",I34/G34)</x:f>
      </x:c>
      <x:c r="K34" s="73"/>
      <x:c r="L34" s="73"/>
      <x:c r="M34" s="73"/>
      <x:c r="N34" s="78" t="str">
        <x:v>Pendiente</x:v>
      </x:c>
    </x:row>
    <x:row r="35">
      <x:c r="A35" s="148"/>
      <x:c r="B35" s="73"/>
      <x:c r="C35" s="73"/>
      <x:c r="D35" s="73"/>
      <x:c r="E35" s="73"/>
      <x:c r="F35" s="73"/>
      <x:c r="G35" s="85"/>
      <x:c r="H35" s="85"/>
      <x:c r="I35" s="85" t="str">
        <x:f>IF(OR(G35="",H35=""),"",H35-G35)</x:f>
      </x:c>
      <x:c r="J35" s="79" t="str">
        <x:f>IF(OR(G35="",G35=0,H35=""),"",I35/G35)</x:f>
      </x:c>
      <x:c r="K35" s="73"/>
      <x:c r="L35" s="73"/>
      <x:c r="M35" s="73"/>
      <x:c r="N35" s="78" t="str">
        <x:v>Pendiente</x:v>
      </x:c>
    </x:row>
    <x:row r="36">
      <x:c r="A36" s="148"/>
      <x:c r="B36" s="73"/>
      <x:c r="C36" s="73"/>
      <x:c r="D36" s="73"/>
      <x:c r="E36" s="73"/>
      <x:c r="F36" s="73"/>
      <x:c r="G36" s="85"/>
      <x:c r="H36" s="85"/>
      <x:c r="I36" s="85" t="str">
        <x:f>IF(OR(G36="",H36=""),"",H36-G36)</x:f>
      </x:c>
      <x:c r="J36" s="79" t="str">
        <x:f>IF(OR(G36="",G36=0,H36=""),"",I36/G36)</x:f>
      </x:c>
      <x:c r="K36" s="73"/>
      <x:c r="L36" s="73"/>
      <x:c r="M36" s="73"/>
      <x:c r="N36" s="78" t="str">
        <x:v>Pendiente</x:v>
      </x:c>
    </x:row>
    <x:row r="37">
      <x:c r="A37" s="148"/>
      <x:c r="B37" s="73"/>
      <x:c r="C37" s="73"/>
      <x:c r="D37" s="73"/>
      <x:c r="E37" s="73"/>
      <x:c r="F37" s="73"/>
      <x:c r="G37" s="85"/>
      <x:c r="H37" s="85"/>
      <x:c r="I37" s="85" t="str">
        <x:f>IF(OR(G37="",H37=""),"",H37-G37)</x:f>
      </x:c>
      <x:c r="J37" s="79" t="str">
        <x:f>IF(OR(G37="",G37=0,H37=""),"",I37/G37)</x:f>
      </x:c>
      <x:c r="K37" s="73"/>
      <x:c r="L37" s="73"/>
      <x:c r="M37" s="73"/>
      <x:c r="N37" s="78" t="str">
        <x:v>Pendiente</x:v>
      </x:c>
    </x:row>
    <x:row r="38">
      <x:c r="A38" s="148"/>
      <x:c r="B38" s="73"/>
      <x:c r="C38" s="73"/>
      <x:c r="D38" s="73"/>
      <x:c r="E38" s="73"/>
      <x:c r="F38" s="73"/>
      <x:c r="G38" s="85"/>
      <x:c r="H38" s="85"/>
      <x:c r="I38" s="85" t="str">
        <x:f>IF(OR(G38="",H38=""),"",H38-G38)</x:f>
      </x:c>
      <x:c r="J38" s="79" t="str">
        <x:f>IF(OR(G38="",G38=0,H38=""),"",I38/G38)</x:f>
      </x:c>
      <x:c r="K38" s="73"/>
      <x:c r="L38" s="73"/>
      <x:c r="M38" s="73"/>
      <x:c r="N38" s="78" t="str">
        <x:v>Pendiente</x:v>
      </x:c>
    </x:row>
    <x:row r="39">
      <x:c r="A39" s="148"/>
      <x:c r="B39" s="73"/>
      <x:c r="C39" s="73"/>
      <x:c r="D39" s="73"/>
      <x:c r="E39" s="73"/>
      <x:c r="F39" s="73"/>
      <x:c r="G39" s="85"/>
      <x:c r="H39" s="85"/>
      <x:c r="I39" s="85" t="str">
        <x:f>IF(OR(G39="",H39=""),"",H39-G39)</x:f>
      </x:c>
      <x:c r="J39" s="79" t="str">
        <x:f>IF(OR(G39="",G39=0,H39=""),"",I39/G39)</x:f>
      </x:c>
      <x:c r="K39" s="73"/>
      <x:c r="L39" s="73"/>
      <x:c r="M39" s="73"/>
      <x:c r="N39" s="78" t="str">
        <x:v>Pendiente</x:v>
      </x:c>
    </x:row>
    <x:row r="40">
      <x:c r="A40" s="148"/>
      <x:c r="B40" s="73"/>
      <x:c r="C40" s="73"/>
      <x:c r="D40" s="73"/>
      <x:c r="E40" s="73"/>
      <x:c r="F40" s="73"/>
      <x:c r="G40" s="85"/>
      <x:c r="H40" s="85"/>
      <x:c r="I40" s="85" t="str">
        <x:f>IF(OR(G40="",H40=""),"",H40-G40)</x:f>
      </x:c>
      <x:c r="J40" s="79" t="str">
        <x:f>IF(OR(G40="",G40=0,H40=""),"",I40/G40)</x:f>
      </x:c>
      <x:c r="K40" s="73"/>
      <x:c r="L40" s="73"/>
      <x:c r="M40" s="73"/>
      <x:c r="N40" s="78" t="str">
        <x:v>Pendiente</x:v>
      </x:c>
    </x:row>
    <x:row r="41">
      <x:c r="A41" s="148"/>
      <x:c r="B41" s="73"/>
      <x:c r="C41" s="73"/>
      <x:c r="D41" s="73"/>
      <x:c r="E41" s="73"/>
      <x:c r="F41" s="73"/>
      <x:c r="G41" s="85"/>
      <x:c r="H41" s="85"/>
      <x:c r="I41" s="85" t="str">
        <x:f>IF(OR(G41="",H41=""),"",H41-G41)</x:f>
      </x:c>
      <x:c r="J41" s="79" t="str">
        <x:f>IF(OR(G41="",G41=0,H41=""),"",I41/G41)</x:f>
      </x:c>
      <x:c r="K41" s="73"/>
      <x:c r="L41" s="73"/>
      <x:c r="M41" s="73"/>
      <x:c r="N41" s="78" t="str">
        <x:v>Pendiente</x:v>
      </x:c>
    </x:row>
    <x:row r="42">
      <x:c r="A42" s="148"/>
      <x:c r="B42" s="73"/>
      <x:c r="C42" s="73"/>
      <x:c r="D42" s="73"/>
      <x:c r="E42" s="73"/>
      <x:c r="F42" s="73"/>
      <x:c r="G42" s="85"/>
      <x:c r="H42" s="85"/>
      <x:c r="I42" s="85" t="str">
        <x:f>IF(OR(G42="",H42=""),"",H42-G42)</x:f>
      </x:c>
      <x:c r="J42" s="79" t="str">
        <x:f>IF(OR(G42="",G42=0,H42=""),"",I42/G42)</x:f>
      </x:c>
      <x:c r="K42" s="73"/>
      <x:c r="L42" s="73"/>
      <x:c r="M42" s="73"/>
      <x:c r="N42" s="78" t="str">
        <x:v>Pendiente</x:v>
      </x:c>
    </x:row>
    <x:row r="43">
      <x:c r="A43" s="148"/>
      <x:c r="B43" s="73"/>
      <x:c r="C43" s="73"/>
      <x:c r="D43" s="73"/>
      <x:c r="E43" s="73"/>
      <x:c r="F43" s="73"/>
      <x:c r="G43" s="85"/>
      <x:c r="H43" s="85"/>
      <x:c r="I43" s="85" t="str">
        <x:f>IF(OR(G43="",H43=""),"",H43-G43)</x:f>
      </x:c>
      <x:c r="J43" s="79" t="str">
        <x:f>IF(OR(G43="",G43=0,H43=""),"",I43/G43)</x:f>
      </x:c>
      <x:c r="K43" s="73"/>
      <x:c r="L43" s="73"/>
      <x:c r="M43" s="73"/>
      <x:c r="N43" s="78" t="str">
        <x:v>Pendiente</x:v>
      </x:c>
    </x:row>
    <x:row r="44">
      <x:c r="A44" s="148"/>
      <x:c r="B44" s="73"/>
      <x:c r="C44" s="73"/>
      <x:c r="D44" s="73"/>
      <x:c r="E44" s="73"/>
      <x:c r="F44" s="73"/>
      <x:c r="G44" s="85"/>
      <x:c r="H44" s="85"/>
      <x:c r="I44" s="85" t="str">
        <x:f>IF(OR(G44="",H44=""),"",H44-G44)</x:f>
      </x:c>
      <x:c r="J44" s="79" t="str">
        <x:f>IF(OR(G44="",G44=0,H44=""),"",I44/G44)</x:f>
      </x:c>
      <x:c r="K44" s="73"/>
      <x:c r="L44" s="73"/>
      <x:c r="M44" s="73"/>
      <x:c r="N44" s="78" t="str">
        <x:v>Pendiente</x:v>
      </x:c>
    </x:row>
    <x:row r="45">
      <x:c r="A45" s="149"/>
      <x:c r="B45" s="81"/>
      <x:c r="C45" s="81"/>
      <x:c r="D45" s="81"/>
      <x:c r="E45" s="81"/>
      <x:c r="F45" s="81"/>
      <x:c r="G45" s="101"/>
      <x:c r="H45" s="101"/>
      <x:c r="I45" s="101" t="str">
        <x:f>IF(OR(G45="",H45=""),"",H45-G45)</x:f>
      </x:c>
      <x:c r="J45" s="154" t="str">
        <x:f>IF(OR(G45="",G45=0,H45=""),"",I45/G45)</x:f>
      </x:c>
      <x:c r="K45" s="81"/>
      <x:c r="L45" s="81"/>
      <x:c r="M45" s="81"/>
      <x:c r="N45" s="82" t="str">
        <x:v>Pendiente</x:v>
      </x:c>
    </x:row>
  </x:sheetData>
  <x:mergeCells>
    <x:mergeCell ref="A1:N1"/>
    <x:mergeCell ref="A2:N2"/>
  </x:mergeCells>
  <x:conditionalFormatting sqref="J6:J45">
    <x:cfRule type="colorScale" priority="1">
      <x:colorScale>
        <x:cfvo type="min"/>
        <x:cfvo type="percentile" val="50"/>
        <x:cfvo type="max"/>
        <x:color rgb="FFDDF7E7"/>
        <x:color rgb="FFFFF4CC"/>
        <x:color rgb="FFFDE7E7"/>
      </x:colorScale>
    </x:cfRule>
  </x:conditionalFormatting>
  <x:dataValidations count="1">
    <x:dataValidation type="list" sqref="N6:N45">
      <x:formula1>"Pendiente,Analizado,Ajuste aprobado,Descartado"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402056370e42e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DICCIONARIOS Y LISTAS DE VALIDACIÓN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Unidades</x:v>
      </x:c>
      <x:c r="B3" s="21" t="str">
        <x:v>Sí / No</x:v>
      </x:c>
      <x:c r="C3" s="21" t="str">
        <x:v>Reutilización</x:v>
      </x:c>
      <x:c r="D3" s="21" t="str">
        <x:v>Complejidad</x:v>
      </x:c>
      <x:c r="E3" s="21" t="str">
        <x:v>Estado validación</x:v>
      </x:c>
      <x:c r="F3" s="21" t="str">
        <x:v>Madurez</x:v>
      </x:c>
      <x:c r="G3" s="21" t="str">
        <x:v>Líneas de servicio</x:v>
      </x:c>
      <x:c r="H3" s="22" t="str">
        <x:v>Escenario</x:v>
      </x:c>
    </x:row>
    <x:row r="4">
      <x:c r="A4" s="36" t="str">
        <x:v>Proyecto</x:v>
      </x:c>
      <x:c r="B4" s="37" t="str">
        <x:v>Sí</x:v>
      </x:c>
      <x:c r="C4" s="37" t="str">
        <x:v>Alta</x:v>
      </x:c>
      <x:c r="D4" s="37" t="str">
        <x:v>Baja</x:v>
      </x:c>
      <x:c r="E4" s="37" t="str">
        <x:v>Preliminar</x:v>
      </x:c>
      <x:c r="F4" s="37" t="str">
        <x:v>01 · Primeros pasos digitales</x:v>
      </x:c>
      <x:c r="G4" s="37" t="str">
        <x:v>Desarrollo e Implementación</x:v>
      </x:c>
      <x:c r="H4" s="38" t="str">
        <x:v>Inicial</x:v>
      </x:c>
    </x:row>
    <x:row r="5">
      <x:c r="A5" s="39" t="str">
        <x:v>Actividad</x:v>
      </x:c>
      <x:c r="B5" s="40" t="str">
        <x:v>No</x:v>
      </x:c>
      <x:c r="C5" s="40" t="str">
        <x:v>Parcial</x:v>
      </x:c>
      <x:c r="D5" s="40" t="str">
        <x:v>Media</x:v>
      </x:c>
      <x:c r="E5" s="40" t="str">
        <x:v>Revisado</x:v>
      </x:c>
      <x:c r="F5" s="40" t="str">
        <x:v>02 · Optimización digital</x:v>
      </x:c>
      <x:c r="G5" s="40" t="str">
        <x:v>Mantenimiento y Evolución</x:v>
      </x:c>
      <x:c r="H5" s="41" t="str">
        <x:v>Estándar</x:v>
      </x:c>
    </x:row>
    <x:row r="6">
      <x:c r="A6" s="39" t="str">
        <x:v>Componente</x:v>
      </x:c>
      <x:c r="B6" s="40"/>
      <x:c r="C6" s="40" t="str">
        <x:v>No</x:v>
      </x:c>
      <x:c r="D6" s="40" t="str">
        <x:v>Alta</x:v>
      </x:c>
      <x:c r="E6" s="40" t="str">
        <x:v>Validado con proyecto</x:v>
      </x:c>
      <x:c r="F6" s="40" t="str">
        <x:v>03 · Consolidación digital</x:v>
      </x:c>
      <x:c r="G6" s="40" t="str">
        <x:v>Monitoreo y Observabilidad</x:v>
      </x:c>
      <x:c r="H6" s="41" t="str">
        <x:v>Avanzado</x:v>
      </x:c>
    </x:row>
    <x:row r="7">
      <x:c r="A7" s="39" t="str">
        <x:v>Sección</x:v>
      </x:c>
      <x:c r="B7" s="40"/>
      <x:c r="C7" s="40"/>
      <x:c r="D7" s="40"/>
      <x:c r="E7" s="40" t="str">
        <x:v>Aprobado</x:v>
      </x:c>
      <x:c r="F7" s="40" t="str">
        <x:v>04 · Evolución digital</x:v>
      </x:c>
      <x:c r="G7" s="40" t="str">
        <x:v>Respaldo y Continuidad</x:v>
      </x:c>
      <x:c r="H7" s="41"/>
    </x:row>
    <x:row r="8">
      <x:c r="A8" s="39" t="str">
        <x:v>Página</x:v>
      </x:c>
      <x:c r="B8" s="40"/>
      <x:c r="C8" s="40"/>
      <x:c r="D8" s="40"/>
      <x:c r="E8" s="40"/>
      <x:c r="F8" s="40"/>
      <x:c r="G8" s="40" t="str">
        <x:v>Ciberseguridad</x:v>
      </x:c>
      <x:c r="H8" s="41"/>
    </x:row>
    <x:row r="9">
      <x:c r="A9" s="39" t="str">
        <x:v>Pantalla</x:v>
      </x:c>
      <x:c r="B9" s="40"/>
      <x:c r="C9" s="40"/>
      <x:c r="D9" s="40"/>
      <x:c r="E9" s="40"/>
      <x:c r="F9" s="40"/>
      <x:c r="G9" s="40" t="str">
        <x:v>Soporte y Gestión</x:v>
      </x:c>
      <x:c r="H9" s="41"/>
    </x:row>
    <x:row r="10">
      <x:c r="A10" s="39" t="str">
        <x:v>Formulario</x:v>
      </x:c>
      <x:c r="B10" s="40"/>
      <x:c r="C10" s="40"/>
      <x:c r="D10" s="40"/>
      <x:c r="E10" s="40"/>
      <x:c r="F10" s="40"/>
      <x:c r="G10" s="40"/>
      <x:c r="H10" s="41"/>
    </x:row>
    <x:row r="11">
      <x:c r="A11" s="39" t="str">
        <x:v>Integración</x:v>
      </x:c>
      <x:c r="B11" s="40"/>
      <x:c r="C11" s="40"/>
      <x:c r="D11" s="40"/>
      <x:c r="E11" s="40"/>
      <x:c r="F11" s="40"/>
      <x:c r="G11" s="40"/>
      <x:c r="H11" s="41"/>
    </x:row>
    <x:row r="12">
      <x:c r="A12" s="39" t="str">
        <x:v>Entorno</x:v>
      </x:c>
      <x:c r="B12" s="40"/>
      <x:c r="C12" s="40"/>
      <x:c r="D12" s="40"/>
      <x:c r="E12" s="40"/>
      <x:c r="F12" s="40"/>
      <x:c r="G12" s="40"/>
      <x:c r="H12" s="41"/>
    </x:row>
    <x:row r="13">
      <x:c r="A13" s="39" t="str">
        <x:v>Servicio</x:v>
      </x:c>
      <x:c r="B13" s="40"/>
      <x:c r="C13" s="40"/>
      <x:c r="D13" s="40"/>
      <x:c r="E13" s="40"/>
      <x:c r="F13" s="40"/>
      <x:c r="G13" s="40"/>
      <x:c r="H13" s="41"/>
    </x:row>
    <x:row r="14">
      <x:c r="A14" s="39" t="str">
        <x:v>Sistema</x:v>
      </x:c>
      <x:c r="B14" s="40"/>
      <x:c r="C14" s="40"/>
      <x:c r="D14" s="40"/>
      <x:c r="E14" s="40"/>
      <x:c r="F14" s="40"/>
      <x:c r="G14" s="40"/>
      <x:c r="H14" s="41"/>
    </x:row>
    <x:row r="15">
      <x:c r="A15" s="39" t="str">
        <x:v>Entidad</x:v>
      </x:c>
      <x:c r="B15" s="40"/>
      <x:c r="C15" s="40"/>
      <x:c r="D15" s="40"/>
      <x:c r="E15" s="40"/>
      <x:c r="F15" s="40"/>
      <x:c r="G15" s="40"/>
      <x:c r="H15" s="41"/>
    </x:row>
    <x:row r="16">
      <x:c r="A16" s="39" t="str">
        <x:v>Rol</x:v>
      </x:c>
      <x:c r="B16" s="40"/>
      <x:c r="C16" s="40"/>
      <x:c r="D16" s="40"/>
      <x:c r="E16" s="40"/>
      <x:c r="F16" s="40"/>
      <x:c r="G16" s="40"/>
      <x:c r="H16" s="41"/>
    </x:row>
    <x:row r="17">
      <x:c r="A17" s="39" t="str">
        <x:v>Flujo</x:v>
      </x:c>
      <x:c r="B17" s="40"/>
      <x:c r="C17" s="40"/>
      <x:c r="D17" s="40"/>
      <x:c r="E17" s="40"/>
      <x:c r="F17" s="40"/>
      <x:c r="G17" s="40"/>
      <x:c r="H17" s="41"/>
    </x:row>
    <x:row r="18">
      <x:c r="A18" s="39" t="str">
        <x:v>Regla</x:v>
      </x:c>
      <x:c r="B18" s="40"/>
      <x:c r="C18" s="40"/>
      <x:c r="D18" s="40"/>
      <x:c r="E18" s="40"/>
      <x:c r="F18" s="40"/>
      <x:c r="G18" s="40"/>
      <x:c r="H18" s="41"/>
    </x:row>
    <x:row r="19">
      <x:c r="A19" s="39" t="str">
        <x:v>Reporte</x:v>
      </x:c>
      <x:c r="B19" s="40"/>
      <x:c r="C19" s="40"/>
      <x:c r="D19" s="40"/>
      <x:c r="E19" s="40"/>
      <x:c r="F19" s="40"/>
      <x:c r="G19" s="40"/>
      <x:c r="H19" s="41"/>
    </x:row>
    <x:row r="20">
      <x:c r="A20" s="39" t="str">
        <x:v>Dashboard</x:v>
      </x:c>
      <x:c r="B20" s="40"/>
      <x:c r="C20" s="40"/>
      <x:c r="D20" s="40"/>
      <x:c r="E20" s="40"/>
      <x:c r="F20" s="40"/>
      <x:c r="G20" s="40"/>
      <x:c r="H20" s="41"/>
    </x:row>
    <x:row r="21">
      <x:c r="A21" s="39" t="str">
        <x:v>Caso</x:v>
      </x:c>
      <x:c r="B21" s="40"/>
      <x:c r="C21" s="40"/>
      <x:c r="D21" s="40"/>
      <x:c r="E21" s="40"/>
      <x:c r="F21" s="40"/>
      <x:c r="G21" s="40"/>
      <x:c r="H21" s="41"/>
    </x:row>
    <x:row r="22">
      <x:c r="A22" s="39" t="str">
        <x:v>Ciclo</x:v>
      </x:c>
      <x:c r="B22" s="40"/>
      <x:c r="C22" s="40"/>
      <x:c r="D22" s="40"/>
      <x:c r="E22" s="40"/>
      <x:c r="F22" s="40"/>
      <x:c r="G22" s="40"/>
      <x:c r="H22" s="41"/>
    </x:row>
    <x:row r="23">
      <x:c r="A23" s="39" t="str">
        <x:v>Proceso</x:v>
      </x:c>
      <x:c r="B23" s="40"/>
      <x:c r="C23" s="40"/>
      <x:c r="D23" s="40"/>
      <x:c r="E23" s="40"/>
      <x:c r="F23" s="40"/>
      <x:c r="G23" s="40"/>
      <x:c r="H23" s="41"/>
    </x:row>
    <x:row r="24">
      <x:c r="A24" s="39" t="str">
        <x:v>Incidente</x:v>
      </x:c>
      <x:c r="B24" s="40"/>
      <x:c r="C24" s="40"/>
      <x:c r="D24" s="40"/>
      <x:c r="E24" s="40"/>
      <x:c r="F24" s="40"/>
      <x:c r="G24" s="40"/>
      <x:c r="H24" s="41"/>
    </x:row>
    <x:row r="25">
      <x:c r="A25" s="39" t="str">
        <x:v>Cambio</x:v>
      </x:c>
      <x:c r="B25" s="40"/>
      <x:c r="C25" s="40"/>
      <x:c r="D25" s="40"/>
      <x:c r="E25" s="40"/>
      <x:c r="F25" s="40"/>
      <x:c r="G25" s="40"/>
      <x:c r="H25" s="41"/>
    </x:row>
    <x:row r="26">
      <x:c r="A26" s="39" t="str">
        <x:v>Lote</x:v>
      </x:c>
      <x:c r="B26" s="40"/>
      <x:c r="C26" s="40"/>
      <x:c r="D26" s="40"/>
      <x:c r="E26" s="40"/>
      <x:c r="F26" s="40"/>
      <x:c r="G26" s="40"/>
      <x:c r="H26" s="41"/>
    </x:row>
    <x:row r="27">
      <x:c r="A27" s="39" t="str">
        <x:v>Migración</x:v>
      </x:c>
      <x:c r="B27" s="40"/>
      <x:c r="C27" s="40"/>
      <x:c r="D27" s="40"/>
      <x:c r="E27" s="40"/>
      <x:c r="F27" s="40"/>
      <x:c r="G27" s="40"/>
      <x:c r="H27" s="41"/>
    </x:row>
    <x:row r="28">
      <x:c r="A28" s="39" t="str">
        <x:v>Dependencia</x:v>
      </x:c>
      <x:c r="B28" s="40"/>
      <x:c r="C28" s="40"/>
      <x:c r="D28" s="40"/>
      <x:c r="E28" s="40"/>
      <x:c r="F28" s="40"/>
      <x:c r="G28" s="40"/>
      <x:c r="H28" s="41"/>
    </x:row>
    <x:row r="29">
      <x:c r="A29" s="39" t="str">
        <x:v>Hallazgo</x:v>
      </x:c>
      <x:c r="B29" s="40"/>
      <x:c r="C29" s="40"/>
      <x:c r="D29" s="40"/>
      <x:c r="E29" s="40"/>
      <x:c r="F29" s="40"/>
      <x:c r="G29" s="40"/>
      <x:c r="H29" s="41"/>
    </x:row>
    <x:row r="30">
      <x:c r="A30" s="39" t="str">
        <x:v>Métrica</x:v>
      </x:c>
      <x:c r="B30" s="40"/>
      <x:c r="C30" s="40"/>
      <x:c r="D30" s="40"/>
      <x:c r="E30" s="40"/>
      <x:c r="F30" s="40"/>
      <x:c r="G30" s="40"/>
      <x:c r="H30" s="41"/>
    </x:row>
    <x:row r="31">
      <x:c r="A31" s="39" t="str">
        <x:v>Host</x:v>
      </x:c>
      <x:c r="B31" s="40"/>
      <x:c r="C31" s="40"/>
      <x:c r="D31" s="40"/>
      <x:c r="E31" s="40"/>
      <x:c r="F31" s="40"/>
      <x:c r="G31" s="40"/>
      <x:c r="H31" s="41"/>
    </x:row>
    <x:row r="32">
      <x:c r="A32" s="39" t="str">
        <x:v>Fuente</x:v>
      </x:c>
      <x:c r="B32" s="40"/>
      <x:c r="C32" s="40"/>
      <x:c r="D32" s="40"/>
      <x:c r="E32" s="40"/>
      <x:c r="F32" s="40"/>
      <x:c r="G32" s="40"/>
      <x:c r="H32" s="41"/>
    </x:row>
    <x:row r="33">
      <x:c r="A33" s="39" t="str">
        <x:v>Activo</x:v>
      </x:c>
      <x:c r="B33" s="40"/>
      <x:c r="C33" s="40"/>
      <x:c r="D33" s="40"/>
      <x:c r="E33" s="40"/>
      <x:c r="F33" s="40"/>
      <x:c r="G33" s="40"/>
      <x:c r="H33" s="41"/>
    </x:row>
    <x:row r="34">
      <x:c r="A34" s="39" t="str">
        <x:v>Job</x:v>
      </x:c>
      <x:c r="B34" s="40"/>
      <x:c r="C34" s="40"/>
      <x:c r="D34" s="40"/>
      <x:c r="E34" s="40"/>
      <x:c r="F34" s="40"/>
      <x:c r="G34" s="40"/>
      <x:c r="H34" s="41"/>
    </x:row>
    <x:row r="35">
      <x:c r="A35" s="39" t="str">
        <x:v>Destino</x:v>
      </x:c>
      <x:c r="B35" s="40"/>
      <x:c r="C35" s="40"/>
      <x:c r="D35" s="40"/>
      <x:c r="E35" s="40"/>
      <x:c r="F35" s="40"/>
      <x:c r="G35" s="40"/>
      <x:c r="H35" s="41"/>
    </x:row>
    <x:row r="36">
      <x:c r="A36" s="39" t="str">
        <x:v>Ejercicio</x:v>
      </x:c>
      <x:c r="B36" s="40"/>
      <x:c r="C36" s="40"/>
      <x:c r="D36" s="40"/>
      <x:c r="E36" s="40"/>
      <x:c r="F36" s="40"/>
      <x:c r="G36" s="40"/>
      <x:c r="H36" s="41"/>
    </x:row>
    <x:row r="37">
      <x:c r="A37" s="39" t="str">
        <x:v>Escenario</x:v>
      </x:c>
      <x:c r="B37" s="40"/>
      <x:c r="C37" s="40"/>
      <x:c r="D37" s="40"/>
      <x:c r="E37" s="40"/>
      <x:c r="F37" s="40"/>
      <x:c r="G37" s="40"/>
      <x:c r="H37" s="41"/>
    </x:row>
    <x:row r="38">
      <x:c r="A38" s="39" t="str">
        <x:v>Categoría</x:v>
      </x:c>
      <x:c r="B38" s="40"/>
      <x:c r="C38" s="40"/>
      <x:c r="D38" s="40"/>
      <x:c r="E38" s="40"/>
      <x:c r="F38" s="40"/>
      <x:c r="G38" s="40"/>
      <x:c r="H38" s="41"/>
    </x:row>
    <x:row r="39">
      <x:c r="A39" s="39" t="str">
        <x:v>Cuenta</x:v>
      </x:c>
      <x:c r="B39" s="40"/>
      <x:c r="C39" s="40"/>
      <x:c r="D39" s="40"/>
      <x:c r="E39" s="40"/>
      <x:c r="F39" s="40"/>
      <x:c r="G39" s="40"/>
      <x:c r="H39" s="41"/>
    </x:row>
    <x:row r="40">
      <x:c r="A40" s="39" t="str">
        <x:v>Nivel</x:v>
      </x:c>
      <x:c r="B40" s="40"/>
      <x:c r="C40" s="40"/>
      <x:c r="D40" s="40"/>
      <x:c r="E40" s="40"/>
      <x:c r="F40" s="40"/>
      <x:c r="G40" s="40"/>
      <x:c r="H40" s="41"/>
    </x:row>
    <x:row r="41">
      <x:c r="A41" s="39" t="str">
        <x:v>Plantilla</x:v>
      </x:c>
      <x:c r="B41" s="40"/>
      <x:c r="C41" s="40"/>
      <x:c r="D41" s="40"/>
      <x:c r="E41" s="40"/>
      <x:c r="F41" s="40"/>
      <x:c r="G41" s="40"/>
      <x:c r="H41" s="41"/>
    </x:row>
    <x:row r="42">
      <x:c r="A42" s="39" t="str">
        <x:v>Ticket</x:v>
      </x:c>
      <x:c r="B42" s="40"/>
      <x:c r="C42" s="40"/>
      <x:c r="D42" s="40"/>
      <x:c r="E42" s="40"/>
      <x:c r="F42" s="40"/>
      <x:c r="G42" s="40"/>
      <x:c r="H42" s="41"/>
    </x:row>
    <x:row r="43">
      <x:c r="A43" s="39" t="str">
        <x:v>Documento</x:v>
      </x:c>
      <x:c r="B43" s="40"/>
      <x:c r="C43" s="40"/>
      <x:c r="D43" s="40"/>
      <x:c r="E43" s="40"/>
      <x:c r="F43" s="40"/>
      <x:c r="G43" s="40"/>
      <x:c r="H43" s="41"/>
    </x:row>
    <x:row r="44">
      <x:c r="A44" s="39" t="str">
        <x:v>Artículo</x:v>
      </x:c>
      <x:c r="B44" s="40"/>
      <x:c r="C44" s="40"/>
      <x:c r="D44" s="40"/>
      <x:c r="E44" s="40"/>
      <x:c r="F44" s="40"/>
      <x:c r="G44" s="40"/>
      <x:c r="H44" s="41"/>
    </x:row>
    <x:row r="45">
      <x:c r="A45" s="39" t="str">
        <x:v>Sesión</x:v>
      </x:c>
      <x:c r="B45" s="40"/>
      <x:c r="C45" s="40"/>
      <x:c r="D45" s="40"/>
      <x:c r="E45" s="40"/>
      <x:c r="F45" s="40"/>
      <x:c r="G45" s="40"/>
      <x:c r="H45" s="41"/>
    </x:row>
    <x:row r="46">
      <x:c r="A46" s="39" t="str">
        <x:v>Periodo</x:v>
      </x:c>
      <x:c r="B46" s="40"/>
      <x:c r="C46" s="40"/>
      <x:c r="D46" s="40"/>
      <x:c r="E46" s="40"/>
      <x:c r="F46" s="40"/>
      <x:c r="G46" s="40"/>
      <x:c r="H46" s="41"/>
    </x:row>
    <x:row r="47">
      <x:c r="A47" s="39" t="str">
        <x:v>Hora</x:v>
      </x:c>
      <x:c r="B47" s="40"/>
      <x:c r="C47" s="40"/>
      <x:c r="D47" s="40"/>
      <x:c r="E47" s="40"/>
      <x:c r="F47" s="40"/>
      <x:c r="G47" s="40"/>
      <x:c r="H47" s="41"/>
    </x:row>
    <x:row r="48">
      <x:c r="A48" s="39" t="str">
        <x:v>Formato</x:v>
      </x:c>
      <x:c r="B48" s="40"/>
      <x:c r="C48" s="40"/>
      <x:c r="D48" s="40"/>
      <x:c r="E48" s="40"/>
      <x:c r="F48" s="40"/>
      <x:c r="G48" s="40"/>
      <x:c r="H48" s="41"/>
    </x:row>
    <x:row r="49">
      <x:c r="A49" s="39" t="str">
        <x:v>Evento</x:v>
      </x:c>
      <x:c r="B49" s="40"/>
      <x:c r="C49" s="40"/>
      <x:c r="D49" s="40"/>
      <x:c r="E49" s="40"/>
      <x:c r="F49" s="40"/>
      <x:c r="G49" s="40"/>
      <x:c r="H49" s="41"/>
    </x:row>
    <x:row r="50">
      <x:c r="A50" s="39" t="str">
        <x:v>Base de datos</x:v>
      </x:c>
      <x:c r="B50" s="40"/>
      <x:c r="C50" s="40"/>
      <x:c r="D50" s="40"/>
      <x:c r="E50" s="40"/>
      <x:c r="F50" s="40"/>
      <x:c r="G50" s="40"/>
      <x:c r="H50" s="41"/>
    </x:row>
    <x:row r="51">
      <x:c r="A51" s="39" t="str">
        <x:v>Canal</x:v>
      </x:c>
      <x:c r="B51" s="40"/>
      <x:c r="C51" s="40"/>
      <x:c r="D51" s="40"/>
      <x:c r="E51" s="40"/>
      <x:c r="F51" s="40"/>
      <x:c r="G51" s="40"/>
      <x:c r="H51" s="41"/>
    </x:row>
    <x:row r="52">
      <x:c r="A52" s="42" t="str">
        <x:v>Prueba</x:v>
      </x:c>
      <x:c r="B52" s="43"/>
      <x:c r="C52" s="43"/>
      <x:c r="D52" s="43"/>
      <x:c r="E52" s="43"/>
      <x:c r="F52" s="43"/>
      <x:c r="G52" s="43"/>
      <x:c r="H52" s="44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" hidden="0" customWidth="1"/>
    <x:col min="3" max="3" width="24" hidden="0" customWidth="1"/>
    <x:col min="4" max="4" width="38" hidden="0" customWidth="1"/>
    <x:col min="5" max="5" width="22" hidden="0" customWidth="1"/>
    <x:col min="6" max="6" width="48" hidden="0" customWidth="1"/>
    <x:col min="7" max="7" width="37" hidden="0" customWidth="1"/>
    <x:col min="8" max="8" width="13" hidden="0" customWidth="1"/>
  </x:cols>
  <x:sheetData>
    <x:row r="1" ht="32" customHeight="1">
      <x:c r="A1" s="278" t="str">
        <x:v>AUDITORÍA DE REDUNDANCIAS Y REGLAS DE CONSOLIDACIÓN</x:v>
      </x:c>
      <x:c r="B1" s="278"/>
      <x:c r="C1" s="278"/>
      <x:c r="D1" s="278"/>
      <x:c r="E1" s="278"/>
      <x:c r="F1" s="278"/>
      <x:c r="G1" s="278"/>
      <x:c r="H1" s="278"/>
    </x:row>
    <x:row r="2" ht="42" customHeight="1">
      <x:c r="A2" s="282" t="str">
        <x:v>Registro de los solapamientos detectados y de la decisión aplicada. La similitud de palabras no implica automáticamente duplicidad: se conserva una actividad cuando corresponde a una fase, entregable o control diferente.</x:v>
      </x:c>
      <x:c r="B2" s="282"/>
      <x:c r="C2" s="282"/>
      <x:c r="D2" s="282"/>
      <x:c r="E2" s="282"/>
      <x:c r="F2" s="282"/>
      <x:c r="G2" s="282"/>
      <x:c r="H2" s="282"/>
    </x:row>
    <x:row r="4" ht="34" customHeight="1">
      <x:c r="A4" s="287" t="str">
        <x:v>ID</x:v>
      </x:c>
      <x:c r="B4" s="287" t="str">
        <x:v>Códigos afectados</x:v>
      </x:c>
      <x:c r="C4" s="287" t="str">
        <x:v>Tipo de caso</x:v>
      </x:c>
      <x:c r="D4" s="287" t="str">
        <x:v>Riesgo detectado</x:v>
      </x:c>
      <x:c r="E4" s="287" t="str">
        <x:v>Decisión</x:v>
      </x:c>
      <x:c r="F4" s="287" t="str">
        <x:v>Regla aplicada</x:v>
      </x:c>
      <x:c r="G4" s="287" t="str">
        <x:v>Impacto</x:v>
      </x:c>
      <x:c r="H4" s="287" t="str">
        <x:v>Estado</x:v>
      </x:c>
    </x:row>
    <x:row r="5">
      <x:c r="A5" s="288" t="str">
        <x:v>R-001</x:v>
      </x:c>
      <x:c r="B5" s="288" t="str">
        <x:v>WEB-007, WEB-008, WEB-012, WEB-015, WEB-019, WEB-022</x:v>
      </x:c>
      <x:c r="C5" s="288" t="str">
        <x:v>Solapamiento de alcance</x:v>
      </x:c>
      <x:c r="D5" s="288" t="str">
        <x:v>La palabra responsive aparecía en varios componentes y además existía una actividad integral.</x:v>
      </x:c>
      <x:c r="E5" s="288" t="str">
        <x:v>Consolidado</x:v>
      </x:c>
      <x:c r="F5" s="288" t="str">
        <x:v>WEB-022 es la única construcción responsive transversal. Los componentes ya no vuelven a cobrar esa adaptación.</x:v>
      </x:c>
      <x:c r="G5" s="288" t="str">
        <x:v>Se ajustaron nombres, alcances y 1,25 HH desde cero distribuidas en componentes.</x:v>
      </x:c>
      <x:c r="H5" s="288" t="str">
        <x:v>Aplicado</x:v>
      </x:c>
    </x:row>
    <x:row r="6">
      <x:c r="A6" s="288" t="str">
        <x:v>R-002</x:v>
      </x:c>
      <x:c r="B6" s="288" t="str">
        <x:v>WEB-030, WEB-031, WEB-032</x:v>
      </x:c>
      <x:c r="C6" s="288" t="str">
        <x:v>Fases distintas</x:v>
      </x:c>
      <x:c r="D6" s="288" t="str">
        <x:v>Pruebas funcionales, compatibilidad y correcciones podían parecer el mismo trabajo.</x:v>
      </x:c>
      <x:c r="E6" s="288" t="str">
        <x:v>Mantener separados</x:v>
      </x:c>
      <x:c r="F6" s="288" t="str">
        <x:v>WEB-030 prueba funcionalidad; WEB-031 valida dispositivos/navegadores; WEB-032 corrige hallazgos.</x:v>
      </x:c>
      <x:c r="G6" s="288" t="str">
        <x:v>Sin eliminación de HH; se aclaró el límite de cada actividad.</x:v>
      </x:c>
      <x:c r="H6" s="288" t="str">
        <x:v>Aplicado</x:v>
      </x:c>
    </x:row>
    <x:row r="7">
      <x:c r="A7" s="288" t="str">
        <x:v>R-003</x:v>
      </x:c>
      <x:c r="B7" s="288" t="str">
        <x:v>WEB-003, WEB-030</x:v>
      </x:c>
      <x:c r="C7" s="288" t="str">
        <x:v>Diseño vs validación</x:v>
      </x:c>
      <x:c r="D7" s="288" t="str">
        <x:v>Mapa de navegación y pruebas de navegación comparten terminología.</x:v>
      </x:c>
      <x:c r="E7" s="288" t="str">
        <x:v>Mantener separados</x:v>
      </x:c>
      <x:c r="F7" s="288" t="str">
        <x:v>WEB-003 define la arquitectura; WEB-030 verifica que la navegación construida funcione.</x:v>
      </x:c>
      <x:c r="G7" s="288" t="str">
        <x:v>Sin cambio de HH.</x:v>
      </x:c>
      <x:c r="H7" s="288" t="str">
        <x:v>Aplicado</x:v>
      </x:c>
    </x:row>
    <x:row r="8">
      <x:c r="A8" s="288" t="str">
        <x:v>R-004</x:v>
      </x:c>
      <x:c r="B8" s="288" t="str">
        <x:v>APP-006, APP-009, APP-022</x:v>
      </x:c>
      <x:c r="C8" s="288" t="str">
        <x:v>Diseño, implementación y QA</x:v>
      </x:c>
      <x:c r="D8" s="288" t="str">
        <x:v>Navegación, sistema visual y experiencia responsive podían mezclarse.</x:v>
      </x:c>
      <x:c r="E8" s="288" t="str">
        <x:v>Mantener separados</x:v>
      </x:c>
      <x:c r="F8" s="288" t="str">
        <x:v>APP-006 diseña; APP-009 construye; APP-022 valida sin volver a desarrollar.</x:v>
      </x:c>
      <x:c r="G8" s="288" t="str">
        <x:v>Alcances renombrados y delimitados.</x:v>
      </x:c>
      <x:c r="H8" s="288" t="str">
        <x:v>Aplicado</x:v>
      </x:c>
    </x:row>
    <x:row r="9">
      <x:c r="A9" s="288" t="str">
        <x:v>R-005</x:v>
      </x:c>
      <x:c r="B9" s="288" t="str">
        <x:v>APP-010, APP-013</x:v>
      </x:c>
      <x:c r="C9" s="288" t="str">
        <x:v>Frontend vs backend</x:v>
      </x:c>
      <x:c r="D9" s="288" t="str">
        <x:v>Las dos actividades usan el término CRUD.</x:v>
      </x:c>
      <x:c r="E9" s="288" t="str">
        <x:v>Mantener separados</x:v>
      </x:c>
      <x:c r="F9" s="288" t="str">
        <x:v>APP-010 corresponde a la interfaz; APP-013 a lógica, validación y persistencia backend.</x:v>
      </x:c>
      <x:c r="G9" s="288" t="str">
        <x:v>Sin cambio de HH.</x:v>
      </x:c>
      <x:c r="H9" s="288" t="str">
        <x:v>Aplicado</x:v>
      </x:c>
    </x:row>
    <x:row r="10">
      <x:c r="A10" s="288" t="str">
        <x:v>R-006</x:v>
      </x:c>
      <x:c r="B10" s="288" t="str">
        <x:v>INT-003, INT-010</x:v>
      </x:c>
      <x:c r="C10" s="288" t="str">
        <x:v>Diseño vs implementación</x:v>
      </x:c>
      <x:c r="D10" s="288" t="str">
        <x:v>Mapeo y transformación aparecían en ambas actividades.</x:v>
      </x:c>
      <x:c r="E10" s="288" t="str">
        <x:v>Mantener separados</x:v>
      </x:c>
      <x:c r="F10" s="288" t="str">
        <x:v>INT-003 documenta el mapeo; INT-010 implementa las reglas ya definidas.</x:v>
      </x:c>
      <x:c r="G10" s="288" t="str">
        <x:v>Se agregó dependencia explícita.</x:v>
      </x:c>
      <x:c r="H10" s="288" t="str">
        <x:v>Aplicado</x:v>
      </x:c>
    </x:row>
    <x:row r="11">
      <x:c r="A11" s="288" t="str">
        <x:v>R-007</x:v>
      </x:c>
      <x:c r="B11" s="288" t="str">
        <x:v>MNT1-007, MNT1-008</x:v>
      </x:c>
      <x:c r="C11" s="288" t="str">
        <x:v>Alternativas excluyentes</x:v>
      </x:c>
      <x:c r="D11" s="288" t="str">
        <x:v>Una corrección baja y una media no deben cobrarse juntas para el mismo incidente.</x:v>
      </x:c>
      <x:c r="E11" s="288" t="str">
        <x:v>Mutuamente excluyentes</x:v>
      </x:c>
      <x:c r="F11" s="288" t="str">
        <x:v>Seleccionar solo una complejidad por incidente.</x:v>
      </x:c>
      <x:c r="G11" s="288" t="str">
        <x:v>Se agregaron exclusiones cruzadas.</x:v>
      </x:c>
      <x:c r="H11" s="288" t="str">
        <x:v>Aplicado</x:v>
      </x:c>
    </x:row>
    <x:row r="12">
      <x:c r="A12" s="288" t="str">
        <x:v>R-008</x:v>
      </x:c>
      <x:c r="B12" s="288" t="str">
        <x:v>MNT3-005, MNT3-009</x:v>
      </x:c>
      <x:c r="C12" s="288" t="str">
        <x:v>Solapamiento condicional</x:v>
      </x:c>
      <x:c r="D12" s="288" t="str">
        <x:v>Una actualización de dependencia puede resolver por sí sola una vulnerabilidad.</x:v>
      </x:c>
      <x:c r="E12" s="288" t="str">
        <x:v>Condicional</x:v>
      </x:c>
      <x:c r="F12" s="288" t="str">
        <x:v>MNT3-009 se agrega solo si existe análisis o remediación adicional después de MNT3-005.</x:v>
      </x:c>
      <x:c r="G12" s="288" t="str">
        <x:v>MNT3-009 quedó fuera del alcance base y con cantidad inicial 0.</x:v>
      </x:c>
      <x:c r="H12" s="288" t="str">
        <x:v>Aplicado</x:v>
      </x:c>
    </x:row>
    <x:row r="13">
      <x:c r="A13" s="288" t="str">
        <x:v>R-009</x:v>
      </x:c>
      <x:c r="B13" s="288" t="str">
        <x:v>MNT4-002, MNT4-010</x:v>
      </x:c>
      <x:c r="C13" s="288" t="str">
        <x:v>Mediciones temporales</x:v>
      </x:c>
      <x:c r="D13" s="288" t="str">
        <x:v>Línea base y comparación final podían interpretarse como duplicadas.</x:v>
      </x:c>
      <x:c r="E13" s="288" t="str">
        <x:v>Mantener separados</x:v>
      </x:c>
      <x:c r="F13" s="288" t="str">
        <x:v>MNT4-002 mide antes; MNT4-010 repite y compara después.</x:v>
      </x:c>
      <x:c r="G13" s="288" t="str">
        <x:v>Se agregó dependencia y criterio temporal.</x:v>
      </x:c>
      <x:c r="H13" s="288" t="str">
        <x:v>Aplicado</x:v>
      </x:c>
    </x:row>
    <x:row r="14">
      <x:c r="A14" s="288" t="str">
        <x:v>R-010</x:v>
      </x:c>
      <x:c r="B14" s="288" t="str">
        <x:v>BCP1-002, BCP2-003</x:v>
      </x:c>
      <x:c r="C14" s="288" t="str">
        <x:v>Definición repetida</x:v>
      </x:c>
      <x:c r="D14" s="288" t="str">
        <x:v>RPO y RTO se definían en respaldo y nuevamente en recuperación.</x:v>
      </x:c>
      <x:c r="E14" s="288" t="str">
        <x:v>Consolidación por propuesta</x:v>
      </x:c>
      <x:c r="F14" s="288" t="str">
        <x:v>BCP2-003 sustituye la definición básica de BCP1-002 cuando ambos servicios se contratan juntos.</x:v>
      </x:c>
      <x:c r="G14" s="288" t="str">
        <x:v>Se añadió regla de no duplicación.</x:v>
      </x:c>
      <x:c r="H14" s="288" t="str">
        <x:v>Aplicado</x:v>
      </x:c>
    </x:row>
    <x:row r="15">
      <x:c r="A15" s="288" t="str">
        <x:v>R-011</x:v>
      </x:c>
      <x:c r="B15" s="288" t="str">
        <x:v>BCP1-010, BCP2-005</x:v>
      </x:c>
      <x:c r="C15" s="288" t="str">
        <x:v>Documentación relacionada</x:v>
      </x:c>
      <x:c r="D15" s="288" t="str">
        <x:v>Runbook de respaldo y procedimiento de recuperación podían confundirse.</x:v>
      </x:c>
      <x:c r="E15" s="288" t="str">
        <x:v>Mantener separados</x:v>
      </x:c>
      <x:c r="F15" s="288" t="str">
        <x:v>BCP1-010 opera el respaldo; BCP2-005 recupera servicios completos ante desastre.</x:v>
      </x:c>
      <x:c r="G15" s="288" t="str">
        <x:v>Alcances delimitados.</x:v>
      </x:c>
      <x:c r="H15" s="288" t="str">
        <x:v>Aplicado</x:v>
      </x:c>
    </x:row>
    <x:row r="16">
      <x:c r="A16" s="288" t="str">
        <x:v>R-012</x:v>
      </x:c>
      <x:c r="B16" s="288" t="str">
        <x:v>SUP1-003, SUP1-004, SUP1-005, SUP2-002:SUP2-005</x:v>
      </x:c>
      <x:c r="C16" s="288" t="str">
        <x:v>Configuración vs gobierno</x:v>
      </x:c>
      <x:c r="D16" s="288" t="str">
        <x:v>La mesa de ayuda y el diseño ITSM repetían flujo, prioridades, SLA y procesos.</x:v>
      </x:c>
      <x:c r="E16" s="288" t="str">
        <x:v>Consolidación por alcance</x:v>
      </x:c>
      <x:c r="F16" s="288" t="str">
        <x:v>SUP-01 parametriza una base; SUP-02 diseña formalmente los procesos y reemplaza esa definición cuando se contratan juntos.</x:v>
      </x:c>
      <x:c r="G16" s="288" t="str">
        <x:v>SUP-01 se renombró como parametrización; SUP-02 como diseño formal.</x:v>
      </x:c>
      <x:c r="H16" s="288" t="str">
        <x:v>Aplicado</x:v>
      </x:c>
    </x:row>
    <x:row r="17">
      <x:c r="A17" s="288" t="str">
        <x:v>R-013</x:v>
      </x:c>
      <x:c r="B17" s="288" t="str">
        <x:v>SUP1-010, SUP2-010</x:v>
      </x:c>
      <x:c r="C17" s="288" t="str">
        <x:v>Reportería</x:v>
      </x:c>
      <x:c r="D17" s="288" t="str">
        <x:v>Ambos servicios incluían reportes.</x:v>
      </x:c>
      <x:c r="E17" s="288" t="str">
        <x:v>Consolidación por alcance</x:v>
      </x:c>
      <x:c r="F17" s="288" t="str">
        <x:v>SUP1-010 entrega el reporte inicial; SUP2-010 configura reportería operacional avanzada.</x:v>
      </x:c>
      <x:c r="G17" s="288" t="str">
        <x:v>Nombres y exclusiones aclarados.</x:v>
      </x:c>
      <x:c r="H17" s="288" t="str">
        <x:v>Aplicado</x:v>
      </x:c>
    </x:row>
    <x:row r="18">
      <x:c r="A18" s="288" t="str">
        <x:v>R-014</x:v>
      </x:c>
      <x:c r="B18" s="288" t="str">
        <x:v>SEC1-001, SEC2-001, SEC3-001</x:v>
      </x:c>
      <x:c r="C18" s="288" t="str">
        <x:v>Inventarios similares</x:v>
      </x:c>
      <x:c r="D18" s="288" t="str">
        <x:v>Los tres comienzan con inventarios, pero revisan componentes, activos vulnerables e identidades.</x:v>
      </x:c>
      <x:c r="E18" s="288" t="str">
        <x:v>Mantener separados</x:v>
      </x:c>
      <x:c r="F18" s="288" t="str">
        <x:v>No se consolidan porque el objeto de revisión y el entregable son diferentes.</x:v>
      </x:c>
      <x:c r="G18" s="288" t="str">
        <x:v>Sin cambio de HH.</x:v>
      </x:c>
      <x:c r="H18" s="288" t="str">
        <x:v>Revisado</x:v>
      </x:c>
    </x:row>
    <x:row r="19">
      <x:c r="A19" s="288" t="str">
        <x:v>R-015</x:v>
      </x:c>
      <x:c r="B19" s="288" t="str">
        <x:v>MON1-006, MON2-007, MON3-004</x:v>
      </x:c>
      <x:c r="C19" s="288" t="str">
        <x:v>Dashboards similares</x:v>
      </x:c>
      <x:c r="D19" s="288" t="str">
        <x:v>Existen dashboards de disponibilidad, errores y métricas.</x:v>
      </x:c>
      <x:c r="E19" s="288" t="str">
        <x:v>Mantener separados</x:v>
      </x:c>
      <x:c r="F19" s="288" t="str">
        <x:v>Cada dashboard usa datos, indicadores y objetivos distintos; la reutilización ISM ya reduce la construcción base.</x:v>
      </x:c>
      <x:c r="G19" s="288" t="str">
        <x:v>Sin cambio de HH.</x:v>
      </x:c>
      <x:c r="H19" s="288" t="str">
        <x:v>Revisado</x:v>
      </x:c>
    </x:row>
  </x:sheetData>
  <x:mergeCells>
    <x:mergeCell ref="A1:H1"/>
    <x:mergeCell ref="A2:H2"/>
  </x:mergeCells>
  <x:conditionalFormatting sqref="H5:H19">
    <x:cfRule type="expression" dxfId="3" priority="1">
      <x:formula>H5="Aplicado"</x:formula>
    </x:cfRule>
    <x:cfRule type="expression" dxfId="4" priority="2">
      <x:formula>H5="Revisado"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beb5db784d4725"/>
  </x:tableParts>
</x:worksheet>
</file>