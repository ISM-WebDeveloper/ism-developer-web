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5d8f3bfd8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efb857a5e2a4843"/>
    <x:sheet xmlns:r="http://schemas.openxmlformats.org/officeDocument/2006/relationships" name="Parametros" sheetId="2" r:id="R136ee76639cb4a08"/>
    <x:sheet xmlns:r="http://schemas.openxmlformats.org/officeDocument/2006/relationships" name="Resumen" sheetId="3" r:id="R7cb92b3cbc85453b"/>
    <x:sheet xmlns:r="http://schemas.openxmlformats.org/officeDocument/2006/relationships" name="Catalogo Maestro" sheetId="4" r:id="R75a869fd37974621"/>
    <x:sheet xmlns:r="http://schemas.openxmlformats.org/officeDocument/2006/relationships" name="Desarrollo" sheetId="5" r:id="R9ae34bfcf89b4dce"/>
    <x:sheet xmlns:r="http://schemas.openxmlformats.org/officeDocument/2006/relationships" name="Mantenimiento" sheetId="6" r:id="R1a874035ead24f23"/>
    <x:sheet xmlns:r="http://schemas.openxmlformats.org/officeDocument/2006/relationships" name="Monitoreo" sheetId="7" r:id="R2feb6359462448aa"/>
    <x:sheet xmlns:r="http://schemas.openxmlformats.org/officeDocument/2006/relationships" name="Continuidad" sheetId="8" r:id="R22cbff5aa95e41c8"/>
    <x:sheet xmlns:r="http://schemas.openxmlformats.org/officeDocument/2006/relationships" name="Ciberseguridad" sheetId="9" r:id="R00d217e7e4014a8a"/>
    <x:sheet xmlns:r="http://schemas.openxmlformats.org/officeDocument/2006/relationships" name="Soporte" sheetId="10" r:id="Re5469ee939384395"/>
    <x:sheet xmlns:r="http://schemas.openxmlformats.org/officeDocument/2006/relationships" name="Calculo Final" sheetId="11" r:id="Rd59c395bdd9c4719"/>
    <x:sheet xmlns:r="http://schemas.openxmlformats.org/officeDocument/2006/relationships" name="Validacion HH" sheetId="12" r:id="Rd461f3afed4245c9"/>
  </x:sheets>
</x:workbook>
</file>

<file path=xl/sharedStrings.xml><?xml version="1.0" encoding="utf-8"?>
<x:sst xmlns:x="http://schemas.openxmlformats.org/spreadsheetml/2006/main">
  <x:si>
    <x:t xml:space="preserve">ISM DEVELOPER · CATÁLOGO TÉCNICO DE SERVICIOS v2.3</x:t>
  </x:si>
  <x:si>
    <x:t xml:space="preserve">Modelo simplificado: una actividad = una duración base = un valor base. Los ajustes se aplican una sola vez al total del proyecto.</x:t>
  </x:si>
  <x:si>
    <x:t xml:space="preserve">PRINCIPIOS DE ESTA VERSIÓN</x:t>
  </x:si>
  <x:si>
    <x:t xml:space="preserve">COBERTURA</x:t>
  </x:si>
  <x:si>
    <x:t xml:space="preserve">1</x:t>
  </x:si>
  <x:si>
    <x:t xml:space="preserve">Una sola HH base por actividad</x:t>
  </x:si>
  <x:si>
    <x:t xml:space="preserve">Se eliminan escenarios Inicial / Estándar / Avanzado, complejidad y factores por fila.</x:t>
  </x:si>
  <x:si>
    <x:t xml:space="preserve">Líneas de servicio</x:t>
  </x:si>
  <x:si>
    <x:t xml:space="preserve">Servicios</x:t>
  </x:si>
  <x:si>
    <x:t xml:space="preserve">2</x:t>
  </x:si>
  <x:si>
    <x:t xml:space="preserve">Un solo valor base</x:t>
  </x:si>
  <x:si>
    <x:t xml:space="preserve">Valor base = HH base × 0,7 UF/HH. No existen múltiples precios por actividad.</x:t>
  </x:si>
  <x:si>
    <x:t xml:space="preserve">Actividades técnicas</x:t>
  </x:si>
  <x:si>
    <x:t xml:space="preserve">Tarifa</x:t>
  </x:si>
  <x:si>
    <x:t xml:space="preserve">0,70 UF/HH</x:t>
  </x:si>
  <x:si>
    <x:t xml:space="preserve">3</x:t>
  </x:si>
  <x:si>
    <x:t xml:space="preserve">Ajustes solo al final</x:t>
  </x:si>
  <x:si>
    <x:t xml:space="preserve">Reutilización, mayor esfuerzo o simplificación se resuelven con un único Factor global de ejecución aplicado al total.</x:t>
  </x:si>
  <x:si>
    <x:t xml:space="preserve">Modelo</x:t>
  </x:si>
  <x:si>
    <x:t xml:space="preserve">100% base</x:t>
  </x:si>
  <x:si>
    <x:t xml:space="preserve">Contingencia</x:t>
  </x:si>
  <x:si>
    <x:t xml:space="preserve">20% final</x:t>
  </x:si>
  <x:si>
    <x:t xml:space="preserve">4</x:t>
  </x:si>
  <x:si>
    <x:t xml:space="preserve">Contingencia solo al final</x:t>
  </x:si>
  <x:si>
    <x:t xml:space="preserve">La contingencia comercial (20% por defecto) se aplica después del factor global, nunca actividad por actividad.</x:t>
  </x:si>
  <x:si>
    <x:t xml:space="preserve">CÓMO USAR EL CATÁLOGO</x:t>
  </x:si>
  <x:si>
    <x:t xml:space="preserve">LÍNEAS DE SERVICIO</x:t>
  </x:si>
  <x:si>
    <x:t xml:space="preserve">Editar solo Catálogo Maestro</x:t>
  </x:si>
  <x:si>
    <x:t xml:space="preserve">Ajusta nombre, alcance o HH base. Las vistas por línea están vinculadas a la fuente maestra.</x:t>
  </x:si>
  <x:si>
    <x:t xml:space="preserve">Desarrollo e Implementación</x:t>
  </x:si>
  <x:si>
    <x:t xml:space="preserve">Sitios web, aplicaciones, integraciones y automatizaciones.</x:t>
  </x:si>
  <x:si>
    <x:t xml:space="preserve">Seleccionar actividades del proyecto</x:t>
  </x:si>
  <x:si>
    <x:t xml:space="preserve">El configurador o la guía determina qué procesos corresponden al alcance real.</x:t>
  </x:si>
  <x:si>
    <x:t xml:space="preserve">Mantenimiento y Evolución</x:t>
  </x:si>
  <x:si>
    <x:t xml:space="preserve">Errores, nuevas funciones, modernización y rendimiento.</x:t>
  </x:si>
  <x:si>
    <x:t xml:space="preserve">Sumar las HH base</x:t>
  </x:si>
  <x:si>
    <x:t xml:space="preserve">Ese subtotal representa un proyecto nuevo ejecutado al 100% de la base definida.</x:t>
  </x:si>
  <x:si>
    <x:t xml:space="preserve">Monitoreo y Observabilidad</x:t>
  </x:si>
  <x:si>
    <x:t xml:space="preserve">Disponibilidad, logs, métricas y rendimiento operacional.</x:t>
  </x:si>
  <x:si>
    <x:t xml:space="preserve">Aplicar Factor global de ejecución</x:t>
  </x:si>
  <x:si>
    <x:t xml:space="preserve">100% = base nueva. Menor a 100% = reutilización. Mayor a 100% = esfuerzo extraordinario, si corresponde.</x:t>
  </x:si>
  <x:si>
    <x:t xml:space="preserve">Respaldo y Continuidad</x:t>
  </x:si>
  <x:si>
    <x:t xml:space="preserve">Respaldos, recuperación y continuidad de información.</x:t>
  </x:si>
  <x:si>
    <x:t xml:space="preserve">5</x:t>
  </x:si>
  <x:si>
    <x:t xml:space="preserve">Aplicar contingencia</x:t>
  </x:si>
  <x:si>
    <x:t xml:space="preserve">La contingencia se agrega una sola vez al final del proyecto.</x:t>
  </x:si>
  <x:si>
    <x:t xml:space="preserve">Ciberseguridad</x:t>
  </x:si>
  <x:si>
    <x:t xml:space="preserve">Hardening, vulnerabilidades, accesos y respuesta a incidentes.</x:t>
  </x:si>
  <x:si>
    <x:t xml:space="preserve">Soporte y Gestión</x:t>
  </x:si>
  <x:si>
    <x:t xml:space="preserve">Mesa de ayuda, incidentes, soporte evolutivo y documentación.</x:t>
  </x:si>
  <x:si>
    <x:t xml:space="preserve">PARÁMETROS Y REGLA ÚNICA DE VALORIZACIÓN</x:t>
  </x:si>
  <x:si>
    <x:t xml:space="preserve">Los porcentajes no modifican actividades individuales. Se aplican únicamente al total del proyecto.</x:t>
  </x:si>
  <x:si>
    <x:t xml:space="preserve">Parámetro</x:t>
  </x:si>
  <x:si>
    <x:t xml:space="preserve">Valor</x:t>
  </x:si>
  <x:si>
    <x:t xml:space="preserve">Unidad</x:t>
  </x:si>
  <x:si>
    <x:t xml:space="preserve">Dónde se aplica</x:t>
  </x:si>
  <x:si>
    <x:t xml:space="preserve">Editable</x:t>
  </x:si>
  <x:si>
    <x:t xml:space="preserve">Observación</x:t>
  </x:si>
  <x:si>
    <x:t xml:space="preserve">Versión del catálogo</x:t>
  </x:si>
  <x:si>
    <x:t xml:space="preserve">2.3</x:t>
  </x:si>
  <x:si>
    <x:t xml:space="preserve">Texto</x:t>
  </x:si>
  <x:si>
    <x:t xml:space="preserve">Control documental</x:t>
  </x:si>
  <x:si>
    <x:t xml:space="preserve">No</x:t>
  </x:si>
  <x:si>
    <x:t xml:space="preserve">Modelo simplificado de valorización.</x:t>
  </x:si>
  <x:si>
    <x:t xml:space="preserve">Fecha de emisión</x:t>
  </x:si>
  <x:si>
    <x:t xml:space="preserve">2026-08-15</x:t>
  </x:si>
  <x:si>
    <x:t xml:space="preserve">AAAA-MM-DD</x:t>
  </x:si>
  <x:si>
    <x:t xml:space="preserve">Fecha de esta revisión.</x:t>
  </x:si>
  <x:si>
    <x:t xml:space="preserve">Responsable</x:t>
  </x:si>
  <x:si>
    <x:t xml:space="preserve">ISM Developer</x:t>
  </x:si>
  <x:si>
    <x:t xml:space="preserve">Catálogo</x:t>
  </x:si>
  <x:si>
    <x:t xml:space="preserve">Sí</x:t>
  </x:si>
  <x:si>
    <x:t xml:space="preserve">Responsable de aprobar cambios.</x:t>
  </x:si>
  <x:si>
    <x:t xml:space="preserve">Tarifa base</x:t>
  </x:si>
  <x:si>
    <x:t xml:space="preserve">UF / HH</x:t>
  </x:si>
  <x:si>
    <x:t xml:space="preserve">Todas las actividades</x:t>
  </x:si>
  <x:si>
    <x:t xml:space="preserve">Tarifa maestra transversal de ISM Developer.</x:t>
  </x:si>
  <x:si>
    <x:t xml:space="preserve">Contingencia final</x:t>
  </x:si>
  <x:si>
    <x:t xml:space="preserve">%</x:t>
  </x:si>
  <x:si>
    <x:t xml:space="preserve">Total del proyecto</x:t>
  </x:si>
  <x:si>
    <x:t xml:space="preserve">Se aplica una sola vez al final.</x:t>
  </x:si>
  <x:si>
    <x:t xml:space="preserve">REGLA DE CÁLCULO</x:t>
  </x:si>
  <x:si>
    <x:t xml:space="preserve">Subtotal HH base</x:t>
  </x:si>
  <x:si>
    <x:t xml:space="preserve">Suma de HH base × cantidad de las actividades seleccionadas.</x:t>
  </x:si>
  <x:si>
    <x:t xml:space="preserve">Factor global de ejecución</x:t>
  </x:si>
  <x:si>
    <x:t xml:space="preserve">Se define al final del proyecto. 100% = base; &lt;100% = reutilización; &gt;100% = esfuerzo extraordinario.</x:t>
  </x:si>
  <x:si>
    <x:t xml:space="preserve">Valor técnico</x:t>
  </x:si>
  <x:si>
    <x:t xml:space="preserve">HH ajustadas × 0,70 UF/HH.</x:t>
  </x:si>
  <x:si>
    <x:t xml:space="preserve">Valor final de referencia</x:t>
  </x:si>
  <x:si>
    <x:t xml:space="preserve">Valor técnico + contingencia final.</x:t>
  </x:si>
  <x:si>
    <x:t xml:space="preserve">FÓRMULA</x:t>
  </x:si>
  <x:si>
    <x:t xml:space="preserve">Total UF = (HH base seleccionadas × Factor global de ejecución × Tarifa UF/HH) × (1 + Contingencia final)</x:t>
  </x:si>
  <x:si>
    <x:t xml:space="preserve">RESUMEN · SERVICIOS Y BASES 100% NUEVAS</x:t>
  </x:si>
  <x:si>
    <x:t xml:space="preserve">Los valores representan la base del servicio sin reutilización ni contingencia. Los ajustes se hacen únicamente en Cálculo Final.</x:t>
  </x:si>
  <x:si>
    <x:t xml:space="preserve">Línea</x:t>
  </x:si>
  <x:si>
    <x:t xml:space="preserve">Código</x:t>
  </x:si>
  <x:si>
    <x:t xml:space="preserve">Servicio / solución</x:t>
  </x:si>
  <x:si>
    <x:t xml:space="preserve">Actividades</x:t>
  </x:si>
  <x:si>
    <x:t xml:space="preserve">HH base incluidas</x:t>
  </x:si>
  <x:si>
    <x:t xml:space="preserve">Valor base UF</x:t>
  </x:si>
  <x:si>
    <x:t xml:space="preserve">Estado</x:t>
  </x:si>
  <x:si>
    <x:t xml:space="preserve">WEB-01</x:t>
  </x:si>
  <x:si>
    <x:t xml:space="preserve">Sitio web profesional</x:t>
  </x:si>
  <x:si>
    <x:t xml:space="preserve">Preliminar</x:t>
  </x:si>
  <x:si>
    <x:t xml:space="preserve">APP-01</x:t>
  </x:si>
  <x:si>
    <x:t xml:space="preserve">Sistema web o aplicación de gestión</x:t>
  </x:si>
  <x:si>
    <x:t xml:space="preserve">INT-01</x:t>
  </x:si>
  <x:si>
    <x:t xml:space="preserve">Integración y automatización de procesos</x:t>
  </x:si>
  <x:si>
    <x:t xml:space="preserve">MNT-01</x:t>
  </x:si>
  <x:si>
    <x:t xml:space="preserve">Corrección de errores y estabilización</x:t>
  </x:si>
  <x:si>
    <x:t xml:space="preserve">MNT-02</x:t>
  </x:si>
  <x:si>
    <x:t xml:space="preserve">Incorporación de nueva funcionalidad</x:t>
  </x:si>
  <x:si>
    <x:t xml:space="preserve">MNT-03</x:t>
  </x:si>
  <x:si>
    <x:t xml:space="preserve">Modernización, refactorización y actualización tecnológica</x:t>
  </x:si>
  <x:si>
    <x:t xml:space="preserve">MNT-04</x:t>
  </x:si>
  <x:si>
    <x:t xml:space="preserve">Optimización de rendimiento</x:t>
  </x:si>
  <x:si>
    <x:t xml:space="preserve">MON-01</x:t>
  </x:si>
  <x:si>
    <x:t xml:space="preserve">Monitoreo de disponibilidad</x:t>
  </x:si>
  <x:si>
    <x:t xml:space="preserve">MON-02</x:t>
  </x:si>
  <x:si>
    <x:t xml:space="preserve">Centralización de logs y trazabilidad</x:t>
  </x:si>
  <x:si>
    <x:t xml:space="preserve">MON-03</x:t>
  </x:si>
  <x:si>
    <x:t xml:space="preserve">Métricas y rendimiento</x:t>
  </x:si>
  <x:si>
    <x:t xml:space="preserve">BCP-01</x:t>
  </x:si>
  <x:si>
    <x:t xml:space="preserve">Implementación de respaldos</x:t>
  </x:si>
  <x:si>
    <x:t xml:space="preserve">BCP-02</x:t>
  </x:si>
  <x:si>
    <x:t xml:space="preserve">Plan de recuperación ante desastres</x:t>
  </x:si>
  <x:si>
    <x:t xml:space="preserve">BCP-03</x:t>
  </x:si>
  <x:si>
    <x:t xml:space="preserve">Retención y ciclo de vida de datos</x:t>
  </x:si>
  <x:si>
    <x:t xml:space="preserve">SEC-01</x:t>
  </x:si>
  <x:si>
    <x:t xml:space="preserve">Hardening de plataforma</x:t>
  </x:si>
  <x:si>
    <x:t xml:space="preserve">SEC-02</x:t>
  </x:si>
  <x:si>
    <x:t xml:space="preserve">Gestión de vulnerabilidades y parches</x:t>
  </x:si>
  <x:si>
    <x:t xml:space="preserve">SEC-03</x:t>
  </x:si>
  <x:si>
    <x:t xml:space="preserve">Identidad y control de accesos</x:t>
  </x:si>
  <x:si>
    <x:t xml:space="preserve">SEC-04</x:t>
  </x:si>
  <x:si>
    <x:t xml:space="preserve">Preparación para respuesta a incidentes</x:t>
  </x:si>
  <x:si>
    <x:t xml:space="preserve">SUP-01</x:t>
  </x:si>
  <x:si>
    <x:t xml:space="preserve">Implementación de mesa de ayuda</x:t>
  </x:si>
  <x:si>
    <x:t xml:space="preserve">SUP-02</x:t>
  </x:si>
  <x:si>
    <x:t xml:space="preserve">Gestión de incidentes, solicitudes y cambios</x:t>
  </x:si>
  <x:si>
    <x:t xml:space="preserve">SUP-03</x:t>
  </x:si>
  <x:si>
    <x:t xml:space="preserve">Bolsa mensual de soporte evolutivo</x:t>
  </x:si>
  <x:si>
    <x:t xml:space="preserve">SUP-04</x:t>
  </x:si>
  <x:si>
    <x:t xml:space="preserve">Documentación y base de conocimiento</x:t>
  </x:si>
  <x:si>
    <x:t xml:space="preserve">Nota: la suma del catálogo completo no representa una cotización. Cada proyecto utiliza solo las actividades que correspondan a su alcance.</x:t>
  </x:si>
  <x:si>
    <x:t xml:space="preserve">CATÁLOGO MAESTRO · FUENTE ÚNICA DE VERDAD</x:t>
  </x:si>
  <x:si>
    <x:t xml:space="preserve">Edite aquí las HH base y los alcances. No existen factores de reutilización, complejidad ni escenarios por actividad.</x:t>
  </x:si>
  <x:si>
    <x:t xml:space="preserve">Línea de servicio</x:t>
  </x:si>
  <x:si>
    <x:t xml:space="preserve">Código servicio</x:t>
  </x:si>
  <x:si>
    <x:t xml:space="preserve">Fase</x:t>
  </x:si>
  <x:si>
    <x:t xml:space="preserve">Código actividad</x:t>
  </x:si>
  <x:si>
    <x:t xml:space="preserve">Actividad / proceso</x:t>
  </x:si>
  <x:si>
    <x:t xml:space="preserve">Condición</x:t>
  </x:si>
  <x:si>
    <x:t xml:space="preserve">Cantidad base</x:t>
  </x:si>
  <x:si>
    <x:t xml:space="preserve">HH base / unidad</x:t>
  </x:si>
  <x:si>
    <x:t xml:space="preserve">Valor base UF / unidad</x:t>
  </x:si>
  <x:si>
    <x:t xml:space="preserve">Qué incluye</x:t>
  </x:si>
  <x:si>
    <x:t xml:space="preserve">Exclusiones</x:t>
  </x:si>
  <x:si>
    <x:t xml:space="preserve">Dependencias</x:t>
  </x:si>
  <x:si>
    <x:t xml:space="preserve">Planificación</x:t>
  </x:si>
  <x:si>
    <x:t xml:space="preserve">WEB-001</x:t>
  </x:si>
  <x:si>
    <x:t xml:space="preserve">Levantamiento y planificación inicial</x:t>
  </x:si>
  <x:si>
    <x:t xml:space="preserve">Base obligatorio</x:t>
  </x:si>
  <x:si>
    <x:t xml:space="preserve">Proyecto</x:t>
  </x:si>
  <x:si>
    <x:t xml:space="preserve">Incluye: objetivos y público objetivo; inventario de contenidos; propuesta de valor y CTA principal; mapa de navegación; orden de secciones; flujo general; wireframe base de la página principal.</x:t>
  </x:si>
  <x:si>
    <x:t xml:space="preserve">No incluye redacción profesional completa, investigación de mercado extensa ni prototipo de alta fidelidad.</x:t>
  </x:si>
  <x:si>
    <x:t xml:space="preserve">Preparación</x:t>
  </x:si>
  <x:si>
    <x:t xml:space="preserve">WEB-005</x:t>
  </x:si>
  <x:si>
    <x:t xml:space="preserve">Preparación técnica y sistema visual base</x:t>
  </x:si>
  <x:si>
    <x:t xml:space="preserve">Incluye: creación/ajuste de repositorio; estructura del proyecto; configuración inicial; colores, tipografías, espaciados, botones y componentes base reutilizables.</x:t>
  </x:si>
  <x:si>
    <x:t xml:space="preserve">No incluye branding completo ni diseño de identidad corporativa desde cero.</x:t>
  </x:si>
  <x:si>
    <x:t xml:space="preserve">Interfaz</x:t>
  </x:si>
  <x:si>
    <x:t xml:space="preserve">WEB-007</x:t>
  </x:si>
  <x:si>
    <x:t xml:space="preserve">Navbar, navegación principal y menú móvil</x:t>
  </x:si>
  <x:si>
    <x:t xml:space="preserve">Componente</x:t>
  </x:si>
  <x:si>
    <x:t xml:space="preserve">Incluye: logo, enlaces, CTA de navegación cuando corresponda, estados activos y comportamiento móvil.</x:t>
  </x:si>
  <x:si>
    <x:t xml:space="preserve">No incluye megamenús complejos ni navegación dinámica por permisos.</x:t>
  </x:si>
  <x:si>
    <x:t xml:space="preserve">WEB-001; WEB-005</x:t>
  </x:si>
  <x:si>
    <x:t xml:space="preserve">WEB-008</x:t>
  </x:si>
  <x:si>
    <x:t xml:space="preserve">Hero principal y llamada a la acción</x:t>
  </x:si>
  <x:si>
    <x:t xml:space="preserve">Incluye: titular, subtítulo, CTA, recurso visual entregado/disponible, composición y adaptación responsive.</x:t>
  </x:si>
  <x:si>
    <x:t xml:space="preserve">No incluye sesión fotográfica, producción audiovisual ni ilustración compleja a medida.</x:t>
  </x:si>
  <x:si>
    <x:t xml:space="preserve">WEB-009</x:t>
  </x:si>
  <x:si>
    <x:t xml:space="preserve">Sección estándar de contenido</x:t>
  </x:si>
  <x:si>
    <x:t xml:space="preserve">Base incluido</x:t>
  </x:si>
  <x:si>
    <x:t xml:space="preserve">Sección</x:t>
  </x:si>
  <x:si>
    <x:t xml:space="preserve">Incluye por unidad: título, texto, imagen/icono, tarjetas simples o bloque informativo y adaptación responsive.</x:t>
  </x:si>
  <x:si>
    <x:t xml:space="preserve">No incluye lógica avanzada, filtros ni contenido dinámico.</x:t>
  </x:si>
  <x:si>
    <x:t xml:space="preserve">WEB-010</x:t>
  </x:si>
  <x:si>
    <x:t xml:space="preserve">Sección de servicios con tarjetas</x:t>
  </x:si>
  <x:si>
    <x:t xml:space="preserve">Incluye: tarjetas de servicios, iconos o imágenes, descripciones breves y CTA relacionado.</x:t>
  </x:si>
  <x:si>
    <x:t xml:space="preserve">No incluye catálogo transaccional, reservas ni cálculo dinámico de precios.</x:t>
  </x:si>
  <x:si>
    <x:t xml:space="preserve">WEB-011</x:t>
  </x:si>
  <x:si>
    <x:t xml:space="preserve">Galería o portafolio</x:t>
  </x:si>
  <x:si>
    <x:t xml:space="preserve">Opcional</x:t>
  </x:si>
  <x:si>
    <x:t xml:space="preserve">Incluye: grilla/slider, visualización de proyectos o trabajos, modal o navegación simple según alcance.</x:t>
  </x:si>
  <x:si>
    <x:t xml:space="preserve">No incluye carga masiva, edición de imágenes ni CMS complejo.</x:t>
  </x:si>
  <x:si>
    <x:t xml:space="preserve">WEB-012</x:t>
  </x:si>
  <x:si>
    <x:t xml:space="preserve">Testimonios o casos de éxito</x:t>
  </x:si>
  <x:si>
    <x:t xml:space="preserve">Incluye: tarjetas, autor, cargo/empresa cuando aplique y adaptación responsive.</x:t>
  </x:si>
  <x:si>
    <x:t xml:space="preserve">No incluye producción de testimonios ni validación legal de contenido.</x:t>
  </x:si>
  <x:si>
    <x:t xml:space="preserve">WEB-013</x:t>
  </x:si>
  <x:si>
    <x:t xml:space="preserve">Preguntas frecuentes</x:t>
  </x:si>
  <x:si>
    <x:t xml:space="preserve">Incluye: acordeón o listado estructurado, estados y contenido entregado por cliente.</x:t>
  </x:si>
  <x:si>
    <x:t xml:space="preserve">No incluye redacción especializada ni base de conocimiento dinámica.</x:t>
  </x:si>
  <x:si>
    <x:t xml:space="preserve">Conversión</x:t>
  </x:si>
  <x:si>
    <x:t xml:space="preserve">WEB-014</x:t>
  </x:si>
  <x:si>
    <x:t xml:space="preserve">Formulario de contacto con envío por correo</x:t>
  </x:si>
  <x:si>
    <x:t xml:space="preserve">Formulario</x:t>
  </x:si>
  <x:si>
    <x:t xml:space="preserve">Incluye: campos, validaciones, estados, consentimiento básico, endpoint o servicio de envío, plantilla simple de correo y prueba de entrega.</x:t>
  </x:si>
  <x:si>
    <x:t xml:space="preserve">No incluye CRM, automatizaciones complejas, adjuntos pesados ni flujos de aprobación.</x:t>
  </x:si>
  <x:si>
    <x:t xml:space="preserve">WEB-015</x:t>
  </x:si>
  <x:si>
    <x:t xml:space="preserve">Footer y cierre de navegación</x:t>
  </x:si>
  <x:si>
    <x:t xml:space="preserve">Incluye: datos de contacto, enlaces legales/útiles, redes cuando existan y estructura responsive.</x:t>
  </x:si>
  <x:si>
    <x:t xml:space="preserve">No incluye contenido legal redactado por ISM.</x:t>
  </x:si>
  <x:si>
    <x:t xml:space="preserve">WEB-016</x:t>
  </x:si>
  <x:si>
    <x:t xml:space="preserve">Página interna estándar</x:t>
  </x:si>
  <x:si>
    <x:t xml:space="preserve">Página</x:t>
  </x:si>
  <x:si>
    <x:t xml:space="preserve">Incluye: estructura reutilizando navbar/footer, hero interno y bloques estándar de contenido.</x:t>
  </x:si>
  <x:si>
    <x:t xml:space="preserve">No incluye lógica transaccional ni diseño completamente único por página.</x:t>
  </x:si>
  <x:si>
    <x:t xml:space="preserve">WEB-005; WEB-007</x:t>
  </x:si>
  <x:si>
    <x:t xml:space="preserve">Integración ligera</x:t>
  </x:si>
  <x:si>
    <x:t xml:space="preserve">WEB-017</x:t>
  </x:si>
  <x:si>
    <x:t xml:space="preserve">Integración de WhatsApp</x:t>
  </x:si>
  <x:si>
    <x:t xml:space="preserve">Integración</x:t>
  </x:si>
  <x:si>
    <x:t xml:space="preserve">Incluye: enlace, mensaje inicial opcional, CTA y pruebas de funcionamiento.</x:t>
  </x:si>
  <x:si>
    <x:t xml:space="preserve">No incluye chatbot, API oficial ni automatización de conversaciones.</x:t>
  </x:si>
  <x:si>
    <x:t xml:space="preserve">WEB-018</x:t>
  </x:si>
  <x:si>
    <x:t xml:space="preserve">Integración de redes sociales</x:t>
  </x:si>
  <x:si>
    <x:t xml:space="preserve">Incluye: enlaces/iconos a redes definidas y verificación básica.</x:t>
  </x:si>
  <x:si>
    <x:t xml:space="preserve">No incluye gestión de redes, feeds dinámicos ni APIs sociales.</x:t>
  </x:si>
  <x:si>
    <x:t xml:space="preserve">WEB-019</x:t>
  </x:si>
  <x:si>
    <x:t xml:space="preserve">Integración de mapa o ubicación</x:t>
  </x:si>
  <x:si>
    <x:t xml:space="preserve">Incluye: mapa embebido o enlace de ubicación y prueba responsive.</x:t>
  </x:si>
  <x:si>
    <x:t xml:space="preserve">No incluye cálculo de rutas, geocodificación ni mapas personalizados.</x:t>
  </x:si>
  <x:si>
    <x:t xml:space="preserve">Contenido</x:t>
  </x:si>
  <x:si>
    <x:t xml:space="preserve">WEB-021</x:t>
  </x:si>
  <x:si>
    <x:t xml:space="preserve">Carga y formato inicial de contenidos</x:t>
  </x:si>
  <x:si>
    <x:t xml:space="preserve">Incluye: carga, jerarquía, formato y ajustes menores sobre textos e imágenes entregados por el cliente.</x:t>
  </x:si>
  <x:si>
    <x:t xml:space="preserve">No incluye copywriting profesional, traducción ni producción masiva de contenido.</x:t>
  </x:si>
  <x:si>
    <x:t xml:space="preserve">Calidad</x:t>
  </x:si>
  <x:si>
    <x:t xml:space="preserve">WEB-022</x:t>
  </x:si>
  <x:si>
    <x:t xml:space="preserve">Validación responsive y compatibilidad final</x:t>
  </x:si>
  <x:si>
    <x:t xml:space="preserve">Incluye: revisión final en móvil, tablet y escritorio; navegación; desbordes; foco; estados básicos y navegadores definidos. El responsive se construye desde el inicio en cada componente.</x:t>
  </x:si>
  <x:si>
    <x:t xml:space="preserve">No incluye reconstruir componentes fuera de alcance.</x:t>
  </x:si>
  <x:si>
    <x:t xml:space="preserve">WEB-007; WEB-008; WEB-009; WEB-010; WEB-014; WEB-015</x:t>
  </x:si>
  <x:si>
    <x:t xml:space="preserve">SEO</x:t>
  </x:si>
  <x:si>
    <x:t xml:space="preserve">WEB-023</x:t>
  </x:si>
  <x:si>
    <x:t xml:space="preserve">SEO técnico inicial e indexabilidad</x:t>
  </x:si>
  <x:si>
    <x:t xml:space="preserve">Incluye: titles, descriptions, canonical, OG/social, sitemap, robots, revisión de indexabilidad y datos estructurados básicos cuando apliquen.</x:t>
  </x:si>
  <x:si>
    <x:t xml:space="preserve">No incluye estrategia SEO mensual, link building ni investigación avanzada de palabras clave.</x:t>
  </x:si>
  <x:si>
    <x:t xml:space="preserve">Optimización</x:t>
  </x:si>
  <x:si>
    <x:t xml:space="preserve">WEB-026</x:t>
  </x:si>
  <x:si>
    <x:t xml:space="preserve">Optimización técnica y accesibilidad básica</x:t>
  </x:si>
  <x:si>
    <x:t xml:space="preserve">Incluye: compresión/formato de imágenes, lazy loading, revisión de peso, semántica, contraste, foco, labels y navegación básica por teclado.</x:t>
  </x:si>
  <x:si>
    <x:t xml:space="preserve">No incluye auditoría WCAG formal ni optimización avanzada de Core Web Vitals.</x:t>
  </x:si>
  <x:si>
    <x:t xml:space="preserve">WEB-007:WEB-021</x:t>
  </x:si>
  <x:si>
    <x:t xml:space="preserve">Analítica</x:t>
  </x:si>
  <x:si>
    <x:t xml:space="preserve">WEB-029</x:t>
  </x:si>
  <x:si>
    <x:t xml:space="preserve">Analítica básica</x:t>
  </x:si>
  <x:si>
    <x:t xml:space="preserve">Incluye: configuración de herramienta analítica acordada, evento/pageview básico y validación.</x:t>
  </x:si>
  <x:si>
    <x:t xml:space="preserve">No incluye dashboards BI ni estrategia de medición avanzada.</x:t>
  </x:si>
  <x:si>
    <x:t xml:space="preserve">WEB-030</x:t>
  </x:si>
  <x:si>
    <x:t xml:space="preserve">QA funcional y ciclo consolidado de correcciones</x:t>
  </x:si>
  <x:si>
    <x:t xml:space="preserve">Incluye: pruebas de navegación y formularios/acciones presentes, revisión de enlaces, un ciclo consolidado de observaciones y correcciones dentro del alcance.</x:t>
  </x:si>
  <x:si>
    <x:t xml:space="preserve">No incluye cambios de alcance, nuevas secciones ni rediseño posterior a aprobación.</x:t>
  </x:si>
  <x:si>
    <x:t xml:space="preserve">Publicación</x:t>
  </x:si>
  <x:si>
    <x:t xml:space="preserve">WEB-033</x:t>
  </x:si>
  <x:si>
    <x:t xml:space="preserve">APP-001</x:t>
  </x:si>
  <x:si>
    <x:t xml:space="preserve">Levantamiento funcional, alcance y flujos principales</x:t>
  </x:si>
  <x:si>
    <x:t xml:space="preserve">Incluye: procesos actuales; actores; objetivos; historias/casos principales; criterios de aceptación; mapa de navegación; flujos y estados principales.</x:t>
  </x:si>
  <x:si>
    <x:t xml:space="preserve">No incluye documentación regulatoria extensa, BPMN formal completo ni consultoría de procesos independiente.</x:t>
  </x:si>
  <x:si>
    <x:t xml:space="preserve">Arquitectura</x:t>
  </x:si>
  <x:si>
    <x:t xml:space="preserve">APP-003</x:t>
  </x:si>
  <x:si>
    <x:t xml:space="preserve">Modelo de datos y persistencia base</x:t>
  </x:si>
  <x:si>
    <x:t xml:space="preserve">Incluye: entidades, relaciones, restricciones, esquema inicial, migraciones base y criterios de integridad.</x:t>
  </x:si>
  <x:si>
    <x:t xml:space="preserve">No incluye migración masiva de datos ni modelamiento analítico avanzado.</x:t>
  </x:si>
  <x:si>
    <x:t xml:space="preserve">Seguridad</x:t>
  </x:si>
  <x:si>
    <x:t xml:space="preserve">APP-004</x:t>
  </x:si>
  <x:si>
    <x:t xml:space="preserve">Diseño de roles y permisos</x:t>
  </x:si>
  <x:si>
    <x:t xml:space="preserve">Rol</x:t>
  </x:si>
  <x:si>
    <x:t xml:space="preserve">Incluye por rol: acciones permitidas, visibilidad, restricciones y criterios de protección.</x:t>
  </x:si>
  <x:si>
    <x:t xml:space="preserve">No incluye implementación técnica; se realiza en APP-015.</x:t>
  </x:si>
  <x:si>
    <x:t xml:space="preserve">APP-005</x:t>
  </x:si>
  <x:si>
    <x:t xml:space="preserve">Arquitectura técnica, proyecto y ambientes</x:t>
  </x:si>
  <x:si>
    <x:t xml:space="preserve">Incluye: frontend/backend/datos según alcance, repositorio, estructura del proyecto, variables y ambientes de trabajo.</x:t>
  </x:si>
  <x:si>
    <x:t xml:space="preserve">No incluye infraestructura empresarial compleja ni alta disponibilidad.</x:t>
  </x:si>
  <x:si>
    <x:t xml:space="preserve">UX/UI</x:t>
  </x:si>
  <x:si>
    <x:t xml:space="preserve">APP-007</x:t>
  </x:si>
  <x:si>
    <x:t xml:space="preserve">Wireframe de pantalla estándar</x:t>
  </x:si>
  <x:si>
    <x:t xml:space="preserve">Pantalla</x:t>
  </x:si>
  <x:si>
    <x:t xml:space="preserve">Incluye por pantalla: estructura, campos, acciones, estados y jerarquía necesaria para construir.</x:t>
  </x:si>
  <x:si>
    <x:t xml:space="preserve">No incluye prototipo de alta fidelidad por cada pantalla.</x:t>
  </x:si>
  <x:si>
    <x:t xml:space="preserve">Frontend</x:t>
  </x:si>
  <x:si>
    <x:t xml:space="preserve">APP-009</x:t>
  </x:si>
  <x:si>
    <x:t xml:space="preserve">Shell de aplicación y sistema visual</x:t>
  </x:si>
  <x:si>
    <x:t xml:space="preserve">Incluye: layout, menú, encabezados, navegación, estilos, componentes base y comportamiento responsive del shell.</x:t>
  </x:si>
  <x:si>
    <x:t xml:space="preserve">No incluye las pantallas CRUD específicas de APP-010.</x:t>
  </x:si>
  <x:si>
    <x:t xml:space="preserve">APP-005; APP-007</x:t>
  </x:si>
  <x:si>
    <x:t xml:space="preserve">APP-010</x:t>
  </x:si>
  <x:si>
    <x:t xml:space="preserve">Interfaz CRUD estándar</x:t>
  </x:si>
  <x:si>
    <x:t xml:space="preserve">Incluye por pantalla: listado, formulario, validaciones cliente, estados, mensajes y acciones de usuario.</x:t>
  </x:si>
  <x:si>
    <x:t xml:space="preserve">No incluye backend/persistencia; se contabiliza en APP-013.</x:t>
  </x:si>
  <x:si>
    <x:t xml:space="preserve">APP-003; APP-007</x:t>
  </x:si>
  <x:si>
    <x:t xml:space="preserve">APP-011</x:t>
  </x:si>
  <x:si>
    <x:t xml:space="preserve">Dashboard con indicadores</x:t>
  </x:si>
  <x:si>
    <x:t xml:space="preserve">Dashboard</x:t>
  </x:si>
  <x:si>
    <x:t xml:space="preserve">Incluye: KPIs acordados, tarjetas, filtros simples y visualización estándar.</x:t>
  </x:si>
  <x:si>
    <x:t xml:space="preserve">No incluye analítica predictiva ni BI avanzado.</x:t>
  </x:si>
  <x:si>
    <x:t xml:space="preserve">Backend</x:t>
  </x:si>
  <x:si>
    <x:t xml:space="preserve">APP-013</x:t>
  </x:si>
  <x:si>
    <x:t xml:space="preserve">Servicio CRUD backend estándar</x:t>
  </x:si>
  <x:si>
    <x:t xml:space="preserve">Entidad</x:t>
  </x:si>
  <x:si>
    <x:t xml:space="preserve">Incluye por entidad: crear, consultar, actualizar, eliminar cuando corresponda, validaciones de servidor y persistencia.</x:t>
  </x:si>
  <x:si>
    <x:t xml:space="preserve">No incluye reglas de negocio complejas; se contabilizan en APP-016.</x:t>
  </x:si>
  <x:si>
    <x:t xml:space="preserve">APP-014</x:t>
  </x:si>
  <x:si>
    <x:t xml:space="preserve">Autenticación y recuperación de acceso</x:t>
  </x:si>
  <x:si>
    <x:t xml:space="preserve">Sistema</x:t>
  </x:si>
  <x:si>
    <x:t xml:space="preserve">Incluye: login, logout, recuperación/restablecimiento y estados básicos de sesión.</x:t>
  </x:si>
  <x:si>
    <x:t xml:space="preserve">No incluye SSO empresarial, MFA avanzado ni proveedor de identidad externo complejo.</x:t>
  </x:si>
  <x:si>
    <x:t xml:space="preserve">APP-003; APP-005</x:t>
  </x:si>
  <x:si>
    <x:t xml:space="preserve">APP-015</x:t>
  </x:si>
  <x:si>
    <x:t xml:space="preserve">Autorización y protección por rol</x:t>
  </x:si>
  <x:si>
    <x:t xml:space="preserve">Incluye por rol: protección de rutas, acciones y consultas según matriz aprobada.</x:t>
  </x:si>
  <x:si>
    <x:t xml:space="preserve">No incluye políticas multi-organización complejas fuera del alcance.</x:t>
  </x:si>
  <x:si>
    <x:t xml:space="preserve">APP-004; APP-014</x:t>
  </x:si>
  <x:si>
    <x:t xml:space="preserve">Funcionalidad</x:t>
  </x:si>
  <x:si>
    <x:t xml:space="preserve">APP-016</x:t>
  </x:si>
  <x:si>
    <x:t xml:space="preserve">Flujo de negocio estándar</x:t>
  </x:si>
  <x:si>
    <x:t xml:space="preserve">Flujo</x:t>
  </x:si>
  <x:si>
    <x:t xml:space="preserve">Incluye por flujo: reglas, validaciones, cambios de estado, persistencia y manejo de errores del proceso definido.</x:t>
  </x:si>
  <x:si>
    <x:t xml:space="preserve">No incluye integraciones externas complejas; usar INT-01 cuando corresponda.</x:t>
  </x:si>
  <x:si>
    <x:t xml:space="preserve">Notificaciones</x:t>
  </x:si>
  <x:si>
    <x:t xml:space="preserve">APP-017</x:t>
  </x:si>
  <x:si>
    <x:t xml:space="preserve">Notificación operativa por correo</x:t>
  </x:si>
  <x:si>
    <x:t xml:space="preserve">Canal</x:t>
  </x:si>
  <x:si>
    <x:t xml:space="preserve">Incluye: plantilla simple, envío, variables, manejo básico de error y prueba.</x:t>
  </x:si>
  <x:si>
    <x:t xml:space="preserve">No incluye campañas, marketing automation ni proveedor de pago.</x:t>
  </x:si>
  <x:si>
    <x:t xml:space="preserve">Reportes</x:t>
  </x:si>
  <x:si>
    <x:t xml:space="preserve">APP-018</x:t>
  </x:si>
  <x:si>
    <x:t xml:space="preserve">Exportación o reporte estándar</x:t>
  </x:si>
  <x:si>
    <x:t xml:space="preserve">Formato</x:t>
  </x:si>
  <x:si>
    <x:t xml:space="preserve">Incluye por formato: selección de datos, columnas/campos, formato y descarga en Excel o PDF estándar.</x:t>
  </x:si>
  <x:si>
    <x:t xml:space="preserve">No incluye documentos de alta complejidad gráfica o maquetación editorial.</x:t>
  </x:si>
  <x:si>
    <x:t xml:space="preserve">Datos</x:t>
  </x:si>
  <x:si>
    <x:t xml:space="preserve">APP-023</x:t>
  </x:si>
  <x:si>
    <x:t xml:space="preserve">Carga o migración inicial de datos</x:t>
  </x:si>
  <x:si>
    <x:t xml:space="preserve">Lote</x:t>
  </x:si>
  <x:si>
    <x:t xml:space="preserve">Incluye: mapeo, validación, carga y conciliación de un lote acotado.</x:t>
  </x:si>
  <x:si>
    <x:t xml:space="preserve">No incluye limpieza extensa, deduplicación compleja ni ETL de gran volumen.</x:t>
  </x:si>
  <x:si>
    <x:t xml:space="preserve">APP-020</x:t>
  </x:si>
  <x:si>
    <x:t xml:space="preserve">QA funcional, integración, permisos y UX</x:t>
  </x:si>
  <x:si>
    <x:t xml:space="preserve">Incluye: reglas críticas, flujos, datos, permisos presentes, navegación, mensajes, experiencia responsive y casos de error principales.</x:t>
  </x:si>
  <x:si>
    <x:t xml:space="preserve">No incluye pruebas de carga avanzadas ni pentesting formal.</x:t>
  </x:si>
  <x:si>
    <x:t xml:space="preserve">APP-010; APP-013; APP-015; APP-016</x:t>
  </x:si>
  <x:si>
    <x:t xml:space="preserve">Despliegue</x:t>
  </x:si>
  <x:si>
    <x:t xml:space="preserve">APP-024</x:t>
  </x:si>
  <x:si>
    <x:t xml:space="preserve">Configuración y despliegue de producción</x:t>
  </x:si>
  <x:si>
    <x:t xml:space="preserve">Entorno</x:t>
  </x:si>
  <x:si>
    <x:t xml:space="preserve">Incluye: variables, build, base de datos, migraciones acordadas, despliegue y validación técnica de producción.</x:t>
  </x:si>
  <x:si>
    <x:t xml:space="preserve">No incluye costos de infraestructura ni arquitectura HA.</x:t>
  </x:si>
  <x:si>
    <x:t xml:space="preserve">Cierre</x:t>
  </x:si>
  <x:si>
    <x:t xml:space="preserve">APP-025</x:t>
  </x:si>
  <x:si>
    <x:t xml:space="preserve">Capacitación, documentación y ciclo UAT</x:t>
  </x:si>
  <x:si>
    <x:t xml:space="preserve">Incluye: capacitación básica de administrador, guía funcional/técnica mínima, un ciclo UAT y correcciones dentro del alcance.</x:t>
  </x:si>
  <x:si>
    <x:t xml:space="preserve">No incluye capacitación masiva, manual extenso o nuevos requerimientos.</x:t>
  </x:si>
  <x:si>
    <x:t xml:space="preserve">INT-001</x:t>
  </x:si>
  <x:si>
    <x:t xml:space="preserve">Levantamiento y diseño de integración</x:t>
  </x:si>
  <x:si>
    <x:t xml:space="preserve">Incluye: proceso actual; sistemas involucrados; revisión de API/archivos/webhooks disponibles; mapeo de datos; transformaciones; estrategia de errores y reintentos.</x:t>
  </x:si>
  <x:si>
    <x:t xml:space="preserve">No incluye desarrollo del conector ni automatización.</x:t>
  </x:si>
  <x:si>
    <x:t xml:space="preserve">INT-005</x:t>
  </x:si>
  <x:si>
    <x:t xml:space="preserve">Credenciales, secretos y configuración segura</x:t>
  </x:si>
  <x:si>
    <x:t xml:space="preserve">Incluye: variables, secretos, permisos mínimos y prueba de conectividad.</x:t>
  </x:si>
  <x:si>
    <x:t xml:space="preserve">No incluye alta de cuentas o costos de proveedores.</x:t>
  </x:si>
  <x:si>
    <x:t xml:space="preserve">Desarrollo</x:t>
  </x:si>
  <x:si>
    <x:t xml:space="preserve">INT-006</x:t>
  </x:si>
  <x:si>
    <x:t xml:space="preserve">Conector API estándar</x:t>
  </x:si>
  <x:si>
    <x:t xml:space="preserve">Incluye: autenticación, consulta/envío, validación de respuesta, manejo básico de errores y adaptación a contrato API conocido.</x:t>
  </x:si>
  <x:si>
    <x:t xml:space="preserve">No incluye API sin documentación, protocolos no estándar o integración bidireccional compleja adicional.</x:t>
  </x:si>
  <x:si>
    <x:t xml:space="preserve">INT-001; INT-005</x:t>
  </x:si>
  <x:si>
    <x:t xml:space="preserve">INT-007</x:t>
  </x:si>
  <x:si>
    <x:t xml:space="preserve">Intercambio por archivo</x:t>
  </x:si>
  <x:si>
    <x:t xml:space="preserve">Incluye: CSV/XLSX/JSON, validación de estructura, importación o exportación y manejo de errores básicos.</x:t>
  </x:si>
  <x:si>
    <x:t xml:space="preserve">No incluye ETL masivo ni limpieza extensa de datos.</x:t>
  </x:si>
  <x:si>
    <x:t xml:space="preserve">INT-008</x:t>
  </x:si>
  <x:si>
    <x:t xml:space="preserve">Webhook estándar</x:t>
  </x:si>
  <x:si>
    <x:t xml:space="preserve">Evento</x:t>
  </x:si>
  <x:si>
    <x:t xml:space="preserve">Incluye: recepción, validación, idempotencia básica, respuesta y prueba.</x:t>
  </x:si>
  <x:si>
    <x:t xml:space="preserve">No incluye alto volumen, colas distribuidas o firma propietaria compleja.</x:t>
  </x:si>
  <x:si>
    <x:t xml:space="preserve">Automatización</x:t>
  </x:si>
  <x:si>
    <x:t xml:space="preserve">INT-009</x:t>
  </x:si>
  <x:si>
    <x:t xml:space="preserve">Automatización programada</x:t>
  </x:si>
  <x:si>
    <x:t xml:space="preserve">Job</x:t>
  </x:si>
  <x:si>
    <x:t xml:space="preserve">Incluye: frecuencia, ejecución, validación básica y registro del resultado.</x:t>
  </x:si>
  <x:si>
    <x:t xml:space="preserve">No incluye orquestación de múltiples jobs dependientes.</x:t>
  </x:si>
  <x:si>
    <x:t xml:space="preserve">INT-010</x:t>
  </x:si>
  <x:si>
    <x:t xml:space="preserve">Regla o transformación de negocio</x:t>
  </x:si>
  <x:si>
    <x:t xml:space="preserve">Regla</x:t>
  </x:si>
  <x:si>
    <x:t xml:space="preserve">Incluye por regla: condición, transformación, validación y manejo de caso esperado/error.</x:t>
  </x:si>
  <x:si>
    <x:t xml:space="preserve">No incluye rediseño del proceso; se define en INT-001.</x:t>
  </x:si>
  <x:si>
    <x:t xml:space="preserve">Observabilidad</x:t>
  </x:si>
  <x:si>
    <x:t xml:space="preserve">INT-011</x:t>
  </x:si>
  <x:si>
    <x:t xml:space="preserve">Registro de ejecuciones y alertas básicas</x:t>
  </x:si>
  <x:si>
    <x:t xml:space="preserve">Incluye: fecha, estado, resultado, error, identificador y alerta básica por canal acordado cuando corresponda.</x:t>
  </x:si>
  <x:si>
    <x:t xml:space="preserve">No incluye plataforma completa de observabilidad.</x:t>
  </x:si>
  <x:si>
    <x:t xml:space="preserve">INT-006 o INT-009</x:t>
  </x:si>
  <x:si>
    <x:t xml:space="preserve">INT-013</x:t>
  </x:si>
  <x:si>
    <x:t xml:space="preserve">QA de integración, datos, límites y seguridad</x:t>
  </x:si>
  <x:si>
    <x:t xml:space="preserve">Incluye: casos de éxito/error/duplicado/dato incompleto; volumen razonable; permisos; exposición de datos y mínimo privilegio.</x:t>
  </x:si>
  <x:si>
    <x:t xml:space="preserve">No incluye pruebas de estrés empresariales ni pentesting formal.</x:t>
  </x:si>
  <x:si>
    <x:t xml:space="preserve">INT-006; INT-009; INT-010</x:t>
  </x:si>
  <x:si>
    <x:t xml:space="preserve">INT-016</x:t>
  </x:si>
  <x:si>
    <x:t xml:space="preserve">Producción, documentación y runbook</x:t>
  </x:si>
  <x:si>
    <x:t xml:space="preserve">Incluye: variables/secretos de producción, activación, validación, procedimiento operativo, reintentos y contactos.</x:t>
  </x:si>
  <x:si>
    <x:t xml:space="preserve">No incluye soporte mensual posterior.</x:t>
  </x:si>
  <x:si>
    <x:t xml:space="preserve">Recepción</x:t>
  </x:si>
  <x:si>
    <x:t xml:space="preserve">MNT1-001</x:t>
  </x:si>
  <x:si>
    <x:t xml:space="preserve">Registro del incidente y evidencia</x:t>
  </x:si>
  <x:si>
    <x:t xml:space="preserve">Incidente</x:t>
  </x:si>
  <x:si>
    <x:t xml:space="preserve">Descripción, pasos, evidencia y entorno</x:t>
  </x:si>
  <x:si>
    <x:t xml:space="preserve">Triage</x:t>
  </x:si>
  <x:si>
    <x:t xml:space="preserve">MNT1-002</x:t>
  </x:si>
  <x:si>
    <x:t xml:space="preserve">Clasificación de severidad e impacto</x:t>
  </x:si>
  <x:si>
    <x:t xml:space="preserve">Impacto, urgencia, alcance y usuarios afectados</x:t>
  </x:si>
  <x:si>
    <x:t xml:space="preserve">Diagnóstico</x:t>
  </x:si>
  <x:si>
    <x:t xml:space="preserve">MNT1-003</x:t>
  </x:si>
  <x:si>
    <x:t xml:space="preserve">Reproducción controlada del error</x:t>
  </x:si>
  <x:si>
    <x:t xml:space="preserve">Pasos, datos y condiciones de reproducción</x:t>
  </x:si>
  <x:si>
    <x:t xml:space="preserve">MNT1-004</x:t>
  </x:si>
  <x:si>
    <x:t xml:space="preserve">Análisis de logs, datos y código relacionado</x:t>
  </x:si>
  <x:si>
    <x:t xml:space="preserve">Evidencia técnica y componentes involucrados</x:t>
  </x:si>
  <x:si>
    <x:t xml:space="preserve">MNT1-005</x:t>
  </x:si>
  <x:si>
    <x:t xml:space="preserve">Análisis de causa raíz</x:t>
  </x:si>
  <x:si>
    <x:t xml:space="preserve">Origen y condiciones que provocan el fallo</x:t>
  </x:si>
  <x:si>
    <x:t xml:space="preserve">MNT1-006</x:t>
  </x:si>
  <x:si>
    <x:t xml:space="preserve">Definición de corrección y plan de reversa</x:t>
  </x:si>
  <x:si>
    <x:t xml:space="preserve">Cambio</x:t>
  </x:si>
  <x:si>
    <x:t xml:space="preserve">Corrección, riesgo, pruebas y reversa</x:t>
  </x:si>
  <x:si>
    <x:t xml:space="preserve">Corrección</x:t>
  </x:si>
  <x:si>
    <x:t xml:space="preserve">MNT1-007</x:t>
  </x:si>
  <x:si>
    <x:t xml:space="preserve">Corrección de baja complejidad</x:t>
  </x:si>
  <x:si>
    <x:t xml:space="preserve">Ajuste localizado sin cambio de arquitectura</x:t>
  </x:si>
  <x:si>
    <x:t xml:space="preserve">Mutuamente excluyente con MNT1-008 para el mismo incidente.</x:t>
  </x:si>
  <x:si>
    <x:t xml:space="preserve">MNT1-008</x:t>
  </x:si>
  <x:si>
    <x:t xml:space="preserve">Corrección de complejidad media</x:t>
  </x:si>
  <x:si>
    <x:t xml:space="preserve">Cambios en varios componentes o reglas</x:t>
  </x:si>
  <x:si>
    <x:t xml:space="preserve">Mutuamente excluyente con MNT1-007 para el mismo incidente.</x:t>
  </x:si>
  <x:si>
    <x:t xml:space="preserve">MNT1-009</x:t>
  </x:si>
  <x:si>
    <x:t xml:space="preserve">Corrección o regularización de datos</x:t>
  </x:si>
  <x:si>
    <x:t xml:space="preserve">Script, respaldo y validación</x:t>
  </x:si>
  <x:si>
    <x:t xml:space="preserve">Recuperación forense</x:t>
  </x:si>
  <x:si>
    <x:t xml:space="preserve">MNT1-010</x:t>
  </x:si>
  <x:si>
    <x:t xml:space="preserve">Prueba del caso corregido</x:t>
  </x:si>
  <x:si>
    <x:t xml:space="preserve">Caso</x:t>
  </x:si>
  <x:si>
    <x:t xml:space="preserve">Prueba directa del defecto</x:t>
  </x:si>
  <x:si>
    <x:t xml:space="preserve">MNT1-011</x:t>
  </x:si>
  <x:si>
    <x:t xml:space="preserve">Pruebas de regresión relacionadas</x:t>
  </x:si>
  <x:si>
    <x:t xml:space="preserve">Flujos cercanos y funciones relacionadas</x:t>
  </x:si>
  <x:si>
    <x:t xml:space="preserve">MNT1-012</x:t>
  </x:si>
  <x:si>
    <x:t xml:space="preserve">Preparación y despliegue de corrección</x:t>
  </x:si>
  <x:si>
    <x:t xml:space="preserve">Build, respaldo, despliegue y validación</x:t>
  </x:si>
  <x:si>
    <x:t xml:space="preserve">Seguimiento</x:t>
  </x:si>
  <x:si>
    <x:t xml:space="preserve">MNT1-013</x:t>
  </x:si>
  <x:si>
    <x:t xml:space="preserve">Monitoreo posterior al cambio</x:t>
  </x:si>
  <x:si>
    <x:t xml:space="preserve">Periodo</x:t>
  </x:si>
  <x:si>
    <x:t xml:space="preserve">Revisión de logs y comportamiento</x:t>
  </x:si>
  <x:si>
    <x:t xml:space="preserve">MNT1-014</x:t>
  </x:si>
  <x:si>
    <x:t xml:space="preserve">Documentación de causa y solución</x:t>
  </x:si>
  <x:si>
    <x:t xml:space="preserve">Causa, solución, pruebas y recomendaciones</x:t>
  </x:si>
  <x:si>
    <x:t xml:space="preserve">Descubrimiento</x:t>
  </x:si>
  <x:si>
    <x:t xml:space="preserve">MNT2-001</x:t>
  </x:si>
  <x:si>
    <x:t xml:space="preserve">Levantamiento de necesidad y objetivo</x:t>
  </x:si>
  <x:si>
    <x:t xml:space="preserve">Usuario, problema, resultado y contexto</x:t>
  </x:si>
  <x:si>
    <x:t xml:space="preserve">Análisis</x:t>
  </x:si>
  <x:si>
    <x:t xml:space="preserve">MNT2-002</x:t>
  </x:si>
  <x:si>
    <x:t xml:space="preserve">Análisis de impacto en sistema existente</x:t>
  </x:si>
  <x:si>
    <x:t xml:space="preserve">Código, datos, roles, integraciones y riesgos</x:t>
  </x:si>
  <x:si>
    <x:t xml:space="preserve">Alcance</x:t>
  </x:si>
  <x:si>
    <x:t xml:space="preserve">MNT2-003</x:t>
  </x:si>
  <x:si>
    <x:t xml:space="preserve">Historia de usuario y criterios de aceptación</x:t>
  </x:si>
  <x:si>
    <x:t xml:space="preserve">Casos, reglas y definición de terminado</x:t>
  </x:si>
  <x:si>
    <x:t xml:space="preserve">Diseño</x:t>
  </x:si>
  <x:si>
    <x:t xml:space="preserve">MNT2-004</x:t>
  </x:si>
  <x:si>
    <x:t xml:space="preserve">Diseño de flujo y estados</x:t>
  </x:si>
  <x:si>
    <x:t xml:space="preserve">Interacciones, transiciones y excepciones</x:t>
  </x:si>
  <x:si>
    <x:t xml:space="preserve">MNT2-005</x:t>
  </x:si>
  <x:si>
    <x:t xml:space="preserve">Diseño de interfaz o wireframe</x:t>
  </x:si>
  <x:si>
    <x:t xml:space="preserve">Componentes, campos y acciones</x:t>
  </x:si>
  <x:si>
    <x:t xml:space="preserve">MNT2-006</x:t>
  </x:si>
  <x:si>
    <x:t xml:space="preserve">Cambio de modelo de datos</x:t>
  </x:si>
  <x:si>
    <x:t xml:space="preserve">Tabla, columna, relación y restricciones</x:t>
  </x:si>
  <x:si>
    <x:t xml:space="preserve">MNT2-007</x:t>
  </x:si>
  <x:si>
    <x:t xml:space="preserve">Implementación de regla de negocio</x:t>
  </x:si>
  <x:si>
    <x:t xml:space="preserve">Validaciones y comportamiento esperado</x:t>
  </x:si>
  <x:si>
    <x:t xml:space="preserve">MNT2-008</x:t>
  </x:si>
  <x:si>
    <x:t xml:space="preserve">Servicio o endpoint asociado</x:t>
  </x:si>
  <x:si>
    <x:t xml:space="preserve">Servicio</x:t>
  </x:si>
  <x:si>
    <x:t xml:space="preserve">Consulta, persistencia y errores</x:t>
  </x:si>
  <x:si>
    <x:t xml:space="preserve">MNT2-009</x:t>
  </x:si>
  <x:si>
    <x:t xml:space="preserve">Pantalla o componente de funcionalidad</x:t>
  </x:si>
  <x:si>
    <x:t xml:space="preserve">Estados, validaciones y responsive</x:t>
  </x:si>
  <x:si>
    <x:t xml:space="preserve">MNT2-010</x:t>
  </x:si>
  <x:si>
    <x:t xml:space="preserve">Ajuste de permisos y acceso</x:t>
  </x:si>
  <x:si>
    <x:t xml:space="preserve">Visibilidad y acciones por rol</x:t>
  </x:si>
  <x:si>
    <x:t xml:space="preserve">MNT2-011</x:t>
  </x:si>
  <x:si>
    <x:t xml:space="preserve">Notificación o exportación asociada</x:t>
  </x:si>
  <x:si>
    <x:t xml:space="preserve">Correo, Excel, PDF u otro canal</x:t>
  </x:si>
  <x:si>
    <x:t xml:space="preserve">MNT2-012</x:t>
  </x:si>
  <x:si>
    <x:t xml:space="preserve">Pruebas unitarias y de reglas</x:t>
  </x:si>
  <x:si>
    <x:t xml:space="preserve">Casos normales, errores y límites</x:t>
  </x:si>
  <x:si>
    <x:t xml:space="preserve">MNT2-013</x:t>
  </x:si>
  <x:si>
    <x:t xml:space="preserve">Pruebas de integración y regresión</x:t>
  </x:si>
  <x:si>
    <x:t xml:space="preserve">Flujo nuevo y funciones existentes relacionadas</x:t>
  </x:si>
  <x:si>
    <x:t xml:space="preserve">MNT2-014</x:t>
  </x:si>
  <x:si>
    <x:t xml:space="preserve">Migración y despliegue controlado</x:t>
  </x:si>
  <x:si>
    <x:t xml:space="preserve">Respaldo, migración, build y validación</x:t>
  </x:si>
  <x:si>
    <x:t xml:space="preserve">MNT2-015</x:t>
  </x:si>
  <x:si>
    <x:t xml:space="preserve">Documentación y capacitación breve</x:t>
  </x:si>
  <x:si>
    <x:t xml:space="preserve">Cambios, uso y consideraciones</x:t>
  </x:si>
  <x:si>
    <x:t xml:space="preserve">Auditoría</x:t>
  </x:si>
  <x:si>
    <x:t xml:space="preserve">MNT3-001</x:t>
  </x:si>
  <x:si>
    <x:t xml:space="preserve">Inventario técnico de componentes y versiones</x:t>
  </x:si>
  <x:si>
    <x:t xml:space="preserve">Frameworks, dependencias, servicios y despliegues</x:t>
  </x:si>
  <x:si>
    <x:t xml:space="preserve">MNT3-002</x:t>
  </x:si>
  <x:si>
    <x:t xml:space="preserve">Análisis de deuda técnica y riesgos</x:t>
  </x:si>
  <x:si>
    <x:t xml:space="preserve">Complejidad, obsolescencia, seguridad y mantenibilidad</x:t>
  </x:si>
  <x:si>
    <x:t xml:space="preserve">MNT3-003</x:t>
  </x:si>
  <x:si>
    <x:t xml:space="preserve">Definición de estrategia de modernización</x:t>
  </x:si>
  <x:si>
    <x:t xml:space="preserve">Fases, prioridades, dependencias y reversa</x:t>
  </x:si>
  <x:si>
    <x:t xml:space="preserve">MNT3-004</x:t>
  </x:si>
  <x:si>
    <x:t xml:space="preserve">Creación de línea base de pruebas</x:t>
  </x:si>
  <x:si>
    <x:t xml:space="preserve">Comportamiento actual protegido antes de cambios</x:t>
  </x:si>
  <x:si>
    <x:t xml:space="preserve">MNT3-005</x:t>
  </x:si>
  <x:si>
    <x:t xml:space="preserve">Actualización de dependencia estándar</x:t>
  </x:si>
  <x:si>
    <x:t xml:space="preserve">Dependencia</x:t>
  </x:si>
  <x:si>
    <x:t xml:space="preserve">Actualización rutinaria de versión compatible, ajustes menores y verificación básica por dependencia.</x:t>
  </x:si>
  <x:si>
    <x:t xml:space="preserve">La remediación adicional de vulnerabilidades complejas se contabiliza en MNT3-009.</x:t>
  </x:si>
  <x:si>
    <x:t xml:space="preserve">MNT3-006</x:t>
  </x:si>
  <x:si>
    <x:t xml:space="preserve">Refactorización de módulo</x:t>
  </x:si>
  <x:si>
    <x:t xml:space="preserve">Módulo</x:t>
  </x:si>
  <x:si>
    <x:t xml:space="preserve">Separación de responsabilidades y legibilidad</x:t>
  </x:si>
  <x:si>
    <x:t xml:space="preserve">MNT3-007</x:t>
  </x:si>
  <x:si>
    <x:t xml:space="preserve">Extracción de componente reutilizable</x:t>
  </x:si>
  <x:si>
    <x:t xml:space="preserve">Interfaces, pruebas y documentación</x:t>
  </x:si>
  <x:si>
    <x:t xml:space="preserve">MNT3-008</x:t>
  </x:si>
  <x:si>
    <x:t xml:space="preserve">Migración o ajuste de esquema de datos</x:t>
  </x:si>
  <x:si>
    <x:t xml:space="preserve">Migración</x:t>
  </x:si>
  <x:si>
    <x:t xml:space="preserve">Transformación, respaldo y conciliación</x:t>
  </x:si>
  <x:si>
    <x:t xml:space="preserve">MNT3-009</x:t>
  </x:si>
  <x:si>
    <x:t xml:space="preserve">Corrección de dependencias vulnerables</x:t>
  </x:si>
  <x:si>
    <x:t xml:space="preserve">Hallazgo</x:t>
  </x:si>
  <x:si>
    <x:t xml:space="preserve">Análisis y remediación adicional cuando la actualización estándar no resuelve el hallazgo.</x:t>
  </x:si>
  <x:si>
    <x:t xml:space="preserve">No sumar si el hallazgo queda resuelto únicamente con MNT3-005.</x:t>
  </x:si>
  <x:si>
    <x:t xml:space="preserve">MNT3-010</x:t>
  </x:si>
  <x:si>
    <x:t xml:space="preserve">Pruebas de regresión ampliadas</x:t>
  </x:si>
  <x:si>
    <x:t xml:space="preserve">Flujos críticos y casos de error</x:t>
  </x:si>
  <x:si>
    <x:t xml:space="preserve">Rendimiento</x:t>
  </x:si>
  <x:si>
    <x:t xml:space="preserve">MNT3-011</x:t>
  </x:si>
  <x:si>
    <x:t xml:space="preserve">Comparación de rendimiento antes y después</x:t>
  </x:si>
  <x:si>
    <x:t xml:space="preserve">Métricas acordadas y resultados</x:t>
  </x:si>
  <x:si>
    <x:t xml:space="preserve">MNT3-012</x:t>
  </x:si>
  <x:si>
    <x:t xml:space="preserve">Plan de migración y reversa</x:t>
  </x:si>
  <x:si>
    <x:t xml:space="preserve">Pasos, responsables, respaldo y retorno</x:t>
  </x:si>
  <x:si>
    <x:t xml:space="preserve">MNT3-013</x:t>
  </x:si>
  <x:si>
    <x:t xml:space="preserve">Despliegue de modernización</x:t>
  </x:si>
  <x:si>
    <x:t xml:space="preserve">Ejecución, validación y seguimiento</x:t>
  </x:si>
  <x:si>
    <x:t xml:space="preserve">MNT3-014</x:t>
  </x:si>
  <x:si>
    <x:t xml:space="preserve">Actualización de documentación técnica</x:t>
  </x:si>
  <x:si>
    <x:t xml:space="preserve">Arquitectura, dependencias y operación</x:t>
  </x:si>
  <x:si>
    <x:t xml:space="preserve">Medición</x:t>
  </x:si>
  <x:si>
    <x:t xml:space="preserve">MNT4-001</x:t>
  </x:si>
  <x:si>
    <x:t xml:space="preserve">Definición de indicadores y objetivos</x:t>
  </x:si>
  <x:si>
    <x:t xml:space="preserve">Tiempos, volumen y experiencia esperada</x:t>
  </x:si>
  <x:si>
    <x:t xml:space="preserve">MNT4-002</x:t>
  </x:si>
  <x:si>
    <x:t xml:space="preserve">Captura de línea base previa a la optimización</x:t>
  </x:si>
  <x:si>
    <x:t xml:space="preserve">Medición inicial reproducible antes de realizar cambios.</x:t>
  </x:si>
  <x:si>
    <x:t xml:space="preserve">La comparación final se contabiliza en MNT4-010.</x:t>
  </x:si>
  <x:si>
    <x:t xml:space="preserve">MNT4-003</x:t>
  </x:si>
  <x:si>
    <x:t xml:space="preserve">Perfilamiento de frontend</x:t>
  </x:si>
  <x:si>
    <x:t xml:space="preserve">Carga, renderizado, recursos y red</x:t>
  </x:si>
  <x:si>
    <x:t xml:space="preserve">MNT4-004</x:t>
  </x:si>
  <x:si>
    <x:t xml:space="preserve">Perfilamiento de backend y consultas</x:t>
  </x:si>
  <x:si>
    <x:t xml:space="preserve">Tiempos, consultas, bloqueos y recursos</x:t>
  </x:si>
  <x:si>
    <x:t xml:space="preserve">MNT4-005</x:t>
  </x:si>
  <x:si>
    <x:t xml:space="preserve">Optimización de recursos frontend</x:t>
  </x:si>
  <x:si>
    <x:t xml:space="preserve">Imágenes, carga diferida y empaquetado</x:t>
  </x:si>
  <x:si>
    <x:t xml:space="preserve">MNT4-006</x:t>
  </x:si>
  <x:si>
    <x:t xml:space="preserve">Optimización de consulta o endpoint</x:t>
  </x:si>
  <x:si>
    <x:t xml:space="preserve">Consulta</x:t>
  </x:si>
  <x:si>
    <x:t xml:space="preserve">Índices, filtros, caché o reescritura</x:t>
  </x:si>
  <x:si>
    <x:t xml:space="preserve">MNT4-007</x:t>
  </x:si>
  <x:si>
    <x:t xml:space="preserve">Configuración de caché</x:t>
  </x:si>
  <x:si>
    <x:t xml:space="preserve">Capa</x:t>
  </x:si>
  <x:si>
    <x:t xml:space="preserve">Política, expiración e invalidación</x:t>
  </x:si>
  <x:si>
    <x:t xml:space="preserve">MNT4-008</x:t>
  </x:si>
  <x:si>
    <x:t xml:space="preserve">Paginación y reducción de volumen</x:t>
  </x:si>
  <x:si>
    <x:t xml:space="preserve">Carga incremental y límites</x:t>
  </x:si>
  <x:si>
    <x:t xml:space="preserve">Validación</x:t>
  </x:si>
  <x:si>
    <x:t xml:space="preserve">MNT4-009</x:t>
  </x:si>
  <x:si>
    <x:t xml:space="preserve">Prueba de carga controlada</x:t>
  </x:si>
  <x:si>
    <x:t xml:space="preserve">Prueba</x:t>
  </x:si>
  <x:si>
    <x:t xml:space="preserve">Volumen y concurrencia acordados</x:t>
  </x:si>
  <x:si>
    <x:t xml:space="preserve">Pruebas de estrés masivas</x:t>
  </x:si>
  <x:si>
    <x:t xml:space="preserve">MNT4-010</x:t>
  </x:si>
  <x:si>
    <x:t xml:space="preserve">Medición final y comparación antes/después</x:t>
  </x:si>
  <x:si>
    <x:t xml:space="preserve">Repetición de la medición inicial y comparación documentada de resultados.</x:t>
  </x:si>
  <x:si>
    <x:t xml:space="preserve">No vuelve a incluir la captura inicial de MNT4-002.</x:t>
  </x:si>
  <x:si>
    <x:t xml:space="preserve">MNT4-011</x:t>
  </x:si>
  <x:si>
    <x:t xml:space="preserve">Despliegue y monitoreo posterior</x:t>
  </x:si>
  <x:si>
    <x:t xml:space="preserve">Despliegue, métricas y seguimiento</x:t>
  </x:si>
  <x:si>
    <x:t xml:space="preserve">MNT4-012</x:t>
  </x:si>
  <x:si>
    <x:t xml:space="preserve">Documentación de optimizaciones</x:t>
  </x:si>
  <x:si>
    <x:t xml:space="preserve">Cambios, resultados y próximos pasos</x:t>
  </x:si>
  <x:si>
    <x:t xml:space="preserve">MON1-001</x:t>
  </x:si>
  <x:si>
    <x:t xml:space="preserve">Inventario de servicios y endpoints</x:t>
  </x:si>
  <x:si>
    <x:t xml:space="preserve">URLs, APIs, jobs y dependencias</x:t>
  </x:si>
  <x:si>
    <x:t xml:space="preserve">MON1-002</x:t>
  </x:si>
  <x:si>
    <x:t xml:space="preserve">Definición de indicadores de disponibilidad</x:t>
  </x:si>
  <x:si>
    <x:t xml:space="preserve">Estado, latencia, código y contenido esperado</x:t>
  </x:si>
  <x:si>
    <x:t xml:space="preserve">Configuración</x:t>
  </x:si>
  <x:si>
    <x:t xml:space="preserve">MON1-003</x:t>
  </x:si>
  <x:si>
    <x:t xml:space="preserve">Configuración de chequeo HTTP o endpoint</x:t>
  </x:si>
  <x:si>
    <x:t xml:space="preserve">Frecuencia, timeout y criterio de éxito</x:t>
  </x:si>
  <x:si>
    <x:t xml:space="preserve">MON1-004</x:t>
  </x:si>
  <x:si>
    <x:t xml:space="preserve">Configuración de alertas</x:t>
  </x:si>
  <x:si>
    <x:t xml:space="preserve">Umbrales, destinatarios y escalamiento</x:t>
  </x:si>
  <x:si>
    <x:t xml:space="preserve">MON1-005</x:t>
  </x:si>
  <x:si>
    <x:t xml:space="preserve">Ventanas de mantenimiento</x:t>
  </x:si>
  <x:si>
    <x:t xml:space="preserve">Supresión de alertas planificadas</x:t>
  </x:si>
  <x:si>
    <x:t xml:space="preserve">Visualización</x:t>
  </x:si>
  <x:si>
    <x:t xml:space="preserve">MON1-006</x:t>
  </x:si>
  <x:si>
    <x:t xml:space="preserve">Dashboard de disponibilidad</x:t>
  </x:si>
  <x:si>
    <x:t xml:space="preserve">Estado, histórico y tendencia</x:t>
  </x:si>
  <x:si>
    <x:t xml:space="preserve">MON1-007</x:t>
  </x:si>
  <x:si>
    <x:t xml:space="preserve">Reporte periódico de disponibilidad</x:t>
  </x:si>
  <x:si>
    <x:t xml:space="preserve">Reporte</x:t>
  </x:si>
  <x:si>
    <x:t xml:space="preserve">Disponibilidad, eventos y observaciones</x:t>
  </x:si>
  <x:si>
    <x:t xml:space="preserve">MON1-008</x:t>
  </x:si>
  <x:si>
    <x:t xml:space="preserve">Prueba de caída y recuperación</x:t>
  </x:si>
  <x:si>
    <x:t xml:space="preserve">Detección, notificación y recuperación</x:t>
  </x:si>
  <x:si>
    <x:t xml:space="preserve">Operación</x:t>
  </x:si>
  <x:si>
    <x:t xml:space="preserve">MON1-009</x:t>
  </x:si>
  <x:si>
    <x:t xml:space="preserve">Runbook de respuesta a indisponibilidad</x:t>
  </x:si>
  <x:si>
    <x:t xml:space="preserve">Documento</x:t>
  </x:si>
  <x:si>
    <x:t xml:space="preserve">Validación, escalamiento y comunicación</x:t>
  </x:si>
  <x:si>
    <x:t xml:space="preserve">MON1-010</x:t>
  </x:si>
  <x:si>
    <x:t xml:space="preserve">Puesta en marcha y estabilización</x:t>
  </x:si>
  <x:si>
    <x:t xml:space="preserve">Activación, observación y ajustes</x:t>
  </x:si>
  <x:si>
    <x:t xml:space="preserve">MON2-001</x:t>
  </x:si>
  <x:si>
    <x:t xml:space="preserve">Inventario de fuentes de logs</x:t>
  </x:si>
  <x:si>
    <x:t xml:space="preserve">Fuente</x:t>
  </x:si>
  <x:si>
    <x:t xml:space="preserve">Aplicación, servidor, base de datos y servicios</x:t>
  </x:si>
  <x:si>
    <x:t xml:space="preserve">MON2-002</x:t>
  </x:si>
  <x:si>
    <x:t xml:space="preserve">Definición de estructura y campos comunes</x:t>
  </x:si>
  <x:si>
    <x:t xml:space="preserve">Nivel, fecha, usuario, correlación y contexto</x:t>
  </x:si>
  <x:si>
    <x:t xml:space="preserve">Implementación</x:t>
  </x:si>
  <x:si>
    <x:t xml:space="preserve">MON2-003</x:t>
  </x:si>
  <x:si>
    <x:t xml:space="preserve">Configuración de envío de logs</x:t>
  </x:si>
  <x:si>
    <x:t xml:space="preserve">Agente, librería o integración</x:t>
  </x:si>
  <x:si>
    <x:t xml:space="preserve">MON2-004</x:t>
  </x:si>
  <x:si>
    <x:t xml:space="preserve">Normalización y parseo</x:t>
  </x:si>
  <x:si>
    <x:t xml:space="preserve">Campos, formatos y errores</x:t>
  </x:si>
  <x:si>
    <x:t xml:space="preserve">Trazabilidad</x:t>
  </x:si>
  <x:si>
    <x:t xml:space="preserve">MON2-005</x:t>
  </x:si>
  <x:si>
    <x:t xml:space="preserve">Identificador de correlación</x:t>
  </x:si>
  <x:si>
    <x:t xml:space="preserve">Seguimiento entre componentes</x:t>
  </x:si>
  <x:si>
    <x:t xml:space="preserve">Retención</x:t>
  </x:si>
  <x:si>
    <x:t xml:space="preserve">MON2-006</x:t>
  </x:si>
  <x:si>
    <x:t xml:space="preserve">Política de retención y rotación</x:t>
  </x:si>
  <x:si>
    <x:t xml:space="preserve">Periodo, volumen y eliminación</x:t>
  </x:si>
  <x:si>
    <x:t xml:space="preserve">MON2-007</x:t>
  </x:si>
  <x:si>
    <x:t xml:space="preserve">Dashboard de errores y eventos</x:t>
  </x:si>
  <x:si>
    <x:t xml:space="preserve">Errores, niveles y tendencias</x:t>
  </x:si>
  <x:si>
    <x:t xml:space="preserve">Alertas</x:t>
  </x:si>
  <x:si>
    <x:t xml:space="preserve">MON2-008</x:t>
  </x:si>
  <x:si>
    <x:t xml:space="preserve">Alerta por patrón crítico</x:t>
  </x:si>
  <x:si>
    <x:t xml:space="preserve">Patrones, frecuencia y severidad</x:t>
  </x:si>
  <x:si>
    <x:t xml:space="preserve">MON2-009</x:t>
  </x:si>
  <x:si>
    <x:t xml:space="preserve">Pruebas de generación y búsqueda</x:t>
  </x:si>
  <x:si>
    <x:t xml:space="preserve">Generación, recepción y consulta</x:t>
  </x:si>
  <x:si>
    <x:t xml:space="preserve">MON2-010</x:t>
  </x:si>
  <x:si>
    <x:t xml:space="preserve">Runbook de consulta y escalamiento</x:t>
  </x:si>
  <x:si>
    <x:t xml:space="preserve">Búsquedas, filtros y escalamiento</x:t>
  </x:si>
  <x:si>
    <x:t xml:space="preserve">MON3-001</x:t>
  </x:si>
  <x:si>
    <x:t xml:space="preserve">Definición de métricas técnicas</x:t>
  </x:si>
  <x:si>
    <x:t xml:space="preserve">Métrica</x:t>
  </x:si>
  <x:si>
    <x:t xml:space="preserve">CPU, memoria, latencia, errores y volumen</x:t>
  </x:si>
  <x:si>
    <x:t xml:space="preserve">Instrumentación</x:t>
  </x:si>
  <x:si>
    <x:t xml:space="preserve">MON3-002</x:t>
  </x:si>
  <x:si>
    <x:t xml:space="preserve">Instrumentación de métrica de aplicación</x:t>
  </x:si>
  <x:si>
    <x:t xml:space="preserve">Código, etiquetas y frecuencia</x:t>
  </x:si>
  <x:si>
    <x:t xml:space="preserve">Infraestructura</x:t>
  </x:si>
  <x:si>
    <x:t xml:space="preserve">MON3-003</x:t>
  </x:si>
  <x:si>
    <x:t xml:space="preserve">Recolección de métricas de infraestructura</x:t>
  </x:si>
  <x:si>
    <x:t xml:space="preserve">Host</x:t>
  </x:si>
  <x:si>
    <x:t xml:space="preserve">Agente, permisos y conectividad</x:t>
  </x:si>
  <x:si>
    <x:t xml:space="preserve">MON3-004</x:t>
  </x:si>
  <x:si>
    <x:t xml:space="preserve">Dashboard operacional</x:t>
  </x:si>
  <x:si>
    <x:t xml:space="preserve">Salud, capacidad y rendimiento</x:t>
  </x:si>
  <x:si>
    <x:t xml:space="preserve">MON3-005</x:t>
  </x:si>
  <x:si>
    <x:t xml:space="preserve">Umbral y alerta de rendimiento</x:t>
  </x:si>
  <x:si>
    <x:t xml:space="preserve">Umbral, duración y severidad</x:t>
  </x:si>
  <x:si>
    <x:t xml:space="preserve">Capacidad</x:t>
  </x:si>
  <x:si>
    <x:t xml:space="preserve">MON3-006</x:t>
  </x:si>
  <x:si>
    <x:t xml:space="preserve">Análisis de tendencia y capacidad</x:t>
  </x:si>
  <x:si>
    <x:t xml:space="preserve">Consumo, tendencia y proyección</x:t>
  </x:si>
  <x:si>
    <x:t xml:space="preserve">Experiencia</x:t>
  </x:si>
  <x:si>
    <x:t xml:space="preserve">MON3-007</x:t>
  </x:si>
  <x:si>
    <x:t xml:space="preserve">Métrica de experiencia o transacción</x:t>
  </x:si>
  <x:si>
    <x:t xml:space="preserve">Tiempo y resultado de transacción</x:t>
  </x:si>
  <x:si>
    <x:t xml:space="preserve">MON3-008</x:t>
  </x:si>
  <x:si>
    <x:t xml:space="preserve">Prueba de umbrales y alertas</x:t>
  </x:si>
  <x:si>
    <x:t xml:space="preserve">Generación y recepción</x:t>
  </x:si>
  <x:si>
    <x:t xml:space="preserve">MON3-009</x:t>
  </x:si>
  <x:si>
    <x:t xml:space="preserve">Reporte periódico de rendimiento</x:t>
  </x:si>
  <x:si>
    <x:t xml:space="preserve">Indicadores, eventos y recomendaciones</x:t>
  </x:si>
  <x:si>
    <x:t xml:space="preserve">MON3-010</x:t>
  </x:si>
  <x:si>
    <x:t xml:space="preserve">Documentación y transferencia</x:t>
  </x:si>
  <x:si>
    <x:t xml:space="preserve">Dashboards, alertas y mantenimiento</x:t>
  </x:si>
  <x:si>
    <x:t xml:space="preserve">BCP1-001</x:t>
  </x:si>
  <x:si>
    <x:t xml:space="preserve">Inventario de activos y datos críticos</x:t>
  </x:si>
  <x:si>
    <x:t xml:space="preserve">Activo</x:t>
  </x:si>
  <x:si>
    <x:t xml:space="preserve">Sistemas, datos, propietarios y criticidad</x:t>
  </x:si>
  <x:si>
    <x:t xml:space="preserve">BCP1-002</x:t>
  </x:si>
  <x:si>
    <x:t xml:space="preserve">Confirmación de RPO y RTO operativo para respaldos</x:t>
  </x:si>
  <x:si>
    <x:t xml:space="preserve">Validación básica de objetivos necesarios para definir frecuencia y restauración del respaldo.</x:t>
  </x:si>
  <x:si>
    <x:t xml:space="preserve">Si se incluye BCP-02, reutilizar la definición formal de BCP2-003 y no duplicar este esfuerzo.</x:t>
  </x:si>
  <x:si>
    <x:t xml:space="preserve">BCP1-003</x:t>
  </x:si>
  <x:si>
    <x:t xml:space="preserve">Diseño de política de respaldo</x:t>
  </x:si>
  <x:si>
    <x:t xml:space="preserve">Frecuencia, retención, cifrado y ubicación</x:t>
  </x:si>
  <x:si>
    <x:t xml:space="preserve">BCP1-004</x:t>
  </x:si>
  <x:si>
    <x:t xml:space="preserve">Configuración de job de respaldo</x:t>
  </x:si>
  <x:si>
    <x:t xml:space="preserve">Origen, destino, horario y retención</x:t>
  </x:si>
  <x:si>
    <x:t xml:space="preserve">BCP1-005</x:t>
  </x:si>
  <x:si>
    <x:t xml:space="preserve">Configuración de cifrado y acceso</x:t>
  </x:si>
  <x:si>
    <x:t xml:space="preserve">Claves, permisos y acceso restringido</x:t>
  </x:si>
  <x:si>
    <x:t xml:space="preserve">BCP1-006</x:t>
  </x:si>
  <x:si>
    <x:t xml:space="preserve">Copia externa o segunda ubicación</x:t>
  </x:si>
  <x:si>
    <x:t xml:space="preserve">Destino</x:t>
  </x:si>
  <x:si>
    <x:t xml:space="preserve">Transferencia, validación y retención</x:t>
  </x:si>
  <x:si>
    <x:t xml:space="preserve">BCP1-007</x:t>
  </x:si>
  <x:si>
    <x:t xml:space="preserve">Prueba de respaldo completo</x:t>
  </x:si>
  <x:si>
    <x:t xml:space="preserve">Ejecución, duración y resultado</x:t>
  </x:si>
  <x:si>
    <x:t xml:space="preserve">Restauración</x:t>
  </x:si>
  <x:si>
    <x:t xml:space="preserve">BCP1-008</x:t>
  </x:si>
  <x:si>
    <x:t xml:space="preserve">Prueba de restauración</x:t>
  </x:si>
  <x:si>
    <x:t xml:space="preserve">Recuperación y validación de integridad</x:t>
  </x:si>
  <x:si>
    <x:t xml:space="preserve">BCP1-009</x:t>
  </x:si>
  <x:si>
    <x:t xml:space="preserve">Configuración de alerta de fallo</x:t>
  </x:si>
  <x:si>
    <x:t xml:space="preserve">Fallo, retraso o ausencia de respaldo</x:t>
  </x:si>
  <x:si>
    <x:t xml:space="preserve">BCP1-010</x:t>
  </x:si>
  <x:si>
    <x:t xml:space="preserve">Runbook de respaldo y restauración</x:t>
  </x:si>
  <x:si>
    <x:t xml:space="preserve">Procedimiento operativo del job, validación, alertas y restauración del respaldo.</x:t>
  </x:si>
  <x:si>
    <x:t xml:space="preserve">No reemplaza el procedimiento integral de recuperación ante desastres de BCP2-005.</x:t>
  </x:si>
  <x:si>
    <x:t xml:space="preserve">BCP2-001</x:t>
  </x:si>
  <x:si>
    <x:t xml:space="preserve">Análisis de impacto del negocio</x:t>
  </x:si>
  <x:si>
    <x:t xml:space="preserve">Proceso</x:t>
  </x:si>
  <x:si>
    <x:t xml:space="preserve">Criticidad, dependencia e impacto</x:t>
  </x:si>
  <x:si>
    <x:t xml:space="preserve">BCP2-002</x:t>
  </x:si>
  <x:si>
    <x:t xml:space="preserve">Inventario de dependencias críticas</x:t>
  </x:si>
  <x:si>
    <x:t xml:space="preserve">Infraestructura, datos, terceros y personas</x:t>
  </x:si>
  <x:si>
    <x:t xml:space="preserve">Objetivos</x:t>
  </x:si>
  <x:si>
    <x:t xml:space="preserve">BCP2-003</x:t>
  </x:si>
  <x:si>
    <x:t xml:space="preserve">Definición formal de RPO y RTO por servicio</x:t>
  </x:si>
  <x:si>
    <x:t xml:space="preserve">Objetivos aprobados por servicio crítico, alineados con impacto, dependencias y estrategia de recuperación.</x:t>
  </x:si>
  <x:si>
    <x:t xml:space="preserve">Sustituye la definición básica de BCP1-002 cuando ambos servicios forman parte de la misma propuesta.</x:t>
  </x:si>
  <x:si>
    <x:t xml:space="preserve">Estrategia</x:t>
  </x:si>
  <x:si>
    <x:t xml:space="preserve">BCP2-004</x:t>
  </x:si>
  <x:si>
    <x:t xml:space="preserve">Diseño de estrategia de recuperación</x:t>
  </x:si>
  <x:si>
    <x:t xml:space="preserve">Sitio, restauración, prioridades y secuencia</x:t>
  </x:si>
  <x:si>
    <x:t xml:space="preserve">Procedimientos</x:t>
  </x:si>
  <x:si>
    <x:t xml:space="preserve">BCP2-005</x:t>
  </x:si>
  <x:si>
    <x:t xml:space="preserve">Creación de procedimiento de recuperación</x:t>
  </x:si>
  <x:si>
    <x:t xml:space="preserve">Secuencia integral para recuperar servicios, dependencias, datos y responsables después de un desastre.</x:t>
  </x:si>
  <x:si>
    <x:t xml:space="preserve">No duplica el procedimiento operativo del job de respaldo documentado en BCP1-010.</x:t>
  </x:si>
  <x:si>
    <x:t xml:space="preserve">Comunicación</x:t>
  </x:si>
  <x:si>
    <x:t xml:space="preserve">BCP2-006</x:t>
  </x:si>
  <x:si>
    <x:t xml:space="preserve">Plan de comunicación y escalamiento</x:t>
  </x:si>
  <x:si>
    <x:t xml:space="preserve">Contactos, severidad y mensajes</x:t>
  </x:si>
  <x:si>
    <x:t xml:space="preserve">Pruebas</x:t>
  </x:si>
  <x:si>
    <x:t xml:space="preserve">BCP2-007</x:t>
  </x:si>
  <x:si>
    <x:t xml:space="preserve">Diseño de escenario de simulación</x:t>
  </x:si>
  <x:si>
    <x:t xml:space="preserve">Escenario</x:t>
  </x:si>
  <x:si>
    <x:t xml:space="preserve">Alcance, éxito y riesgos</x:t>
  </x:si>
  <x:si>
    <x:t xml:space="preserve">BCP2-008</x:t>
  </x:si>
  <x:si>
    <x:t xml:space="preserve">Ejecución de simulación</x:t>
  </x:si>
  <x:si>
    <x:t xml:space="preserve">Ejercicio</x:t>
  </x:si>
  <x:si>
    <x:t xml:space="preserve">Tiempos, decisiones y evidencias</x:t>
  </x:si>
  <x:si>
    <x:t xml:space="preserve">Mejora</x:t>
  </x:si>
  <x:si>
    <x:t xml:space="preserve">BCP2-009</x:t>
  </x:si>
  <x:si>
    <x:t xml:space="preserve">Informe de brechas y plan de mejora</x:t>
  </x:si>
  <x:si>
    <x:t xml:space="preserve">Hallazgos, responsables y fechas</x:t>
  </x:si>
  <x:si>
    <x:t xml:space="preserve">BCP2-010</x:t>
  </x:si>
  <x:si>
    <x:t xml:space="preserve">Calendario de pruebas y revisión</x:t>
  </x:si>
  <x:si>
    <x:t xml:space="preserve">Periodicidad y responsables</x:t>
  </x:si>
  <x:si>
    <x:t xml:space="preserve">BCP3-001</x:t>
  </x:si>
  <x:si>
    <x:t xml:space="preserve">Inventario y clasificación de información</x:t>
  </x:si>
  <x:si>
    <x:t xml:space="preserve">Tipo, criticidad y propietario</x:t>
  </x:si>
  <x:si>
    <x:t xml:space="preserve">Requisitos</x:t>
  </x:si>
  <x:si>
    <x:t xml:space="preserve">BCP3-002</x:t>
  </x:si>
  <x:si>
    <x:t xml:space="preserve">Levantamiento de obligaciones de retención</x:t>
  </x:si>
  <x:si>
    <x:t xml:space="preserve">Categoría</x:t>
  </x:si>
  <x:si>
    <x:t xml:space="preserve">Necesidades contractuales y operativas</x:t>
  </x:si>
  <x:si>
    <x:t xml:space="preserve">BCP3-003</x:t>
  </x:si>
  <x:si>
    <x:t xml:space="preserve">Diseño de matriz de retención</x:t>
  </x:si>
  <x:si>
    <x:t xml:space="preserve">Periodo, evento inicial y disposición</x:t>
  </x:si>
  <x:si>
    <x:t xml:space="preserve">BCP3-004</x:t>
  </x:si>
  <x:si>
    <x:t xml:space="preserve">Configuración de política de retención</x:t>
  </x:si>
  <x:si>
    <x:t xml:space="preserve">Archivado, conservación y eliminación</x:t>
  </x:si>
  <x:si>
    <x:t xml:space="preserve">BCP3-005</x:t>
  </x:si>
  <x:si>
    <x:t xml:space="preserve">Configuración de almacenamiento de archivo</x:t>
  </x:si>
  <x:si>
    <x:t xml:space="preserve">Ubicación, acceso y costos</x:t>
  </x:si>
  <x:si>
    <x:t xml:space="preserve">Control</x:t>
  </x:si>
  <x:si>
    <x:t xml:space="preserve">BCP3-006</x:t>
  </x:si>
  <x:si>
    <x:t xml:space="preserve">Revisión de excepciones y bloqueos</x:t>
  </x:si>
  <x:si>
    <x:t xml:space="preserve">Litigio, auditoría o necesidad especial</x:t>
  </x:si>
  <x:si>
    <x:t xml:space="preserve">BCP3-007</x:t>
  </x:si>
  <x:si>
    <x:t xml:space="preserve">Prueba de aplicación de política</x:t>
  </x:si>
  <x:si>
    <x:t xml:space="preserve">Conservación, archivo y eliminación</x:t>
  </x:si>
  <x:si>
    <x:t xml:space="preserve">Gobierno</x:t>
  </x:si>
  <x:si>
    <x:t xml:space="preserve">BCP3-008</x:t>
  </x:si>
  <x:si>
    <x:t xml:space="preserve">Definición de responsables y revisión</x:t>
  </x:si>
  <x:si>
    <x:t xml:space="preserve">Propietario, aprobador y periodicidad</x:t>
  </x:si>
  <x:si>
    <x:t xml:space="preserve">BCP3-009</x:t>
  </x:si>
  <x:si>
    <x:t xml:space="preserve">Documentación y entrega</x:t>
  </x:si>
  <x:si>
    <x:t xml:space="preserve">Matriz, reglas y operación</x:t>
  </x:si>
  <x:si>
    <x:t xml:space="preserve">SEC1-001</x:t>
  </x:si>
  <x:si>
    <x:t xml:space="preserve">Inventario de componentes, versiones y servicios</x:t>
  </x:si>
  <x:si>
    <x:t xml:space="preserve">Sistemas, aplicaciones, bases y servicios</x:t>
  </x:si>
  <x:si>
    <x:t xml:space="preserve">SEC1-002</x:t>
  </x:si>
  <x:si>
    <x:t xml:space="preserve">Levantamiento de línea base de configuración</x:t>
  </x:si>
  <x:si>
    <x:t xml:space="preserve">Configuraciones, puertos, cuentas y políticas</x:t>
  </x:si>
  <x:si>
    <x:t xml:space="preserve">Accesos</x:t>
  </x:si>
  <x:si>
    <x:t xml:space="preserve">SEC1-003</x:t>
  </x:si>
  <x:si>
    <x:t xml:space="preserve">Revisión de cuentas y privilegios</x:t>
  </x:si>
  <x:si>
    <x:t xml:space="preserve">Cuenta</x:t>
  </x:si>
  <x:si>
    <x:t xml:space="preserve">Cuentas activas, privilegios y propietarios</x:t>
  </x:si>
  <x:si>
    <x:t xml:space="preserve">SEC1-004</x:t>
  </x:si>
  <x:si>
    <x:t xml:space="preserve">Deshabilitación o corrección de cuentas inseguras</x:t>
  </x:si>
  <x:si>
    <x:t xml:space="preserve">Cuentas por defecto, huérfanas o excesivas</x:t>
  </x:si>
  <x:si>
    <x:t xml:space="preserve">SEC1-005</x:t>
  </x:si>
  <x:si>
    <x:t xml:space="preserve">Aplicación de hardening de sistema operativo</x:t>
  </x:si>
  <x:si>
    <x:t xml:space="preserve">Servicios, políticas, permisos y auditoría</x:t>
  </x:si>
  <x:si>
    <x:t xml:space="preserve">SEC1-006</x:t>
  </x:si>
  <x:si>
    <x:t xml:space="preserve">Aplicación de hardening de aplicación</x:t>
  </x:si>
  <x:si>
    <x:t xml:space="preserve">Aplicación</x:t>
  </x:si>
  <x:si>
    <x:t xml:space="preserve">Cabeceras, configuración, secretos y errores</x:t>
  </x:si>
  <x:si>
    <x:t xml:space="preserve">SEC1-007</x:t>
  </x:si>
  <x:si>
    <x:t xml:space="preserve">Aplicación de hardening de base de datos</x:t>
  </x:si>
  <x:si>
    <x:t xml:space="preserve">Base de datos</x:t>
  </x:si>
  <x:si>
    <x:t xml:space="preserve">Usuarios, red, cifrado y auditoría</x:t>
  </x:si>
  <x:si>
    <x:t xml:space="preserve">Red</x:t>
  </x:si>
  <x:si>
    <x:t xml:space="preserve">SEC1-008</x:t>
  </x:si>
  <x:si>
    <x:t xml:space="preserve">Cierre de puertos y servicios no requeridos</x:t>
  </x:si>
  <x:si>
    <x:t xml:space="preserve">Puertos, protocolos y servicios</x:t>
  </x:si>
  <x:si>
    <x:t xml:space="preserve">Criptografía</x:t>
  </x:si>
  <x:si>
    <x:t xml:space="preserve">SEC1-009</x:t>
  </x:si>
  <x:si>
    <x:t xml:space="preserve">Configuración de cifrado y protocolos seguros</x:t>
  </x:si>
  <x:si>
    <x:t xml:space="preserve">TLS, algoritmos y configuración</x:t>
  </x:si>
  <x:si>
    <x:t xml:space="preserve">SEC1-010</x:t>
  </x:si>
  <x:si>
    <x:t xml:space="preserve">Configuración de logs de seguridad</x:t>
  </x:si>
  <x:si>
    <x:t xml:space="preserve">Accesos, cambios y eventos críticos</x:t>
  </x:si>
  <x:si>
    <x:t xml:space="preserve">SEC1-011</x:t>
  </x:si>
  <x:si>
    <x:t xml:space="preserve">Revisión posterior contra línea base</x:t>
  </x:si>
  <x:si>
    <x:t xml:space="preserve">Comparación y evidencias</x:t>
  </x:si>
  <x:si>
    <x:t xml:space="preserve">SEC1-012</x:t>
  </x:si>
  <x:si>
    <x:t xml:space="preserve">Pruebas de acceso y operación</x:t>
  </x:si>
  <x:si>
    <x:t xml:space="preserve">Operación posterior al hardening</x:t>
  </x:si>
  <x:si>
    <x:t xml:space="preserve">SEC1-013</x:t>
  </x:si>
  <x:si>
    <x:t xml:space="preserve">Informe de cambios y riesgos pendientes</x:t>
  </x:si>
  <x:si>
    <x:t xml:space="preserve">Cambios, excepciones y recomendaciones</x:t>
  </x:si>
  <x:si>
    <x:t xml:space="preserve">SEC2-001</x:t>
  </x:si>
  <x:si>
    <x:t xml:space="preserve">Inventario de activos y alcance de revisión</x:t>
  </x:si>
  <x:si>
    <x:t xml:space="preserve">Activos, propietarios y criticidad</x:t>
  </x:si>
  <x:si>
    <x:t xml:space="preserve">SEC2-002</x:t>
  </x:si>
  <x:si>
    <x:t xml:space="preserve">Configuración de credenciales y ventanas</x:t>
  </x:si>
  <x:si>
    <x:t xml:space="preserve">Credenciales, horarios y respaldo</x:t>
  </x:si>
  <x:si>
    <x:t xml:space="preserve">Detección</x:t>
  </x:si>
  <x:si>
    <x:t xml:space="preserve">SEC2-003</x:t>
  </x:si>
  <x:si>
    <x:t xml:space="preserve">Escaneo de vulnerabilidades</x:t>
  </x:si>
  <x:si>
    <x:t xml:space="preserve">Hallazgos técnicos y evidencia</x:t>
  </x:si>
  <x:si>
    <x:t xml:space="preserve">SEC2-004</x:t>
  </x:si>
  <x:si>
    <x:t xml:space="preserve">Validación y descarte de falsos positivos</x:t>
  </x:si>
  <x:si>
    <x:t xml:space="preserve">Evidencia y aplicabilidad</x:t>
  </x:si>
  <x:si>
    <x:t xml:space="preserve">Riesgo</x:t>
  </x:si>
  <x:si>
    <x:t xml:space="preserve">SEC2-005</x:t>
  </x:si>
  <x:si>
    <x:t xml:space="preserve">Priorización por criticidad e impacto</x:t>
  </x:si>
  <x:si>
    <x:t xml:space="preserve">Severidad, exposición e impacto</x:t>
  </x:si>
  <x:si>
    <x:t xml:space="preserve">SEC2-006</x:t>
  </x:si>
  <x:si>
    <x:t xml:space="preserve">Plan de remediación y ventanas</x:t>
  </x:si>
  <x:si>
    <x:t xml:space="preserve">Orden, responsables, riesgo y reversa</x:t>
  </x:si>
  <x:si>
    <x:t xml:space="preserve">Remediación</x:t>
  </x:si>
  <x:si>
    <x:t xml:space="preserve">SEC2-007</x:t>
  </x:si>
  <x:si>
    <x:t xml:space="preserve">Aplicación de parche estándar</x:t>
  </x:si>
  <x:si>
    <x:t xml:space="preserve">Respaldo, actualización y validación</x:t>
  </x:si>
  <x:si>
    <x:t xml:space="preserve">SEC2-008</x:t>
  </x:si>
  <x:si>
    <x:t xml:space="preserve">Aplicación de mitigación de configuración</x:t>
  </x:si>
  <x:si>
    <x:t xml:space="preserve">Cambio compensatorio o configuración</x:t>
  </x:si>
  <x:si>
    <x:t xml:space="preserve">SEC2-009</x:t>
  </x:si>
  <x:si>
    <x:t xml:space="preserve">Prueba funcional posterior</x:t>
  </x:si>
  <x:si>
    <x:t xml:space="preserve">Funciones críticas después del parche</x:t>
  </x:si>
  <x:si>
    <x:t xml:space="preserve">Revalidación</x:t>
  </x:si>
  <x:si>
    <x:t xml:space="preserve">SEC2-010</x:t>
  </x:si>
  <x:si>
    <x:t xml:space="preserve">Nuevo escaneo de verificación</x:t>
  </x:si>
  <x:si>
    <x:t xml:space="preserve">Cierre o riesgo residual</x:t>
  </x:si>
  <x:si>
    <x:t xml:space="preserve">SEC2-011</x:t>
  </x:si>
  <x:si>
    <x:t xml:space="preserve">Informe ejecutivo y técnico</x:t>
  </x:si>
  <x:si>
    <x:t xml:space="preserve">Estado, riesgo residual y recomendaciones</x:t>
  </x:si>
  <x:si>
    <x:t xml:space="preserve">SEC3-001</x:t>
  </x:si>
  <x:si>
    <x:t xml:space="preserve">Inventario de usuarios, roles y accesos</x:t>
  </x:si>
  <x:si>
    <x:t xml:space="preserve">Usuarios, grupos, permisos y propietarios</x:t>
  </x:si>
  <x:si>
    <x:t xml:space="preserve">SEC3-002</x:t>
  </x:si>
  <x:si>
    <x:t xml:space="preserve">Diseño de roles y segregación de funciones</x:t>
  </x:si>
  <x:si>
    <x:t xml:space="preserve">Responsabilidades, permisos y conflictos</x:t>
  </x:si>
  <x:si>
    <x:t xml:space="preserve">SEC3-003</x:t>
  </x:si>
  <x:si>
    <x:t xml:space="preserve">Matriz de acceso por recurso</x:t>
  </x:si>
  <x:si>
    <x:t xml:space="preserve">Lectura, edición, aprobación y administración</x:t>
  </x:si>
  <x:si>
    <x:t xml:space="preserve">Autenticación</x:t>
  </x:si>
  <x:si>
    <x:t xml:space="preserve">SEC3-004</x:t>
  </x:si>
  <x:si>
    <x:t xml:space="preserve">Configuración de autenticación multifactor</x:t>
  </x:si>
  <x:si>
    <x:t xml:space="preserve">Enrolamiento, recuperación y excepción</x:t>
  </x:si>
  <x:si>
    <x:t xml:space="preserve">SEC3-005</x:t>
  </x:si>
  <x:si>
    <x:t xml:space="preserve">Política de contraseñas y sesión</x:t>
  </x:si>
  <x:si>
    <x:t xml:space="preserve">Complejidad, bloqueo, duración y recuperación</x:t>
  </x:si>
  <x:si>
    <x:t xml:space="preserve">Autorización</x:t>
  </x:si>
  <x:si>
    <x:t xml:space="preserve">SEC3-006</x:t>
  </x:si>
  <x:si>
    <x:t xml:space="preserve">Aplicación de mínimo privilegio</x:t>
  </x:si>
  <x:si>
    <x:t xml:space="preserve">Reducción de privilegios y accesos heredados</x:t>
  </x:si>
  <x:si>
    <x:t xml:space="preserve">Ciclo de vida</x:t>
  </x:si>
  <x:si>
    <x:t xml:space="preserve">SEC3-007</x:t>
  </x:si>
  <x:si>
    <x:t xml:space="preserve">Proceso de alta, cambio y baja de usuarios</x:t>
  </x:si>
  <x:si>
    <x:t xml:space="preserve">Solicitud, aprobación, ejecución y evidencia</x:t>
  </x:si>
  <x:si>
    <x:t xml:space="preserve">Cuentas</x:t>
  </x:si>
  <x:si>
    <x:t xml:space="preserve">SEC3-008</x:t>
  </x:si>
  <x:si>
    <x:t xml:space="preserve">Control de cuentas de servicio</x:t>
  </x:si>
  <x:si>
    <x:t xml:space="preserve">Propietario, secreto, uso y rotación</x:t>
  </x:si>
  <x:si>
    <x:t xml:space="preserve">SEC3-009</x:t>
  </x:si>
  <x:si>
    <x:t xml:space="preserve">Registro de eventos de autenticación</x:t>
  </x:si>
  <x:si>
    <x:t xml:space="preserve">Ingreso, fallo, bloqueo y cambios</x:t>
  </x:si>
  <x:si>
    <x:t xml:space="preserve">SEC3-010</x:t>
  </x:si>
  <x:si>
    <x:t xml:space="preserve">Pruebas de acceso por rol</x:t>
  </x:si>
  <x:si>
    <x:t xml:space="preserve">Permitidos, denegados y recuperación</x:t>
  </x:si>
  <x:si>
    <x:t xml:space="preserve">SEC3-011</x:t>
  </x:si>
  <x:si>
    <x:t xml:space="preserve">Roles, accesos y operación</x:t>
  </x:si>
  <x:si>
    <x:t xml:space="preserve">Escenarios</x:t>
  </x:si>
  <x:si>
    <x:t xml:space="preserve">SEC4-001</x:t>
  </x:si>
  <x:si>
    <x:t xml:space="preserve">Definición de escenarios prioritarios</x:t>
  </x:si>
  <x:si>
    <x:t xml:space="preserve">Acceso, malware, fuga e indisponibilidad</x:t>
  </x:si>
  <x:si>
    <x:t xml:space="preserve">Clasificación</x:t>
  </x:si>
  <x:si>
    <x:t xml:space="preserve">SEC4-002</x:t>
  </x:si>
  <x:si>
    <x:t xml:space="preserve">Definición de severidades y criterios</x:t>
  </x:si>
  <x:si>
    <x:t xml:space="preserve">Impacto, urgencia y escalamiento</x:t>
  </x:si>
  <x:si>
    <x:t xml:space="preserve">Organización</x:t>
  </x:si>
  <x:si>
    <x:t xml:space="preserve">SEC4-003</x:t>
  </x:si>
  <x:si>
    <x:t xml:space="preserve">Definición de roles y contactos</x:t>
  </x:si>
  <x:si>
    <x:t xml:space="preserve">Responsables, suplentes y contactos</x:t>
  </x:si>
  <x:si>
    <x:t xml:space="preserve">SEC4-004</x:t>
  </x:si>
  <x:si>
    <x:t xml:space="preserve">Playbook de detección y análisis</x:t>
  </x:si>
  <x:si>
    <x:t xml:space="preserve">Evidencia, validación y clasificación</x:t>
  </x:si>
  <x:si>
    <x:t xml:space="preserve">SEC4-005</x:t>
  </x:si>
  <x:si>
    <x:t xml:space="preserve">Playbook de contención y erradicación</x:t>
  </x:si>
  <x:si>
    <x:t xml:space="preserve">Aislamiento, bloqueo y limpieza</x:t>
  </x:si>
  <x:si>
    <x:t xml:space="preserve">SEC4-006</x:t>
  </x:si>
  <x:si>
    <x:t xml:space="preserve">Playbook de recuperación</x:t>
  </x:si>
  <x:si>
    <x:t xml:space="preserve">Restauración, validación y retorno</x:t>
  </x:si>
  <x:si>
    <x:t xml:space="preserve">SEC4-007</x:t>
  </x:si>
  <x:si>
    <x:t xml:space="preserve">Plan de comunicación de incidentes</x:t>
  </x:si>
  <x:si>
    <x:t xml:space="preserve">Interna, cliente y terceros</x:t>
  </x:si>
  <x:si>
    <x:t xml:space="preserve">Evidencia</x:t>
  </x:si>
  <x:si>
    <x:t xml:space="preserve">SEC4-008</x:t>
  </x:si>
  <x:si>
    <x:t xml:space="preserve">Preparación de fuentes de evidencia</x:t>
  </x:si>
  <x:si>
    <x:t xml:space="preserve">Logs, respaldos y auditoría</x:t>
  </x:si>
  <x:si>
    <x:t xml:space="preserve">Simulación</x:t>
  </x:si>
  <x:si>
    <x:t xml:space="preserve">SEC4-009</x:t>
  </x:si>
  <x:si>
    <x:t xml:space="preserve">Diseño de ejercicio de mesa</x:t>
  </x:si>
  <x:si>
    <x:t xml:space="preserve">Escenario, decisiones y criterios</x:t>
  </x:si>
  <x:si>
    <x:t xml:space="preserve">SEC4-010</x:t>
  </x:si>
  <x:si>
    <x:t xml:space="preserve">Ejecución de ejercicio de mesa</x:t>
  </x:si>
  <x:si>
    <x:t xml:space="preserve">Tiempos, coordinación y evidencia</x:t>
  </x:si>
  <x:si>
    <x:t xml:space="preserve">SEC4-011</x:t>
  </x:si>
  <x:si>
    <x:t xml:space="preserve">Hallazgos, acciones y responsables</x:t>
  </x:si>
  <x:si>
    <x:t xml:space="preserve">SUP1-001</x:t>
  </x:si>
  <x:si>
    <x:t xml:space="preserve">Definición del catálogo de atención</x:t>
  </x:si>
  <x:si>
    <x:t xml:space="preserve">Servicios, solicitudes y exclusiones</x:t>
  </x:si>
  <x:si>
    <x:t xml:space="preserve">SUP1-002</x:t>
  </x:si>
  <x:si>
    <x:t xml:space="preserve">Definición de canales de ingreso</x:t>
  </x:si>
  <x:si>
    <x:t xml:space="preserve">Formulario, correo o portal</x:t>
  </x:si>
  <x:si>
    <x:t xml:space="preserve">SUP1-003</x:t>
  </x:si>
  <x:si>
    <x:t xml:space="preserve">Parametrización del flujo básico de tickets</x:t>
  </x:si>
  <x:si>
    <x:t xml:space="preserve">Configuración operativa de estados, asignación y cierre sobre una definición básica.</x:t>
  </x:si>
  <x:si>
    <x:t xml:space="preserve">El diseño formal de procesos ITSM se cotiza en SUP-02.</x:t>
  </x:si>
  <x:si>
    <x:t xml:space="preserve">SUP1-004</x:t>
  </x:si>
  <x:si>
    <x:t xml:space="preserve">Parametrización de prioridades y severidades</x:t>
  </x:si>
  <x:si>
    <x:t xml:space="preserve">Nivel</x:t>
  </x:si>
  <x:si>
    <x:t xml:space="preserve">Configuración en la herramienta de niveles previamente acordados.</x:t>
  </x:si>
  <x:si>
    <x:t xml:space="preserve">La definición metodológica completa se cotiza en SUP-02.</x:t>
  </x:si>
  <x:si>
    <x:t xml:space="preserve">SLA</x:t>
  </x:si>
  <x:si>
    <x:t xml:space="preserve">SUP1-005</x:t>
  </x:si>
  <x:si>
    <x:t xml:space="preserve">Parametrización de SLA definidos</x:t>
  </x:si>
  <x:si>
    <x:t xml:space="preserve">Configuración de tiempos de respuesta, resolución y cobertura en la herramienta.</x:t>
  </x:si>
  <x:si>
    <x:t xml:space="preserve">La definición y gobierno formal de SLA se cotizan en SUP-02.</x:t>
  </x:si>
  <x:si>
    <x:t xml:space="preserve">SUP1-006</x:t>
  </x:si>
  <x:si>
    <x:t xml:space="preserve">Configuración de campos y formularios</x:t>
  </x:si>
  <x:si>
    <x:t xml:space="preserve">Campos, validaciones y clasificación</x:t>
  </x:si>
  <x:si>
    <x:t xml:space="preserve">SUP1-007</x:t>
  </x:si>
  <x:si>
    <x:t xml:space="preserve">Configuración de estados y automatizaciones</x:t>
  </x:si>
  <x:si>
    <x:t xml:space="preserve">Asignación, notificación y escalamiento</x:t>
  </x:si>
  <x:si>
    <x:t xml:space="preserve">SUP1-008</x:t>
  </x:si>
  <x:si>
    <x:t xml:space="preserve">Configuración de usuarios y permisos</x:t>
  </x:si>
  <x:si>
    <x:t xml:space="preserve">Agentes, administradores y solicitantes</x:t>
  </x:si>
  <x:si>
    <x:t xml:space="preserve">SUP1-009</x:t>
  </x:si>
  <x:si>
    <x:t xml:space="preserve">Plantillas de comunicación</x:t>
  </x:si>
  <x:si>
    <x:t xml:space="preserve">Plantilla</x:t>
  </x:si>
  <x:si>
    <x:t xml:space="preserve">Recepción, actualización y cierre</x:t>
  </x:si>
  <x:si>
    <x:t xml:space="preserve">SUP1-010</x:t>
  </x:si>
  <x:si>
    <x:t xml:space="preserve">Dashboard y reporte inicial de puesta en marcha</x:t>
  </x:si>
  <x:si>
    <x:t xml:space="preserve">Vista inicial de volumen, tiempos y estado para validar la operación.</x:t>
  </x:si>
  <x:si>
    <x:t xml:space="preserve">La reportería operacional avanzada se contabiliza en SUP2-010.</x:t>
  </x:si>
  <x:si>
    <x:t xml:space="preserve">SUP1-011</x:t>
  </x:si>
  <x:si>
    <x:t xml:space="preserve">Piloto con casos de atención</x:t>
  </x:si>
  <x:si>
    <x:t xml:space="preserve">Creación, asignación, atención y cierre</x:t>
  </x:si>
  <x:si>
    <x:t xml:space="preserve">Entrega</x:t>
  </x:si>
  <x:si>
    <x:t xml:space="preserve">SUP1-012</x:t>
  </x:si>
  <x:si>
    <x:t xml:space="preserve">Capacitación y documentación</x:t>
  </x:si>
  <x:si>
    <x:t xml:space="preserve">Sesión</x:t>
  </x:si>
  <x:si>
    <x:t xml:space="preserve">Uso, administración y soporte</x:t>
  </x:si>
  <x:si>
    <x:t xml:space="preserve">SUP2-001</x:t>
  </x:si>
  <x:si>
    <x:t xml:space="preserve">Definición de alcance de procesos ITSM</x:t>
  </x:si>
  <x:si>
    <x:t xml:space="preserve">Incidente, solicitud, problema y cambio</x:t>
  </x:si>
  <x:si>
    <x:t xml:space="preserve">SUP2-002</x:t>
  </x:si>
  <x:si>
    <x:t xml:space="preserve">Diseño formal del proceso de incidentes</x:t>
  </x:si>
  <x:si>
    <x:t xml:space="preserve">Registro, clasificación, escalamiento y cierre</x:t>
  </x:si>
  <x:si>
    <x:t xml:space="preserve">SUP2-003</x:t>
  </x:si>
  <x:si>
    <x:t xml:space="preserve">Diseño formal del proceso de solicitudes</x:t>
  </x:si>
  <x:si>
    <x:t xml:space="preserve">Catálogo, aprobación y entrega</x:t>
  </x:si>
  <x:si>
    <x:t xml:space="preserve">SUP2-004</x:t>
  </x:si>
  <x:si>
    <x:t xml:space="preserve">Diseño formal del proceso de cambios</x:t>
  </x:si>
  <x:si>
    <x:t xml:space="preserve">Riesgo, aprobación, reversa y validación</x:t>
  </x:si>
  <x:si>
    <x:t xml:space="preserve">SUP2-005</x:t>
  </x:si>
  <x:si>
    <x:t xml:space="preserve">Diseño formal del proceso de problemas</x:t>
  </x:si>
  <x:si>
    <x:t xml:space="preserve">Causa raíz y error conocido</x:t>
  </x:si>
  <x:si>
    <x:t xml:space="preserve">Roles</x:t>
  </x:si>
  <x:si>
    <x:t xml:space="preserve">SUP2-006</x:t>
  </x:si>
  <x:si>
    <x:t xml:space="preserve">Definición de roles y responsabilidades</x:t>
  </x:si>
  <x:si>
    <x:t xml:space="preserve">Responsables y escalamiento</x:t>
  </x:si>
  <x:si>
    <x:t xml:space="preserve">Herramienta</x:t>
  </x:si>
  <x:si>
    <x:t xml:space="preserve">SUP2-007</x:t>
  </x:si>
  <x:si>
    <x:t xml:space="preserve">Configuración de herramienta o tablero</x:t>
  </x:si>
  <x:si>
    <x:t xml:space="preserve">Campos, vistas, estados y permisos</x:t>
  </x:si>
  <x:si>
    <x:t xml:space="preserve">SUP2-008</x:t>
  </x:si>
  <x:si>
    <x:t xml:space="preserve">Automatización de asignación y escalamiento</x:t>
  </x:si>
  <x:si>
    <x:t xml:space="preserve">Condiciones, responsables y avisos</x:t>
  </x:si>
  <x:si>
    <x:t xml:space="preserve">Indicadores</x:t>
  </x:si>
  <x:si>
    <x:t xml:space="preserve">SUP2-009</x:t>
  </x:si>
  <x:si>
    <x:t xml:space="preserve">Definición de indicadores de gestión</x:t>
  </x:si>
  <x:si>
    <x:t xml:space="preserve">Indicador</x:t>
  </x:si>
  <x:si>
    <x:t xml:space="preserve">Volumen, cumplimiento y tendencia</x:t>
  </x:si>
  <x:si>
    <x:t xml:space="preserve">SUP2-010</x:t>
  </x:si>
  <x:si>
    <x:t xml:space="preserve">Configuración de reportes operacionales avanzados</x:t>
  </x:si>
  <x:si>
    <x:t xml:space="preserve">Reportes periódicos por estado, SLA, carga, tendencia y cumplimiento.</x:t>
  </x:si>
  <x:si>
    <x:t xml:space="preserve">No vuelve a incluir el reporte inicial de puesta en marcha de SUP1-010.</x:t>
  </x:si>
  <x:si>
    <x:t xml:space="preserve">Piloto</x:t>
  </x:si>
  <x:si>
    <x:t xml:space="preserve">SUP2-011</x:t>
  </x:si>
  <x:si>
    <x:t xml:space="preserve">Piloto con casos reales</x:t>
  </x:si>
  <x:si>
    <x:t xml:space="preserve">Casos y retroalimentación</x:t>
  </x:si>
  <x:si>
    <x:t xml:space="preserve">SUP2-012</x:t>
  </x:si>
  <x:si>
    <x:t xml:space="preserve">Ajustes y documentación final</x:t>
  </x:si>
  <x:si>
    <x:t xml:space="preserve">Procedimientos y mejoras</x:t>
  </x:si>
  <x:si>
    <x:t xml:space="preserve">Gestión</x:t>
  </x:si>
  <x:si>
    <x:t xml:space="preserve">SUP3-001</x:t>
  </x:si>
  <x:si>
    <x:t xml:space="preserve">Reunión de priorización y planificación</x:t>
  </x:si>
  <x:si>
    <x:t xml:space="preserve">Prioridades, responsables y consumo</x:t>
  </x:si>
  <x:si>
    <x:t xml:space="preserve">SUP3-002</x:t>
  </x:si>
  <x:si>
    <x:t xml:space="preserve">Triage de solicitudes e incidentes</x:t>
  </x:si>
  <x:si>
    <x:t xml:space="preserve">Ticket</x:t>
  </x:si>
  <x:si>
    <x:t xml:space="preserve">Impacto, urgencia y estimación</x:t>
  </x:si>
  <x:si>
    <x:t xml:space="preserve">Soporte</x:t>
  </x:si>
  <x:si>
    <x:t xml:space="preserve">SUP3-003</x:t>
  </x:si>
  <x:si>
    <x:t xml:space="preserve">Atención de incidente menor</x:t>
  </x:si>
  <x:si>
    <x:t xml:space="preserve">Diagnóstico, corrección y cierre</x:t>
  </x:si>
  <x:si>
    <x:t xml:space="preserve">SUP3-004</x:t>
  </x:si>
  <x:si>
    <x:t xml:space="preserve">Atención de solicitud operativa</x:t>
  </x:si>
  <x:si>
    <x:t xml:space="preserve">Configuración o apoyo funcional</x:t>
  </x:si>
  <x:si>
    <x:t xml:space="preserve">Evolución</x:t>
  </x:si>
  <x:si>
    <x:t xml:space="preserve">SUP3-005</x:t>
  </x:si>
  <x:si>
    <x:t xml:space="preserve">Cambio menor de aplicación</x:t>
  </x:si>
  <x:si>
    <x:t xml:space="preserve">Ajuste acotado con pruebas</x:t>
  </x:si>
  <x:si>
    <x:t xml:space="preserve">Prevención</x:t>
  </x:si>
  <x:si>
    <x:t xml:space="preserve">SUP3-006</x:t>
  </x:si>
  <x:si>
    <x:t xml:space="preserve">Revisión preventiva de logs y alertas</x:t>
  </x:si>
  <x:si>
    <x:t xml:space="preserve">Eventos y riesgos recurrentes</x:t>
  </x:si>
  <x:si>
    <x:t xml:space="preserve">Documentación</x:t>
  </x:si>
  <x:si>
    <x:t xml:space="preserve">SUP3-007</x:t>
  </x:si>
  <x:si>
    <x:t xml:space="preserve">Actualización de documentación</x:t>
  </x:si>
  <x:si>
    <x:t xml:space="preserve">Cambios y soluciones recurrentes</x:t>
  </x:si>
  <x:si>
    <x:t xml:space="preserve">SUP3-008</x:t>
  </x:si>
  <x:si>
    <x:t xml:space="preserve">Reporte mensual de servicio</x:t>
  </x:si>
  <x:si>
    <x:t xml:space="preserve">Consumo, cumplimiento y recomendaciones</x:t>
  </x:si>
  <x:si>
    <x:t xml:space="preserve">Coordinación</x:t>
  </x:si>
  <x:si>
    <x:t xml:space="preserve">SUP3-009</x:t>
  </x:si>
  <x:si>
    <x:t xml:space="preserve">Gestión de pendientes y terceros</x:t>
  </x:si>
  <x:si>
    <x:t xml:space="preserve">Hora</x:t>
  </x:si>
  <x:si>
    <x:t xml:space="preserve">Dependencias, accesos y coordinaciones</x:t>
  </x:si>
  <x:si>
    <x:t xml:space="preserve">Inventario</x:t>
  </x:si>
  <x:si>
    <x:t xml:space="preserve">SUP4-001</x:t>
  </x:si>
  <x:si>
    <x:t xml:space="preserve">Inventario de procesos y documentos existentes</x:t>
  </x:si>
  <x:si>
    <x:t xml:space="preserve">Documentos, responsables y vigencia</x:t>
  </x:si>
  <x:si>
    <x:t xml:space="preserve">SUP4-002</x:t>
  </x:si>
  <x:si>
    <x:t xml:space="preserve">Diseño de estructura documental</x:t>
  </x:si>
  <x:si>
    <x:t xml:space="preserve">Categorías, nomenclatura y acceso</x:t>
  </x:si>
  <x:si>
    <x:t xml:space="preserve">SUP4-003</x:t>
  </x:si>
  <x:si>
    <x:t xml:space="preserve">Definición de control de versiones y aprobación</x:t>
  </x:si>
  <x:si>
    <x:t xml:space="preserve">Estados, responsables y publicación</x:t>
  </x:si>
  <x:si>
    <x:t xml:space="preserve">SUP4-004</x:t>
  </x:si>
  <x:si>
    <x:t xml:space="preserve">Creación de manual de usuario</x:t>
  </x:si>
  <x:si>
    <x:t xml:space="preserve">Flujos, pantallas y preguntas frecuentes</x:t>
  </x:si>
  <x:si>
    <x:t xml:space="preserve">SUP4-005</x:t>
  </x:si>
  <x:si>
    <x:t xml:space="preserve">Creación de manual técnico</x:t>
  </x:si>
  <x:si>
    <x:t xml:space="preserve">Arquitectura, instalación y operación</x:t>
  </x:si>
  <x:si>
    <x:t xml:space="preserve">SUP4-006</x:t>
  </x:si>
  <x:si>
    <x:t xml:space="preserve">Creación de procedimiento operativo</x:t>
  </x:si>
  <x:si>
    <x:t xml:space="preserve">Objetivo, pasos, responsables y evidencia</x:t>
  </x:si>
  <x:si>
    <x:t xml:space="preserve">SUP4-007</x:t>
  </x:si>
  <x:si>
    <x:t xml:space="preserve">Creación de runbook</x:t>
  </x:si>
  <x:si>
    <x:t xml:space="preserve">Eventos frecuentes, diagnóstico y escalamiento</x:t>
  </x:si>
  <x:si>
    <x:t xml:space="preserve">SUP4-008</x:t>
  </x:si>
  <x:si>
    <x:t xml:space="preserve">Creación de artículo de conocimiento</x:t>
  </x:si>
  <x:si>
    <x:t xml:space="preserve">Artículo</x:t>
  </x:si>
  <x:si>
    <x:t xml:space="preserve">Problema, solución y palabras clave</x:t>
  </x:si>
  <x:si>
    <x:t xml:space="preserve">SUP4-009</x:t>
  </x:si>
  <x:si>
    <x:t xml:space="preserve">Configuración de repositorio o portal</x:t>
  </x:si>
  <x:si>
    <x:t xml:space="preserve">Estructura, permisos y búsqueda</x:t>
  </x:si>
  <x:si>
    <x:t xml:space="preserve">SUP4-010</x:t>
  </x:si>
  <x:si>
    <x:t xml:space="preserve">Revisión técnica y funcional</x:t>
  </x:si>
  <x:si>
    <x:t xml:space="preserve">Exactitud, claridad y vigencia</x:t>
  </x:si>
  <x:si>
    <x:t xml:space="preserve">SUP4-011</x:t>
  </x:si>
  <x:si>
    <x:t xml:space="preserve">Capacitación y transferencia</x:t>
  </x:si>
  <x:si>
    <x:t xml:space="preserve">Uso, mantenimiento y responsabilidades</x:t>
  </x:si>
  <x:si>
    <x:t xml:space="preserve">DESARROLLO E IMPLEMENTACIÓN · VISTA SIMPLIFICADA</x:t>
  </x:si>
  <x:si>
    <x:t xml:space="preserve">Vista vinculada al Catálogo Maestro. Cada actividad muestra una sola duración y un solo valor base.</x:t>
  </x:si>
  <x:si>
    <x:t xml:space="preserve">Duración base HH</x:t>
  </x:si>
  <x:si>
    <x:t xml:space="preserve">MANTENIMIENTO Y EVOLUCIÓN · VISTA SIMPLIFICADA</x:t>
  </x:si>
  <x:si>
    <x:t xml:space="preserve">MONITOREO Y OBSERVABILIDAD · VISTA SIMPLIFICADA</x:t>
  </x:si>
  <x:si>
    <x:t xml:space="preserve">RESPALDO Y CONTINUIDAD · VISTA SIMPLIFICADA</x:t>
  </x:si>
  <x:si>
    <x:t xml:space="preserve">CIBERSEGURIDAD · VISTA SIMPLIFICADA</x:t>
  </x:si>
  <x:si>
    <x:t xml:space="preserve">SOPORTE Y GESTIÓN · VISTA SIMPLIFICADA</x:t>
  </x:si>
  <x:si>
    <x:t xml:space="preserve">CÁLCULO FINAL DEL PROYECTO</x:t>
  </x:si>
  <x:si>
    <x:t xml:space="preserve">Aquí se aplican los únicos ajustes porcentuales del proyecto. No modifique las actividades individuales para representar reutilización o complejidad.</x:t>
  </x:si>
  <x:si>
    <x:t xml:space="preserve">Entrada</x:t>
  </x:si>
  <x:si>
    <x:t xml:space="preserve">Explicación</x:t>
  </x:si>
  <x:si>
    <x:t xml:space="preserve">Total HH base seleccionadas</x:t>
  </x:si>
  <x:si>
    <x:t xml:space="preserve">Suma de actividades del proyecto antes de cualquier ajuste.</x:t>
  </x:si>
  <x:si>
    <x:t xml:space="preserve">100% = base nueva; menor = reutilización; mayor = esfuerzo extraordinario.</x:t>
  </x:si>
  <x:si>
    <x:t xml:space="preserve">Tarifa UF / HH</x:t>
  </x:si>
  <x:si>
    <x:t xml:space="preserve">Tarifa maestra del catálogo.</x:t>
  </x:si>
  <x:si>
    <x:t xml:space="preserve">Resultado</x:t>
  </x:si>
  <x:si>
    <x:t xml:space="preserve">Fórmula</x:t>
  </x:si>
  <x:si>
    <x:t xml:space="preserve">HH ajustadas</x:t>
  </x:si>
  <x:si>
    <x:t xml:space="preserve">HH base × Factor global</x:t>
  </x:si>
  <x:si>
    <x:t xml:space="preserve">Valor técnico UF</x:t>
  </x:si>
  <x:si>
    <x:t xml:space="preserve">HH ajustadas × Tarifa</x:t>
  </x:si>
  <x:si>
    <x:t xml:space="preserve">Contingencia UF</x:t>
  </x:si>
  <x:si>
    <x:t xml:space="preserve">Valor técnico × Contingencia</x:t>
  </x:si>
  <x:si>
    <x:t xml:space="preserve">TOTAL FINAL UF</x:t>
  </x:si>
  <x:si>
    <x:t xml:space="preserve">Valor técnico + Contingencia</x:t>
  </x:si>
  <x:si>
    <x:t xml:space="preserve">Ejemplo de criterio: nuevo = 100%; reutilizado = porcentaje que tú decidas al cerrar el alcance. No existen tablas de factores automáticos.</x:t>
  </x:si>
  <x:si>
    <x:t xml:space="preserve">VALIDACIÓN DE HH CON PROYECTOS REALES</x:t>
  </x:si>
  <x:si>
    <x:t xml:space="preserve">Compare la HH base del catálogo con la ejecución real. Si un proceso cambia de forma consistente, actualice su única HH base en Catálogo Maestro.</x:t>
  </x:si>
  <x:si>
    <x:t xml:space="preserve">Fecha</x:t>
  </x:si>
  <x:si>
    <x:t xml:space="preserve">Cliente</x:t>
  </x:si>
  <x:si>
    <x:t xml:space="preserve">HH base estimadas</x:t>
  </x:si>
  <x:si>
    <x:t xml:space="preserve">HH reales</x:t>
  </x:si>
  <x:si>
    <x:t xml:space="preserve">Diferencia HH</x:t>
  </x:si>
  <x:si>
    <x:t xml:space="preserve">Desviación %</x:t>
  </x:si>
  <x:si>
    <x:t xml:space="preserve">Motivo</x:t>
  </x:si>
  <x:si>
    <x:t xml:space="preserve">HH base propuesta</x:t>
  </x:si>
  <x:si>
    <x:t xml:space="preserve">Pendiente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</x:si>
</x:sst>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02536"/>
      <x:name val="Carlito"/>
    </x:font>
    <x:font>
      <x:b/>
      <x:sz val="11"/>
      <x:color rgb="FFFFFFFF"/>
      <x:name val="Carlito"/>
    </x:font>
    <x:font>
      <x:b/>
      <x:sz val="11"/>
      <x:color rgb="FF39C6F4"/>
      <x:name val="Carlito"/>
    </x:font>
    <x:font>
      <x:b/>
      <x:sz val="11"/>
      <x:color rgb="FF102536"/>
      <x:name val="Carlito"/>
    </x:font>
    <x:font>
      <x:b/>
      <x:sz val="10"/>
      <x:color rgb="FFFFFFFF"/>
      <x:name val="Carlito"/>
    </x:font>
    <x:font>
      <x:sz val="9"/>
      <x:color rgb="FF102536"/>
      <x:name val="Carlito"/>
    </x:font>
    <x:font>
      <x:i/>
      <x:sz val="11"/>
      <x:color rgb="FF102536"/>
      <x:name val="Carlito"/>
    </x:font>
    <x:font>
      <x:b/>
      <x:sz val="9"/>
      <x:color rgb="FF102536"/>
      <x:name val="Carlito"/>
    </x:font>
    <x:font>
      <x:sz val="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1A2B"/>
      </x:patternFill>
    </x:fill>
    <x:fill>
      <x:patternFill patternType="solid">
        <x:fgColor rgb="FFDFF7FF"/>
      </x:patternFill>
    </x:fill>
    <x:fill>
      <x:patternFill patternType="solid">
        <x:fgColor rgb="FF0C2338"/>
      </x:patternFill>
    </x:fill>
    <x:fill>
      <x:patternFill patternType="solid">
        <x:fgColor rgb="FFE8F8F0"/>
      </x:patternFill>
    </x:fill>
    <x:fill>
      <x:patternFill patternType="solid">
        <x:fgColor rgb="FFFFF6D8"/>
      </x:patternFill>
    </x:fill>
  </x:fills>
  <x:borders count="9"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2" fontId="7" fillId="0" borderId="0" xfId="0" applyNumberFormat="1" applyFont="1" applyFill="1" applyBorder="1" applyAlignment="1">
      <x:alignment vertical="top" wrapText="1"/>
    </x:xf>
    <x:xf numFmtId="9" fontId="7" fillId="0" borderId="7" xfId="0" applyNumberFormat="1" applyFont="1" applyFill="1" applyBorder="1" applyAlignment="1">
      <x:alignment vertical="top" wrapText="1"/>
    </x:xf>
    <x:xf numFmtId="1" fontId="7" fillId="0" borderId="2" xfId="0" applyNumberFormat="1" applyFont="1" applyFill="1" applyBorder="1" applyAlignment="1">
      <x:alignment vertical="top" wrapText="1"/>
    </x:xf>
    <x:xf numFmtId="1" fontId="7" fillId="0" borderId="0" xfId="0" applyNumberFormat="1" applyFont="1" applyFill="1" applyBorder="1" applyAlignment="1">
      <x:alignment vertical="top" wrapText="1"/>
    </x:xf>
    <x:xf numFmtId="1" fontId="7" fillId="0" borderId="7" xfId="0" applyNumberFormat="1" applyFont="1" applyFill="1" applyBorder="1" applyAlignment="1">
      <x:alignment vertical="top" wrapText="1"/>
    </x:xf>
    <x:xf numFmtId="2" fontId="7" fillId="0" borderId="2" xfId="0" applyNumberFormat="1" applyFont="1" applyFill="1" applyBorder="1" applyAlignment="1">
      <x:alignment vertical="top" wrapText="1"/>
    </x:xf>
    <x:xf numFmtId="2" fontId="7" fillId="0" borderId="7" xfId="0" applyNumberFormat="1" applyFont="1" applyFill="1" applyBorder="1" applyAlignment="1">
      <x:alignment vertical="top" wrapText="1"/>
    </x:xf>
    <x:xf numFmtId="2" fontId="9" fillId="3" borderId="2" xfId="0" applyNumberFormat="1" applyFont="1" applyFill="1" applyBorder="1" applyAlignment="1">
      <x:alignment vertical="top" wrapText="1"/>
    </x:xf>
    <x:xf numFmtId="9" fontId="9" fillId="3" borderId="0" xfId="0" applyNumberFormat="1" applyFont="1" applyFill="1" applyBorder="1" applyAlignment="1">
      <x:alignment vertical="top" wrapText="1"/>
    </x:xf>
    <x:xf numFmtId="2" fontId="9" fillId="3" borderId="0" xfId="0" applyNumberFormat="1" applyFont="1" applyFill="1" applyBorder="1" applyAlignment="1">
      <x:alignment vertical="top" wrapText="1"/>
    </x:xf>
    <x:xf numFmtId="9" fontId="9" fillId="3" borderId="7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2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164" fontId="7" fillId="0" borderId="1" xfId="0" applyNumberFormat="1" applyFont="1" applyFill="1" applyBorder="1" applyAlignment="1">
      <x:alignment vertical="top" wrapText="1"/>
    </x:xf>
    <x:xf numFmtId="164" fontId="7" fillId="0" borderId="4" xfId="0" applyNumberFormat="1" applyFont="1" applyFill="1" applyBorder="1" applyAlignment="1">
      <x:alignment vertical="top" wrapText="1"/>
    </x:xf>
    <x:xf numFmtId="164" fontId="7" fillId="0" borderId="6" xfId="0" applyNumberFormat="1" applyFont="1" applyFill="1" applyBorder="1" applyAlignment="1">
      <x:alignment vertical="top" wrapText="1"/>
    </x:xf>
    <x:xf numFmtId="165" fontId="7" fillId="0" borderId="2" xfId="0" applyNumberFormat="1" applyFont="1" applyFill="1" applyBorder="1" applyAlignment="1">
      <x:alignment vertical="top" wrapText="1"/>
    </x:xf>
    <x:xf numFmtId="165" fontId="7" fillId="0" borderId="0" xfId="0" applyNumberFormat="1" applyFont="1" applyFill="1" applyBorder="1" applyAlignment="1">
      <x:alignment vertical="top" wrapText="1"/>
    </x:xf>
    <x:xf numFmtId="165" fontId="7" fillId="0" borderId="7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/>
    </x:xf>
    <x:xf numFmtId="2" fontId="7" fillId="0" borderId="2" xfId="0" applyNumberFormat="1" applyFont="1" applyFill="1" applyBorder="1" applyAlignment="1">
      <x:alignment horizontal="center" vertical="top" wrapText="1"/>
    </x:xf>
    <x:xf numFmtId="2" fontId="7" fillId="0" borderId="0" xfId="0" applyNumberFormat="1" applyFont="1" applyFill="1" applyBorder="1" applyAlignment="1">
      <x:alignment horizontal="center" vertical="top" wrapText="1"/>
    </x:xf>
    <x:xf numFmtId="2" fontId="7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ce73769324356" /><Relationship Type="http://schemas.openxmlformats.org/officeDocument/2006/relationships/theme" Target="/xl/theme/theme1.xml" Id="R2eae262041e24f87" /><Relationship Type="http://schemas.openxmlformats.org/officeDocument/2006/relationships/sharedStrings" Target="/xl/sharedStrings.xml" Id="R2f4c2569e2a54706" /><Relationship Type="http://schemas.openxmlformats.org/officeDocument/2006/relationships/worksheet" Target="/xl/worksheets/sheet1.xml" Id="R8efb857a5e2a4843" /><Relationship Type="http://schemas.openxmlformats.org/officeDocument/2006/relationships/worksheet" Target="/xl/worksheets/sheet2.xml" Id="R136ee76639cb4a08" /><Relationship Type="http://schemas.openxmlformats.org/officeDocument/2006/relationships/worksheet" Target="/xl/worksheets/sheet3.xml" Id="R7cb92b3cbc85453b" /><Relationship Type="http://schemas.openxmlformats.org/officeDocument/2006/relationships/worksheet" Target="/xl/worksheets/sheet4.xml" Id="R75a869fd37974621" /><Relationship Type="http://schemas.openxmlformats.org/officeDocument/2006/relationships/worksheet" Target="/xl/worksheets/sheet5.xml" Id="R9ae34bfcf89b4dce" /><Relationship Type="http://schemas.openxmlformats.org/officeDocument/2006/relationships/worksheet" Target="/xl/worksheets/sheet6.xml" Id="R1a874035ead24f23" /><Relationship Type="http://schemas.openxmlformats.org/officeDocument/2006/relationships/worksheet" Target="/xl/worksheets/sheet7.xml" Id="R2feb6359462448aa" /><Relationship Type="http://schemas.openxmlformats.org/officeDocument/2006/relationships/worksheet" Target="/xl/worksheets/sheet8.xml" Id="R22cbff5aa95e41c8" /><Relationship Type="http://schemas.openxmlformats.org/officeDocument/2006/relationships/worksheet" Target="/xl/worksheets/sheet9.xml" Id="R00d217e7e4014a8a" /><Relationship Type="http://schemas.openxmlformats.org/officeDocument/2006/relationships/worksheet" Target="/xl/worksheets/sheet10.xml" Id="Re5469ee939384395" /><Relationship Type="http://schemas.openxmlformats.org/officeDocument/2006/relationships/worksheet" Target="/xl/worksheets/sheet11.xml" Id="Rd59c395bdd9c4719" /><Relationship Type="http://schemas.openxmlformats.org/officeDocument/2006/relationships/worksheet" Target="/xl/worksheets/sheet12.xml" Id="Rd461f3afed42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7" customWidth="1"/>
    <x:col min="2" max="2" width="28" customWidth="1"/>
    <x:col min="3" max="3" width="58" customWidth="1"/>
    <x:col min="4" max="4" width="4" customWidth="1"/>
    <x:col min="5" max="5" width="28" customWidth="1"/>
    <x:col min="6" max="6" width="50" customWidth="1"/>
    <x:col min="7" max="8" width="18" customWidth="1"/>
  </x:cols>
  <x:sheetData>
    <x:row r="1" ht="33.95000076293945" customHeight="1">
      <x:c r="A1" s="36" t="s">
        <x:v>0</x:v>
      </x:c>
      <x:c r="B1" s="36"/>
      <x:c r="C1" s="36"/>
      <x:c r="D1" s="36"/>
      <x:c r="E1" s="36"/>
      <x:c r="F1" s="36"/>
      <x:c r="G1" s="36"/>
      <x:c r="H1" s="36"/>
    </x:row>
    <x:row r="3" ht="33.95000076293945" customHeight="1">
      <x:c r="A3" s="37" t="s">
        <x:v>1</x:v>
      </x:c>
      <x:c r="B3" s="37"/>
      <x:c r="C3" s="37"/>
      <x:c r="D3" s="37"/>
      <x:c r="E3" s="37"/>
      <x:c r="F3" s="37"/>
      <x:c r="G3" s="37"/>
      <x:c r="H3" s="37"/>
    </x:row>
    <x:row r="5" ht="15">
      <x:c r="A5" s="38" t="s">
        <x:v>2</x:v>
      </x:c>
      <x:c r="B5" s="38"/>
      <x:c r="C5" s="38"/>
      <x:c r="E5" s="38" t="s">
        <x:v>3</x:v>
      </x:c>
      <x:c r="F5" s="38"/>
      <x:c r="G5" s="38"/>
      <x:c r="H5" s="38"/>
    </x:row>
    <x:row r="7" ht="30">
      <x:c r="A7" s="2" t="s">
        <x:v>4</x:v>
      </x:c>
      <x:c r="B7" s="4" t="s">
        <x:v>5</x:v>
      </x:c>
      <x:c r="C7" s="1" t="s">
        <x:v>6</x:v>
      </x:c>
      <x:c r="E7" s="4" t="s">
        <x:v>7</x:v>
      </x:c>
      <x:c r="F7" s="1">
        <x:v>6</x:v>
      </x:c>
      <x:c r="G7" s="1" t="s">
        <x:v>8</x:v>
      </x:c>
      <x:c r="H7" s="1">
        <x:v>21</x:v>
      </x:c>
    </x:row>
    <x:row r="8" ht="29.25">
      <x:c r="A8" s="2" t="s">
        <x:v>9</x:v>
      </x:c>
      <x:c r="B8" s="4" t="s">
        <x:v>10</x:v>
      </x:c>
      <x:c r="C8" s="1" t="s">
        <x:v>11</x:v>
      </x:c>
      <x:c r="E8" s="4" t="s">
        <x:v>12</x:v>
      </x:c>
      <x:c r="F8" s="1" t="str">
        <x:v>255</x:v>
      </x:c>
      <x:c r="G8" s="1" t="s">
        <x:v>13</x:v>
      </x:c>
      <x:c r="H8" s="1" t="s">
        <x:v>14</x:v>
      </x:c>
    </x:row>
    <x:row r="9" ht="29.25">
      <x:c r="A9" s="2" t="s">
        <x:v>15</x:v>
      </x:c>
      <x:c r="B9" s="4" t="s">
        <x:v>16</x:v>
      </x:c>
      <x:c r="C9" s="1" t="s">
        <x:v>17</x:v>
      </x:c>
      <x:c r="E9" s="4" t="s">
        <x:v>18</x:v>
      </x:c>
      <x:c r="F9" s="1" t="s">
        <x:v>19</x:v>
      </x:c>
      <x:c r="G9" s="1" t="s">
        <x:v>20</x:v>
      </x:c>
      <x:c r="H9" s="1" t="s">
        <x:v>21</x:v>
      </x:c>
    </x:row>
    <x:row r="10" ht="29.25">
      <x:c r="A10" s="2" t="s">
        <x:v>22</x:v>
      </x:c>
      <x:c r="B10" s="4" t="s">
        <x:v>23</x:v>
      </x:c>
      <x:c r="C10" s="1" t="s">
        <x:v>24</x:v>
      </x:c>
      <x:c r="E10" s="4"/>
      <x:c r="F10" s="1"/>
      <x:c r="G10" s="1"/>
      <x:c r="H10" s="1"/>
    </x:row>
    <x:row r="11" ht="15">
      <x:c r="A11" s="3"/>
      <x:c r="B11" s="5"/>
      <x:c r="E11" s="5"/>
    </x:row>
    <x:row r="12" ht="15">
      <x:c r="A12" s="39" t="s">
        <x:v>25</x:v>
      </x:c>
      <x:c r="B12" s="40"/>
      <x:c r="C12" s="38"/>
      <x:c r="E12" s="40" t="s">
        <x:v>26</x:v>
      </x:c>
      <x:c r="F12" s="38"/>
      <x:c r="G12" s="38"/>
      <x:c r="H12" s="38"/>
    </x:row>
    <x:row r="13" ht="15">
      <x:c r="A13" s="3"/>
      <x:c r="B13" s="5"/>
      <x:c r="E13" s="5"/>
    </x:row>
    <x:row r="14" ht="29.25">
      <x:c r="A14" s="2" t="s">
        <x:v>4</x:v>
      </x:c>
      <x:c r="B14" s="4" t="s">
        <x:v>27</x:v>
      </x:c>
      <x:c r="C14" s="1" t="s">
        <x:v>28</x:v>
      </x:c>
      <x:c r="E14" s="4" t="s">
        <x:v>29</x:v>
      </x:c>
      <x:c r="F14" s="1" t="s">
        <x:v>30</x:v>
      </x:c>
      <x:c r="G14" s="1"/>
      <x:c r="H14" s="1"/>
    </x:row>
    <x:row r="15" ht="30">
      <x:c r="A15" s="2" t="s">
        <x:v>9</x:v>
      </x:c>
      <x:c r="B15" s="4" t="s">
        <x:v>31</x:v>
      </x:c>
      <x:c r="C15" s="1" t="s">
        <x:v>32</x:v>
      </x:c>
      <x:c r="E15" s="4" t="s">
        <x:v>33</x:v>
      </x:c>
      <x:c r="F15" s="1" t="s">
        <x:v>34</x:v>
      </x:c>
      <x:c r="G15" s="1"/>
      <x:c r="H15" s="1"/>
    </x:row>
    <x:row r="16" ht="29.25">
      <x:c r="A16" s="2" t="s">
        <x:v>15</x:v>
      </x:c>
      <x:c r="B16" s="4" t="s">
        <x:v>35</x:v>
      </x:c>
      <x:c r="C16" s="1" t="s">
        <x:v>36</x:v>
      </x:c>
      <x:c r="E16" s="4" t="s">
        <x:v>37</x:v>
      </x:c>
      <x:c r="F16" s="1" t="s">
        <x:v>38</x:v>
      </x:c>
      <x:c r="G16" s="1"/>
      <x:c r="H16" s="1"/>
    </x:row>
    <x:row r="17" ht="30">
      <x:c r="A17" s="2" t="s">
        <x:v>22</x:v>
      </x:c>
      <x:c r="B17" s="4" t="s">
        <x:v>39</x:v>
      </x:c>
      <x:c r="C17" s="1" t="s">
        <x:v>40</x:v>
      </x:c>
      <x:c r="E17" s="4" t="s">
        <x:v>41</x:v>
      </x:c>
      <x:c r="F17" s="1" t="s">
        <x:v>42</x:v>
      </x:c>
      <x:c r="G17" s="1"/>
      <x:c r="H17" s="1"/>
    </x:row>
    <x:row r="18" ht="29.25">
      <x:c r="A18" s="2" t="s">
        <x:v>43</x:v>
      </x:c>
      <x:c r="B18" s="4" t="s">
        <x:v>44</x:v>
      </x:c>
      <x:c r="C18" s="1" t="s">
        <x:v>45</x:v>
      </x:c>
      <x:c r="E18" s="4" t="s">
        <x:v>46</x:v>
      </x:c>
      <x:c r="F18" s="1" t="s">
        <x:v>47</x:v>
      </x:c>
      <x:c r="G18" s="1"/>
      <x:c r="H18" s="1"/>
    </x:row>
    <x:row r="19" ht="29.25">
      <x:c r="E19" s="4" t="s">
        <x:v>48</x:v>
      </x:c>
      <x:c r="F19" s="1" t="s">
        <x:v>49</x:v>
      </x:c>
      <x:c r="G19" s="1"/>
      <x:c r="H19" s="1"/>
    </x:row>
  </x:sheetData>
  <x:mergeCells>
    <x:mergeCell ref="A1:H1"/>
    <x:mergeCell ref="A3:H3"/>
    <x:mergeCell ref="A5:C5"/>
    <x:mergeCell ref="E5:H5"/>
    <x:mergeCell ref="A12:C12"/>
    <x:mergeCell ref="E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2" width="20" customWidth="1"/>
    <x:col min="3" max="3" width="16" customWidth="1"/>
    <x:col min="4" max="4" width="24" customWidth="1"/>
    <x:col min="5" max="5" width="12" customWidth="1"/>
    <x:col min="6" max="6" width="44" customWidth="1"/>
  </x:cols>
  <x:sheetData>
    <x:row r="1" ht="33.95000076293945" customHeight="1">
      <x:c r="A1" s="36" t="s">
        <x:v>50</x:v>
      </x:c>
      <x:c r="B1" s="36"/>
      <x:c r="C1" s="36"/>
      <x:c r="D1" s="36"/>
      <x:c r="E1" s="36"/>
      <x:c r="F1" s="36"/>
    </x:row>
    <x:row r="3" ht="33.95000076293945" customHeight="1">
      <x:c r="A3" s="37" t="s">
        <x:v>51</x:v>
      </x:c>
      <x:c r="B3" s="37"/>
      <x:c r="C3" s="37"/>
      <x:c r="D3" s="37"/>
      <x:c r="E3" s="37"/>
      <x:c r="F3" s="37"/>
    </x:row>
    <x:row r="5" ht="27.950000762939453" customHeight="1">
      <x:c r="A5" s="6" t="s">
        <x:v>52</x:v>
      </x:c>
      <x:c r="B5" s="6" t="s">
        <x:v>53</x:v>
      </x:c>
      <x:c r="C5" s="6" t="s">
        <x:v>54</x:v>
      </x:c>
      <x:c r="D5" s="6" t="s">
        <x:v>55</x:v>
      </x:c>
      <x:c r="E5" s="6" t="s">
        <x:v>56</x:v>
      </x:c>
      <x:c r="F5" s="6" t="s">
        <x:v>57</x:v>
      </x:c>
    </x:row>
    <x:row r="6">
      <x:c r="A6" s="8" t="s">
        <x:v>58</x:v>
      </x:c>
      <x:c r="B6" s="9" t="s">
        <x:v>59</x:v>
      </x:c>
      <x:c r="C6" s="9" t="s">
        <x:v>60</x:v>
      </x:c>
      <x:c r="D6" s="9" t="s">
        <x:v>61</x:v>
      </x:c>
      <x:c r="E6" s="9" t="s">
        <x:v>62</x:v>
      </x:c>
      <x:c r="F6" s="10" t="s">
        <x:v>63</x:v>
      </x:c>
    </x:row>
    <x:row r="7">
      <x:c r="A7" s="11" t="s">
        <x:v>64</x:v>
      </x:c>
      <x:c r="B7" s="7" t="s">
        <x:v>65</x:v>
      </x:c>
      <x:c r="C7" s="7" t="s">
        <x:v>66</x:v>
      </x:c>
      <x:c r="D7" s="7" t="s">
        <x:v>61</x:v>
      </x:c>
      <x:c r="E7" s="7" t="s">
        <x:v>62</x:v>
      </x:c>
      <x:c r="F7" s="12" t="s">
        <x:v>67</x:v>
      </x:c>
    </x:row>
    <x:row r="8">
      <x:c r="A8" s="11" t="s">
        <x:v>68</x:v>
      </x:c>
      <x:c r="B8" s="7" t="s">
        <x:v>69</x:v>
      </x:c>
      <x:c r="C8" s="7" t="s">
        <x:v>60</x:v>
      </x:c>
      <x:c r="D8" s="7" t="s">
        <x:v>70</x:v>
      </x:c>
      <x:c r="E8" s="7" t="s">
        <x:v>71</x:v>
      </x:c>
      <x:c r="F8" s="12" t="s">
        <x:v>72</x:v>
      </x:c>
    </x:row>
    <x:row r="9">
      <x:c r="A9" s="11" t="s">
        <x:v>73</x:v>
      </x:c>
      <x:c r="B9" s="16">
        <x:v>0.7</x:v>
      </x:c>
      <x:c r="C9" s="7" t="s">
        <x:v>74</x:v>
      </x:c>
      <x:c r="D9" s="7" t="s">
        <x:v>75</x:v>
      </x:c>
      <x:c r="E9" s="7" t="s">
        <x:v>71</x:v>
      </x:c>
      <x:c r="F9" s="12" t="s">
        <x:v>76</x:v>
      </x:c>
    </x:row>
    <x:row r="10">
      <x:c r="A10" s="13" t="s">
        <x:v>77</x:v>
      </x:c>
      <x:c r="B10" s="17">
        <x:v>0.2</x:v>
      </x:c>
      <x:c r="C10" s="14" t="s">
        <x:v>78</x:v>
      </x:c>
      <x:c r="D10" s="14" t="s">
        <x:v>79</x:v>
      </x:c>
      <x:c r="E10" s="14" t="s">
        <x:v>71</x:v>
      </x:c>
      <x:c r="F10" s="15" t="s">
        <x:v>80</x:v>
      </x:c>
    </x:row>
    <x:row r="12" ht="15">
      <x:c r="A12" s="41" t="s">
        <x:v>81</x:v>
      </x:c>
      <x:c r="B12" s="41"/>
      <x:c r="C12" s="41"/>
      <x:c r="D12" s="41"/>
      <x:c r="E12" s="41"/>
      <x:c r="F12" s="41"/>
    </x:row>
    <x:row r="14" ht="57">
      <x:c r="A14" s="1" t="s">
        <x:v>4</x:v>
      </x:c>
      <x:c r="B14" s="1" t="s">
        <x:v>82</x:v>
      </x:c>
      <x:c r="C14" s="1" t="s">
        <x:v>83</x:v>
      </x:c>
    </x:row>
    <x:row r="15" ht="99.75">
      <x:c r="A15" s="1" t="s">
        <x:v>9</x:v>
      </x:c>
      <x:c r="B15" s="1" t="s">
        <x:v>84</x:v>
      </x:c>
      <x:c r="C15" s="1" t="s">
        <x:v>85</x:v>
      </x:c>
    </x:row>
    <x:row r="16" ht="28.5">
      <x:c r="A16" s="1" t="s">
        <x:v>15</x:v>
      </x:c>
      <x:c r="B16" s="1" t="s">
        <x:v>86</x:v>
      </x:c>
      <x:c r="C16" s="1" t="s">
        <x:v>87</x:v>
      </x:c>
    </x:row>
    <x:row r="17" ht="28.5">
      <x:c r="A17" s="1" t="s">
        <x:v>22</x:v>
      </x:c>
      <x:c r="B17" s="1" t="s">
        <x:v>88</x:v>
      </x:c>
      <x:c r="C17" s="1" t="s">
        <x:v>89</x:v>
      </x:c>
    </x:row>
    <x:row r="19" ht="15">
      <x:c r="A19" s="41" t="s">
        <x:v>90</x:v>
      </x:c>
      <x:c r="B19" s="41"/>
      <x:c r="C19" s="41"/>
      <x:c r="D19" s="41"/>
      <x:c r="E19" s="41"/>
      <x:c r="F19" s="41"/>
    </x:row>
    <x:row r="21" ht="15">
      <x:c r="A21" s="42" t="s">
        <x:v>91</x:v>
      </x:c>
      <x:c r="B21" s="42"/>
      <x:c r="C21" s="42"/>
      <x:c r="D21" s="42"/>
      <x:c r="E21" s="42"/>
      <x:c r="F21" s="42"/>
    </x:row>
  </x:sheetData>
  <x:mergeCells>
    <x:mergeCell ref="A1:F1"/>
    <x:mergeCell ref="A3:F3"/>
    <x:mergeCell ref="A12:F12"/>
    <x:mergeCell ref="A19:F19"/>
    <x:mergeCell ref="A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30" customWidth="1"/>
    <x:col min="2" max="2" width="13" customWidth="1"/>
    <x:col min="3" max="3" width="48" customWidth="1"/>
    <x:col min="4" max="4" width="12" customWidth="1"/>
    <x:col min="5" max="6" width="16" customWidth="1"/>
    <x:col min="7" max="7" width="14" customWidth="1"/>
  </x:cols>
  <x:sheetData>
    <x:row r="1" ht="33.95000076293945" customHeight="1">
      <x:c r="A1" s="36" t="s">
        <x:v>92</x:v>
      </x:c>
      <x:c r="B1" s="36"/>
      <x:c r="C1" s="36"/>
      <x:c r="D1" s="36"/>
      <x:c r="E1" s="36"/>
      <x:c r="F1" s="36"/>
      <x:c r="G1" s="36"/>
    </x:row>
    <x:row r="3" ht="33.95000076293945" customHeight="1">
      <x:c r="A3" s="37" t="s">
        <x:v>93</x:v>
      </x:c>
      <x:c r="B3" s="37"/>
      <x:c r="C3" s="37"/>
      <x:c r="D3" s="37"/>
      <x:c r="E3" s="37"/>
      <x:c r="F3" s="37"/>
      <x:c r="G3" s="37"/>
    </x:row>
    <x:row r="5" ht="27.950000762939453" customHeight="1">
      <x:c r="A5" s="6" t="s">
        <x:v>94</x:v>
      </x:c>
      <x:c r="B5" s="6" t="s">
        <x:v>95</x:v>
      </x:c>
      <x:c r="C5" s="6" t="s">
        <x:v>96</x:v>
      </x:c>
      <x:c r="D5" s="6" t="s">
        <x:v>97</x:v>
      </x:c>
      <x:c r="E5" s="6" t="s">
        <x:v>98</x:v>
      </x:c>
      <x:c r="F5" s="6" t="s">
        <x:v>99</x:v>
      </x:c>
      <x:c r="G5" s="6" t="s">
        <x:v>100</x:v>
      </x:c>
    </x:row>
    <x:row r="6">
      <x:c r="A6" s="8" t="s">
        <x:v>29</x:v>
      </x:c>
      <x:c r="B6" s="9" t="s">
        <x:v>101</x:v>
      </x:c>
      <x:c r="C6" s="9" t="s">
        <x:v>102</x:v>
      </x:c>
      <x:c r="D6" s="18" t="n">
        <x:f>COUNTIF('Catalogo Maestro'!$B$6:$B$260,B6)</x:f>
        <x:v>23</x:v>
      </x:c>
      <x:c r="E6" s="21" t="n">
        <x:f>SUMPRODUCT(('Catalogo Maestro'!$B$6:$B$260=B6)*('Catalogo Maestro'!$G$6:$G$260&lt;&gt;"Opcional")*'Catalogo Maestro'!$I$6:$I$260*'Catalogo Maestro'!$J$6:$J$260)</x:f>
        <x:v>18.3</x:v>
      </x:c>
      <x:c r="F6" s="21" t="n">
        <x:f>E6*Parametros!$B$9</x:f>
        <x:v>12.81</x:v>
      </x:c>
      <x:c r="G6" s="10" t="s">
        <x:v>103</x:v>
      </x:c>
    </x:row>
    <x:row r="7">
      <x:c r="A7" s="11" t="s">
        <x:v>29</x:v>
      </x:c>
      <x:c r="B7" s="7" t="s">
        <x:v>104</x:v>
      </x:c>
      <x:c r="C7" s="7" t="s">
        <x:v>105</x:v>
      </x:c>
      <x:c r="D7" s="19" t="n">
        <x:f>COUNTIF('Catalogo Maestro'!$B$6:$B$260,B7)</x:f>
        <x:v>18</x:v>
      </x:c>
      <x:c r="E7" s="16" t="n">
        <x:f>SUMPRODUCT(('Catalogo Maestro'!$B$6:$B$260=B7)*('Catalogo Maestro'!$G$6:$G$260&lt;&gt;"Opcional")*'Catalogo Maestro'!$I$6:$I$260*'Catalogo Maestro'!$J$6:$J$260)</x:f>
        <x:v>44.9</x:v>
      </x:c>
      <x:c r="F7" s="16" t="n">
        <x:f>E7*Parametros!$B$9</x:f>
        <x:v>31.429999999999996</x:v>
      </x:c>
      <x:c r="G7" s="12" t="s">
        <x:v>103</x:v>
      </x:c>
    </x:row>
    <x:row r="8">
      <x:c r="A8" s="11" t="s">
        <x:v>29</x:v>
      </x:c>
      <x:c r="B8" s="7" t="s">
        <x:v>106</x:v>
      </x:c>
      <x:c r="C8" s="7" t="s">
        <x:v>107</x:v>
      </x:c>
      <x:c r="D8" s="19" t="n">
        <x:f>COUNTIF('Catalogo Maestro'!$B$6:$B$260,B8)</x:f>
        <x:v>10</x:v>
      </x:c>
      <x:c r="E8" s="16" t="n">
        <x:f>SUMPRODUCT(('Catalogo Maestro'!$B$6:$B$260=B8)*('Catalogo Maestro'!$G$6:$G$260&lt;&gt;"Opcional")*'Catalogo Maestro'!$I$6:$I$260*'Catalogo Maestro'!$J$6:$J$260)</x:f>
        <x:v>16</x:v>
      </x:c>
      <x:c r="F8" s="16" t="n">
        <x:f>E8*Parametros!$B$9</x:f>
        <x:v>11.2</x:v>
      </x:c>
      <x:c r="G8" s="12" t="s">
        <x:v>103</x:v>
      </x:c>
    </x:row>
    <x:row r="9">
      <x:c r="A9" s="11" t="s">
        <x:v>33</x:v>
      </x:c>
      <x:c r="B9" s="7" t="s">
        <x:v>108</x:v>
      </x:c>
      <x:c r="C9" s="7" t="s">
        <x:v>109</x:v>
      </x:c>
      <x:c r="D9" s="19" t="n">
        <x:f>COUNTIF('Catalogo Maestro'!$B$6:$B$260,B9)</x:f>
        <x:v>14</x:v>
      </x:c>
      <x:c r="E9" s="16" t="n">
        <x:f>SUMPRODUCT(('Catalogo Maestro'!$B$6:$B$260=B9)*('Catalogo Maestro'!$G$6:$G$260&lt;&gt;"Opcional")*'Catalogo Maestro'!$I$6:$I$260*'Catalogo Maestro'!$J$6:$J$260)</x:f>
        <x:v>15.5</x:v>
      </x:c>
      <x:c r="F9" s="16" t="n">
        <x:f>E9*Parametros!$B$9</x:f>
        <x:v>10.85</x:v>
      </x:c>
      <x:c r="G9" s="12" t="s">
        <x:v>103</x:v>
      </x:c>
    </x:row>
    <x:row r="10">
      <x:c r="A10" s="11" t="s">
        <x:v>33</x:v>
      </x:c>
      <x:c r="B10" s="7" t="s">
        <x:v>110</x:v>
      </x:c>
      <x:c r="C10" s="7" t="s">
        <x:v>111</x:v>
      </x:c>
      <x:c r="D10" s="19" t="n">
        <x:f>COUNTIF('Catalogo Maestro'!$B$6:$B$260,B10)</x:f>
        <x:v>15</x:v>
      </x:c>
      <x:c r="E10" s="16" t="n">
        <x:f>SUMPRODUCT(('Catalogo Maestro'!$B$6:$B$260=B10)*('Catalogo Maestro'!$G$6:$G$260&lt;&gt;"Opcional")*'Catalogo Maestro'!$I$6:$I$260*'Catalogo Maestro'!$J$6:$J$260)</x:f>
        <x:v>34</x:v>
      </x:c>
      <x:c r="F10" s="16" t="n">
        <x:f>E10*Parametros!$B$9</x:f>
        <x:v>23.799999999999997</x:v>
      </x:c>
      <x:c r="G10" s="12" t="s">
        <x:v>103</x:v>
      </x:c>
    </x:row>
    <x:row r="11">
      <x:c r="A11" s="11" t="s">
        <x:v>33</x:v>
      </x:c>
      <x:c r="B11" s="7" t="s">
        <x:v>112</x:v>
      </x:c>
      <x:c r="C11" s="7" t="s">
        <x:v>113</x:v>
      </x:c>
      <x:c r="D11" s="19" t="n">
        <x:f>COUNTIF('Catalogo Maestro'!$B$6:$B$260,B11)</x:f>
        <x:v>14</x:v>
      </x:c>
      <x:c r="E11" s="16" t="n">
        <x:f>SUMPRODUCT(('Catalogo Maestro'!$B$6:$B$260=B11)*('Catalogo Maestro'!$G$6:$G$260&lt;&gt;"Opcional")*'Catalogo Maestro'!$I$6:$I$260*'Catalogo Maestro'!$J$6:$J$260)</x:f>
        <x:v>42.25</x:v>
      </x:c>
      <x:c r="F11" s="16" t="n">
        <x:f>E11*Parametros!$B$9</x:f>
        <x:v>29.575</x:v>
      </x:c>
      <x:c r="G11" s="12" t="s">
        <x:v>103</x:v>
      </x:c>
    </x:row>
    <x:row r="12">
      <x:c r="A12" s="11" t="s">
        <x:v>33</x:v>
      </x:c>
      <x:c r="B12" s="7" t="s">
        <x:v>114</x:v>
      </x:c>
      <x:c r="C12" s="7" t="s">
        <x:v>115</x:v>
      </x:c>
      <x:c r="D12" s="19" t="n">
        <x:f>COUNTIF('Catalogo Maestro'!$B$6:$B$260,B12)</x:f>
        <x:v>12</x:v>
      </x:c>
      <x:c r="E12" s="16" t="n">
        <x:f>SUMPRODUCT(('Catalogo Maestro'!$B$6:$B$260=B12)*('Catalogo Maestro'!$G$6:$G$260&lt;&gt;"Opcional")*'Catalogo Maestro'!$I$6:$I$260*'Catalogo Maestro'!$J$6:$J$260)</x:f>
        <x:v>22</x:v>
      </x:c>
      <x:c r="F12" s="16" t="n">
        <x:f>E12*Parametros!$B$9</x:f>
        <x:v>15.399999999999999</x:v>
      </x:c>
      <x:c r="G12" s="12" t="s">
        <x:v>103</x:v>
      </x:c>
    </x:row>
    <x:row r="13">
      <x:c r="A13" s="11" t="s">
        <x:v>37</x:v>
      </x:c>
      <x:c r="B13" s="7" t="s">
        <x:v>116</x:v>
      </x:c>
      <x:c r="C13" s="7" t="s">
        <x:v>117</x:v>
      </x:c>
      <x:c r="D13" s="19" t="n">
        <x:f>COUNTIF('Catalogo Maestro'!$B$6:$B$260,B13)</x:f>
        <x:v>10</x:v>
      </x:c>
      <x:c r="E13" s="16" t="n">
        <x:f>SUMPRODUCT(('Catalogo Maestro'!$B$6:$B$260=B13)*('Catalogo Maestro'!$G$6:$G$260&lt;&gt;"Opcional")*'Catalogo Maestro'!$I$6:$I$260*'Catalogo Maestro'!$J$6:$J$260)</x:f>
        <x:v>19</x:v>
      </x:c>
      <x:c r="F13" s="16" t="n">
        <x:f>E13*Parametros!$B$9</x:f>
        <x:v>13.299999999999999</x:v>
      </x:c>
      <x:c r="G13" s="12" t="s">
        <x:v>103</x:v>
      </x:c>
    </x:row>
    <x:row r="14">
      <x:c r="A14" s="11" t="s">
        <x:v>37</x:v>
      </x:c>
      <x:c r="B14" s="7" t="s">
        <x:v>118</x:v>
      </x:c>
      <x:c r="C14" s="7" t="s">
        <x:v>119</x:v>
      </x:c>
      <x:c r="D14" s="19" t="n">
        <x:f>COUNTIF('Catalogo Maestro'!$B$6:$B$260,B14)</x:f>
        <x:v>10</x:v>
      </x:c>
      <x:c r="E14" s="16" t="n">
        <x:f>SUMPRODUCT(('Catalogo Maestro'!$B$6:$B$260=B14)*('Catalogo Maestro'!$G$6:$G$260&lt;&gt;"Opcional")*'Catalogo Maestro'!$I$6:$I$260*'Catalogo Maestro'!$J$6:$J$260)</x:f>
        <x:v>27</x:v>
      </x:c>
      <x:c r="F14" s="16" t="n">
        <x:f>E14*Parametros!$B$9</x:f>
        <x:v>18.9</x:v>
      </x:c>
      <x:c r="G14" s="12" t="s">
        <x:v>103</x:v>
      </x:c>
    </x:row>
    <x:row r="15">
      <x:c r="A15" s="11" t="s">
        <x:v>37</x:v>
      </x:c>
      <x:c r="B15" s="7" t="s">
        <x:v>120</x:v>
      </x:c>
      <x:c r="C15" s="7" t="s">
        <x:v>121</x:v>
      </x:c>
      <x:c r="D15" s="19" t="n">
        <x:f>COUNTIF('Catalogo Maestro'!$B$6:$B$260,B15)</x:f>
        <x:v>10</x:v>
      </x:c>
      <x:c r="E15" s="16" t="n">
        <x:f>SUMPRODUCT(('Catalogo Maestro'!$B$6:$B$260=B15)*('Catalogo Maestro'!$G$6:$G$260&lt;&gt;"Opcional")*'Catalogo Maestro'!$I$6:$I$260*'Catalogo Maestro'!$J$6:$J$260)</x:f>
        <x:v>25.25</x:v>
      </x:c>
      <x:c r="F15" s="16" t="n">
        <x:f>E15*Parametros!$B$9</x:f>
        <x:v>17.674999999999997</x:v>
      </x:c>
      <x:c r="G15" s="12" t="s">
        <x:v>103</x:v>
      </x:c>
    </x:row>
    <x:row r="16">
      <x:c r="A16" s="11" t="s">
        <x:v>41</x:v>
      </x:c>
      <x:c r="B16" s="7" t="s">
        <x:v>122</x:v>
      </x:c>
      <x:c r="C16" s="7" t="s">
        <x:v>123</x:v>
      </x:c>
      <x:c r="D16" s="19" t="n">
        <x:f>COUNTIF('Catalogo Maestro'!$B$6:$B$260,B16)</x:f>
        <x:v>10</x:v>
      </x:c>
      <x:c r="E16" s="16" t="n">
        <x:f>SUMPRODUCT(('Catalogo Maestro'!$B$6:$B$260=B16)*('Catalogo Maestro'!$G$6:$G$260&lt;&gt;"Opcional")*'Catalogo Maestro'!$I$6:$I$260*'Catalogo Maestro'!$J$6:$J$260)</x:f>
        <x:v>23.75</x:v>
      </x:c>
      <x:c r="F16" s="16" t="n">
        <x:f>E16*Parametros!$B$9</x:f>
        <x:v>16.625</x:v>
      </x:c>
      <x:c r="G16" s="12" t="s">
        <x:v>103</x:v>
      </x:c>
    </x:row>
    <x:row r="17">
      <x:c r="A17" s="11" t="s">
        <x:v>41</x:v>
      </x:c>
      <x:c r="B17" s="7" t="s">
        <x:v>124</x:v>
      </x:c>
      <x:c r="C17" s="7" t="s">
        <x:v>125</x:v>
      </x:c>
      <x:c r="D17" s="19" t="n">
        <x:f>COUNTIF('Catalogo Maestro'!$B$6:$B$260,B17)</x:f>
        <x:v>10</x:v>
      </x:c>
      <x:c r="E17" s="16" t="n">
        <x:f>SUMPRODUCT(('Catalogo Maestro'!$B$6:$B$260=B17)*('Catalogo Maestro'!$G$6:$G$260&lt;&gt;"Opcional")*'Catalogo Maestro'!$I$6:$I$260*'Catalogo Maestro'!$J$6:$J$260)</x:f>
        <x:v>36</x:v>
      </x:c>
      <x:c r="F17" s="16" t="n">
        <x:f>E17*Parametros!$B$9</x:f>
        <x:v>25.2</x:v>
      </x:c>
      <x:c r="G17" s="12" t="s">
        <x:v>103</x:v>
      </x:c>
    </x:row>
    <x:row r="18">
      <x:c r="A18" s="11" t="s">
        <x:v>41</x:v>
      </x:c>
      <x:c r="B18" s="7" t="s">
        <x:v>126</x:v>
      </x:c>
      <x:c r="C18" s="7" t="s">
        <x:v>127</x:v>
      </x:c>
      <x:c r="D18" s="19" t="n">
        <x:f>COUNTIF('Catalogo Maestro'!$B$6:$B$260,B18)</x:f>
        <x:v>9</x:v>
      </x:c>
      <x:c r="E18" s="16" t="n">
        <x:f>SUMPRODUCT(('Catalogo Maestro'!$B$6:$B$260=B18)*('Catalogo Maestro'!$G$6:$G$260&lt;&gt;"Opcional")*'Catalogo Maestro'!$I$6:$I$260*'Catalogo Maestro'!$J$6:$J$260)</x:f>
        <x:v>23.5</x:v>
      </x:c>
      <x:c r="F18" s="16" t="n">
        <x:f>E18*Parametros!$B$9</x:f>
        <x:v>16.45</x:v>
      </x:c>
      <x:c r="G18" s="12" t="s">
        <x:v>103</x:v>
      </x:c>
    </x:row>
    <x:row r="19">
      <x:c r="A19" s="11" t="s">
        <x:v>46</x:v>
      </x:c>
      <x:c r="B19" s="7" t="s">
        <x:v>128</x:v>
      </x:c>
      <x:c r="C19" s="7" t="s">
        <x:v>129</x:v>
      </x:c>
      <x:c r="D19" s="19" t="n">
        <x:f>COUNTIF('Catalogo Maestro'!$B$6:$B$260,B19)</x:f>
        <x:v>13</x:v>
      </x:c>
      <x:c r="E19" s="16" t="n">
        <x:f>SUMPRODUCT(('Catalogo Maestro'!$B$6:$B$260=B19)*('Catalogo Maestro'!$G$6:$G$260&lt;&gt;"Opcional")*'Catalogo Maestro'!$I$6:$I$260*'Catalogo Maestro'!$J$6:$J$260)</x:f>
        <x:v>23.5</x:v>
      </x:c>
      <x:c r="F19" s="16" t="n">
        <x:f>E19*Parametros!$B$9</x:f>
        <x:v>16.45</x:v>
      </x:c>
      <x:c r="G19" s="12" t="s">
        <x:v>103</x:v>
      </x:c>
    </x:row>
    <x:row r="20">
      <x:c r="A20" s="11" t="s">
        <x:v>46</x:v>
      </x:c>
      <x:c r="B20" s="7" t="s">
        <x:v>130</x:v>
      </x:c>
      <x:c r="C20" s="7" t="s">
        <x:v>131</x:v>
      </x:c>
      <x:c r="D20" s="19" t="n">
        <x:f>COUNTIF('Catalogo Maestro'!$B$6:$B$260,B20)</x:f>
        <x:v>11</x:v>
      </x:c>
      <x:c r="E20" s="16" t="n">
        <x:f>SUMPRODUCT(('Catalogo Maestro'!$B$6:$B$260=B20)*('Catalogo Maestro'!$G$6:$G$260&lt;&gt;"Opcional")*'Catalogo Maestro'!$I$6:$I$260*'Catalogo Maestro'!$J$6:$J$260)</x:f>
        <x:v>25.5</x:v>
      </x:c>
      <x:c r="F20" s="16" t="n">
        <x:f>E20*Parametros!$B$9</x:f>
        <x:v>17.849999999999998</x:v>
      </x:c>
      <x:c r="G20" s="12" t="s">
        <x:v>103</x:v>
      </x:c>
    </x:row>
    <x:row r="21">
      <x:c r="A21" s="11" t="s">
        <x:v>46</x:v>
      </x:c>
      <x:c r="B21" s="7" t="s">
        <x:v>132</x:v>
      </x:c>
      <x:c r="C21" s="7" t="s">
        <x:v>133</x:v>
      </x:c>
      <x:c r="D21" s="19" t="n">
        <x:f>COUNTIF('Catalogo Maestro'!$B$6:$B$260,B21)</x:f>
        <x:v>11</x:v>
      </x:c>
      <x:c r="E21" s="16" t="n">
        <x:f>SUMPRODUCT(('Catalogo Maestro'!$B$6:$B$260=B21)*('Catalogo Maestro'!$G$6:$G$260&lt;&gt;"Opcional")*'Catalogo Maestro'!$I$6:$I$260*'Catalogo Maestro'!$J$6:$J$260)</x:f>
        <x:v>29</x:v>
      </x:c>
      <x:c r="F21" s="16" t="n">
        <x:f>E21*Parametros!$B$9</x:f>
        <x:v>20.299999999999997</x:v>
      </x:c>
      <x:c r="G21" s="12" t="s">
        <x:v>103</x:v>
      </x:c>
    </x:row>
    <x:row r="22">
      <x:c r="A22" s="11" t="s">
        <x:v>46</x:v>
      </x:c>
      <x:c r="B22" s="7" t="s">
        <x:v>134</x:v>
      </x:c>
      <x:c r="C22" s="7" t="s">
        <x:v>135</x:v>
      </x:c>
      <x:c r="D22" s="19" t="n">
        <x:f>COUNTIF('Catalogo Maestro'!$B$6:$B$260,B22)</x:f>
        <x:v>11</x:v>
      </x:c>
      <x:c r="E22" s="16" t="n">
        <x:f>SUMPRODUCT(('Catalogo Maestro'!$B$6:$B$260=B22)*('Catalogo Maestro'!$G$6:$G$260&lt;&gt;"Opcional")*'Catalogo Maestro'!$I$6:$I$260*'Catalogo Maestro'!$J$6:$J$260)</x:f>
        <x:v>28.5</x:v>
      </x:c>
      <x:c r="F22" s="16" t="n">
        <x:f>E22*Parametros!$B$9</x:f>
        <x:v>19.95</x:v>
      </x:c>
      <x:c r="G22" s="12" t="s">
        <x:v>103</x:v>
      </x:c>
    </x:row>
    <x:row r="23">
      <x:c r="A23" s="11" t="s">
        <x:v>48</x:v>
      </x:c>
      <x:c r="B23" s="7" t="s">
        <x:v>136</x:v>
      </x:c>
      <x:c r="C23" s="7" t="s">
        <x:v>137</x:v>
      </x:c>
      <x:c r="D23" s="19" t="n">
        <x:f>COUNTIF('Catalogo Maestro'!$B$6:$B$260,B23)</x:f>
        <x:v>12</x:v>
      </x:c>
      <x:c r="E23" s="16" t="n">
        <x:f>SUMPRODUCT(('Catalogo Maestro'!$B$6:$B$260=B23)*('Catalogo Maestro'!$G$6:$G$260&lt;&gt;"Opcional")*'Catalogo Maestro'!$I$6:$I$260*'Catalogo Maestro'!$J$6:$J$260)</x:f>
        <x:v>29.75</x:v>
      </x:c>
      <x:c r="F23" s="16" t="n">
        <x:f>E23*Parametros!$B$9</x:f>
        <x:v>20.825</x:v>
      </x:c>
      <x:c r="G23" s="12" t="s">
        <x:v>103</x:v>
      </x:c>
    </x:row>
    <x:row r="24">
      <x:c r="A24" s="11" t="s">
        <x:v>48</x:v>
      </x:c>
      <x:c r="B24" s="7" t="s">
        <x:v>138</x:v>
      </x:c>
      <x:c r="C24" s="7" t="s">
        <x:v>139</x:v>
      </x:c>
      <x:c r="D24" s="19" t="n">
        <x:f>COUNTIF('Catalogo Maestro'!$B$6:$B$260,B24)</x:f>
        <x:v>12</x:v>
      </x:c>
      <x:c r="E24" s="16" t="n">
        <x:f>SUMPRODUCT(('Catalogo Maestro'!$B$6:$B$260=B24)*('Catalogo Maestro'!$G$6:$G$260&lt;&gt;"Opcional")*'Catalogo Maestro'!$I$6:$I$260*'Catalogo Maestro'!$J$6:$J$260)</x:f>
        <x:v>29</x:v>
      </x:c>
      <x:c r="F24" s="16" t="n">
        <x:f>E24*Parametros!$B$9</x:f>
        <x:v>20.299999999999997</x:v>
      </x:c>
      <x:c r="G24" s="12" t="s">
        <x:v>103</x:v>
      </x:c>
    </x:row>
    <x:row r="25">
      <x:c r="A25" s="11" t="s">
        <x:v>48</x:v>
      </x:c>
      <x:c r="B25" s="7" t="s">
        <x:v>140</x:v>
      </x:c>
      <x:c r="C25" s="7" t="s">
        <x:v>141</x:v>
      </x:c>
      <x:c r="D25" s="19" t="n">
        <x:f>COUNTIF('Catalogo Maestro'!$B$6:$B$260,B25)</x:f>
        <x:v>9</x:v>
      </x:c>
      <x:c r="E25" s="16" t="n">
        <x:f>SUMPRODUCT(('Catalogo Maestro'!$B$6:$B$260=B25)*('Catalogo Maestro'!$G$6:$G$260&lt;&gt;"Opcional")*'Catalogo Maestro'!$I$6:$I$260*'Catalogo Maestro'!$J$6:$J$260)</x:f>
        <x:v>22.5</x:v>
      </x:c>
      <x:c r="F25" s="16" t="n">
        <x:f>E25*Parametros!$B$9</x:f>
        <x:v>15.749999999999998</x:v>
      </x:c>
      <x:c r="G25" s="12" t="s">
        <x:v>103</x:v>
      </x:c>
    </x:row>
    <x:row r="26">
      <x:c r="A26" s="13" t="s">
        <x:v>48</x:v>
      </x:c>
      <x:c r="B26" s="14" t="s">
        <x:v>142</x:v>
      </x:c>
      <x:c r="C26" s="14" t="s">
        <x:v>143</x:v>
      </x:c>
      <x:c r="D26" s="20" t="n">
        <x:f>COUNTIF('Catalogo Maestro'!$B$6:$B$260,B26)</x:f>
        <x:v>11</x:v>
      </x:c>
      <x:c r="E26" s="22" t="n">
        <x:f>SUMPRODUCT(('Catalogo Maestro'!$B$6:$B$260=B26)*('Catalogo Maestro'!$G$6:$G$260&lt;&gt;"Opcional")*'Catalogo Maestro'!$I$6:$I$260*'Catalogo Maestro'!$J$6:$J$260)</x:f>
        <x:v>28.75</x:v>
      </x:c>
      <x:c r="F26" s="22" t="n">
        <x:f>E26*Parametros!$B$9</x:f>
        <x:v>20.125</x:v>
      </x:c>
      <x:c r="G26" s="15" t="s">
        <x:v>103</x:v>
      </x:c>
    </x:row>
    <x:row r="28">
      <x:c r="A28" s="43" t="s">
        <x:v>144</x:v>
      </x:c>
      <x:c r="B28" s="43"/>
      <x:c r="C28" s="43"/>
      <x:c r="D28" s="43"/>
      <x:c r="E28" s="43"/>
      <x:c r="F28" s="43"/>
      <x:c r="G28" s="43"/>
    </x:row>
  </x:sheetData>
  <x:mergeCells>
    <x:mergeCell ref="A1:G1"/>
    <x:mergeCell ref="A3:G3"/>
    <x:mergeCell ref="A28:G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2" width="14" customWidth="1"/>
    <x:col min="3" max="3" width="42" customWidth="1"/>
    <x:col min="4" max="4" width="18" customWidth="1"/>
    <x:col min="5" max="5" width="14" customWidth="1"/>
    <x:col min="6" max="6" width="46" customWidth="1"/>
    <x:col min="7" max="7" width="18" customWidth="1"/>
    <x:col min="8" max="8" width="14" customWidth="1"/>
    <x:col min="9" max="9" width="12" style="45" customWidth="1"/>
    <x:col min="10" max="10" width="16" style="45" customWidth="1"/>
    <x:col min="11" max="11" width="17" style="45" customWidth="1"/>
    <x:col min="12" max="12" width="58" customWidth="1"/>
    <x:col min="13" max="13" width="48" customWidth="1"/>
    <x:col min="14" max="14" width="28" customWidth="1"/>
    <x:col min="15" max="15" width="14" customWidth="1"/>
  </x:cols>
  <x:sheetData>
    <x:row r="1" ht="33.95000076293945" customHeight="1">
      <x:c r="A1" s="36" t="s">
        <x:v>145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3" ht="33.95000076293945" customHeight="1">
      <x:c r="A3" s="37" t="s">
        <x:v>146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</x:row>
    <x:row r="5" ht="27.950000762939453" customHeight="1">
      <x:c r="A5" s="6" t="s">
        <x:v>147</x:v>
      </x:c>
      <x:c r="B5" s="6" t="s">
        <x:v>148</x:v>
      </x:c>
      <x:c r="C5" s="6" t="s">
        <x:v>96</x:v>
      </x:c>
      <x:c r="D5" s="6" t="s">
        <x:v>149</x:v>
      </x:c>
      <x:c r="E5" s="6" t="s">
        <x:v>150</x:v>
      </x:c>
      <x:c r="F5" s="6" t="s">
        <x:v>151</x:v>
      </x:c>
      <x:c r="G5" s="6" t="s">
        <x:v>152</x:v>
      </x:c>
      <x:c r="H5" s="6" t="s">
        <x:v>54</x:v>
      </x:c>
      <x:c r="I5" s="6" t="s">
        <x:v>153</x:v>
      </x:c>
      <x:c r="J5" s="6" t="s">
        <x:v>154</x:v>
      </x:c>
      <x:c r="K5" s="6" t="s">
        <x:v>155</x:v>
      </x:c>
      <x:c r="L5" s="6" t="s">
        <x:v>156</x:v>
      </x:c>
      <x:c r="M5" s="6" t="s">
        <x:v>157</x:v>
      </x:c>
      <x:c r="N5" s="6" t="s">
        <x:v>158</x:v>
      </x:c>
      <x:c r="O5" s="6" t="s">
        <x:v>100</x:v>
      </x:c>
    </x:row>
    <x:row r="6" ht="36">
      <x:c r="A6" s="8" t="s">
        <x:v>29</x:v>
      </x:c>
      <x:c r="B6" s="9" t="s">
        <x:v>101</x:v>
      </x:c>
      <x:c r="C6" s="9" t="s">
        <x:v>102</x:v>
      </x:c>
      <x:c r="D6" s="9" t="s">
        <x:v>159</x:v>
      </x:c>
      <x:c r="E6" s="9" t="s">
        <x:v>160</x:v>
      </x:c>
      <x:c r="F6" s="9" t="s">
        <x:v>161</x:v>
      </x:c>
      <x:c r="G6" s="9" t="s">
        <x:v>162</x:v>
      </x:c>
      <x:c r="H6" s="9" t="s">
        <x:v>163</x:v>
      </x:c>
      <x:c r="I6" s="46">
        <x:v>1</x:v>
      </x:c>
      <x:c r="J6" s="46">
        <x:v>1.5</x:v>
      </x:c>
      <x:c r="K6" s="46" t="n">
        <x:f>J6*Parametros!$B$9</x:f>
        <x:v>1.0499999999999998</x:v>
      </x:c>
      <x:c r="L6" s="9" t="s">
        <x:v>164</x:v>
      </x:c>
      <x:c r="M6" s="9" t="s">
        <x:v>165</x:v>
      </x:c>
      <x:c r="N6" s="9"/>
      <x:c r="O6" s="10" t="s">
        <x:v>103</x:v>
      </x:c>
    </x:row>
    <x:row r="7" ht="36">
      <x:c r="A7" s="11" t="s">
        <x:v>29</x:v>
      </x:c>
      <x:c r="B7" s="7" t="s">
        <x:v>101</x:v>
      </x:c>
      <x:c r="C7" s="7" t="s">
        <x:v>102</x:v>
      </x:c>
      <x:c r="D7" s="7" t="s">
        <x:v>166</x:v>
      </x:c>
      <x:c r="E7" s="7" t="s">
        <x:v>167</x:v>
      </x:c>
      <x:c r="F7" s="7" t="s">
        <x:v>168</x:v>
      </x:c>
      <x:c r="G7" s="7" t="s">
        <x:v>162</x:v>
      </x:c>
      <x:c r="H7" s="7" t="s">
        <x:v>163</x:v>
      </x:c>
      <x:c r="I7" s="47">
        <x:v>1</x:v>
      </x:c>
      <x:c r="J7" s="47">
        <x:v>2</x:v>
      </x:c>
      <x:c r="K7" s="47" t="n">
        <x:f>J7*Parametros!$B$9</x:f>
        <x:v>1.4</x:v>
      </x:c>
      <x:c r="L7" s="7" t="s">
        <x:v>169</x:v>
      </x:c>
      <x:c r="M7" s="7" t="s">
        <x:v>170</x:v>
      </x:c>
      <x:c r="N7" s="7" t="s">
        <x:v>160</x:v>
      </x:c>
      <x:c r="O7" s="12" t="s">
        <x:v>103</x:v>
      </x:c>
    </x:row>
    <x:row r="8" ht="24">
      <x:c r="A8" s="11" t="s">
        <x:v>29</x:v>
      </x:c>
      <x:c r="B8" s="7" t="s">
        <x:v>101</x:v>
      </x:c>
      <x:c r="C8" s="7" t="s">
        <x:v>102</x:v>
      </x:c>
      <x:c r="D8" s="7" t="s">
        <x:v>171</x:v>
      </x:c>
      <x:c r="E8" s="7" t="s">
        <x:v>172</x:v>
      </x:c>
      <x:c r="F8" s="7" t="s">
        <x:v>173</x:v>
      </x:c>
      <x:c r="G8" s="7" t="s">
        <x:v>162</x:v>
      </x:c>
      <x:c r="H8" s="7" t="s">
        <x:v>174</x:v>
      </x:c>
      <x:c r="I8" s="47">
        <x:v>1</x:v>
      </x:c>
      <x:c r="J8" s="47">
        <x:v>1.2</x:v>
      </x:c>
      <x:c r="K8" s="47" t="n">
        <x:f>J8*Parametros!$B$9</x:f>
        <x:v>0.84</x:v>
      </x:c>
      <x:c r="L8" s="7" t="s">
        <x:v>175</x:v>
      </x:c>
      <x:c r="M8" s="7" t="s">
        <x:v>176</x:v>
      </x:c>
      <x:c r="N8" s="7" t="s">
        <x:v>177</x:v>
      </x:c>
      <x:c r="O8" s="12" t="s">
        <x:v>103</x:v>
      </x:c>
    </x:row>
    <x:row r="9" ht="24">
      <x:c r="A9" s="11" t="s">
        <x:v>29</x:v>
      </x:c>
      <x:c r="B9" s="7" t="s">
        <x:v>101</x:v>
      </x:c>
      <x:c r="C9" s="7" t="s">
        <x:v>102</x:v>
      </x:c>
      <x:c r="D9" s="7" t="s">
        <x:v>171</x:v>
      </x:c>
      <x:c r="E9" s="7" t="s">
        <x:v>178</x:v>
      </x:c>
      <x:c r="F9" s="7" t="s">
        <x:v>179</x:v>
      </x:c>
      <x:c r="G9" s="7" t="s">
        <x:v>162</x:v>
      </x:c>
      <x:c r="H9" s="7" t="s">
        <x:v>174</x:v>
      </x:c>
      <x:c r="I9" s="47">
        <x:v>1</x:v>
      </x:c>
      <x:c r="J9" s="47">
        <x:v>1.8</x:v>
      </x:c>
      <x:c r="K9" s="47" t="n">
        <x:f>J9*Parametros!$B$9</x:f>
        <x:v>1.26</x:v>
      </x:c>
      <x:c r="L9" s="7" t="s">
        <x:v>180</x:v>
      </x:c>
      <x:c r="M9" s="7" t="s">
        <x:v>181</x:v>
      </x:c>
      <x:c r="N9" s="7" t="s">
        <x:v>177</x:v>
      </x:c>
      <x:c r="O9" s="12" t="s">
        <x:v>103</x:v>
      </x:c>
    </x:row>
    <x:row r="10" ht="24">
      <x:c r="A10" s="11" t="s">
        <x:v>29</x:v>
      </x:c>
      <x:c r="B10" s="7" t="s">
        <x:v>101</x:v>
      </x:c>
      <x:c r="C10" s="7" t="s">
        <x:v>102</x:v>
      </x:c>
      <x:c r="D10" s="7" t="s">
        <x:v>171</x:v>
      </x:c>
      <x:c r="E10" s="7" t="s">
        <x:v>182</x:v>
      </x:c>
      <x:c r="F10" s="7" t="s">
        <x:v>183</x:v>
      </x:c>
      <x:c r="G10" s="7" t="s">
        <x:v>184</x:v>
      </x:c>
      <x:c r="H10" s="7" t="s">
        <x:v>185</x:v>
      </x:c>
      <x:c r="I10" s="47">
        <x:v>1</x:v>
      </x:c>
      <x:c r="J10" s="47">
        <x:v>1</x:v>
      </x:c>
      <x:c r="K10" s="47" t="n">
        <x:f>J10*Parametros!$B$9</x:f>
        <x:v>0.7</x:v>
      </x:c>
      <x:c r="L10" s="7" t="s">
        <x:v>186</x:v>
      </x:c>
      <x:c r="M10" s="7" t="s">
        <x:v>187</x:v>
      </x:c>
      <x:c r="N10" s="7" t="s">
        <x:v>167</x:v>
      </x:c>
      <x:c r="O10" s="12" t="s">
        <x:v>103</x:v>
      </x:c>
    </x:row>
    <x:row r="11" ht="24">
      <x:c r="A11" s="11" t="s">
        <x:v>29</x:v>
      </x:c>
      <x:c r="B11" s="7" t="s">
        <x:v>101</x:v>
      </x:c>
      <x:c r="C11" s="7" t="s">
        <x:v>102</x:v>
      </x:c>
      <x:c r="D11" s="7" t="s">
        <x:v>171</x:v>
      </x:c>
      <x:c r="E11" s="7" t="s">
        <x:v>188</x:v>
      </x:c>
      <x:c r="F11" s="7" t="s">
        <x:v>189</x:v>
      </x:c>
      <x:c r="G11" s="7" t="s">
        <x:v>184</x:v>
      </x:c>
      <x:c r="H11" s="7" t="s">
        <x:v>185</x:v>
      </x:c>
      <x:c r="I11" s="47">
        <x:v>1</x:v>
      </x:c>
      <x:c r="J11" s="47">
        <x:v>1</x:v>
      </x:c>
      <x:c r="K11" s="47" t="n">
        <x:f>J11*Parametros!$B$9</x:f>
        <x:v>0.7</x:v>
      </x:c>
      <x:c r="L11" s="7" t="s">
        <x:v>190</x:v>
      </x:c>
      <x:c r="M11" s="7" t="s">
        <x:v>191</x:v>
      </x:c>
      <x:c r="N11" s="7" t="s">
        <x:v>167</x:v>
      </x:c>
      <x:c r="O11" s="12" t="s">
        <x:v>103</x:v>
      </x:c>
    </x:row>
    <x:row r="12" ht="24">
      <x:c r="A12" s="11" t="s">
        <x:v>29</x:v>
      </x:c>
      <x:c r="B12" s="7" t="s">
        <x:v>101</x:v>
      </x:c>
      <x:c r="C12" s="7" t="s">
        <x:v>102</x:v>
      </x:c>
      <x:c r="D12" s="7" t="s">
        <x:v>171</x:v>
      </x:c>
      <x:c r="E12" s="7" t="s">
        <x:v>192</x:v>
      </x:c>
      <x:c r="F12" s="7" t="s">
        <x:v>193</x:v>
      </x:c>
      <x:c r="G12" s="7" t="s">
        <x:v>194</x:v>
      </x:c>
      <x:c r="H12" s="7" t="s">
        <x:v>185</x:v>
      </x:c>
      <x:c r="I12" s="47">
        <x:v>1</x:v>
      </x:c>
      <x:c r="J12" s="47">
        <x:v>1.5</x:v>
      </x:c>
      <x:c r="K12" s="47" t="n">
        <x:f>J12*Parametros!$B$9</x:f>
        <x:v>1.0499999999999998</x:v>
      </x:c>
      <x:c r="L12" s="7" t="s">
        <x:v>195</x:v>
      </x:c>
      <x:c r="M12" s="7" t="s">
        <x:v>196</x:v>
      </x:c>
      <x:c r="N12" s="7" t="s">
        <x:v>167</x:v>
      </x:c>
      <x:c r="O12" s="12" t="s">
        <x:v>103</x:v>
      </x:c>
    </x:row>
    <x:row r="13" ht="24">
      <x:c r="A13" s="11" t="s">
        <x:v>29</x:v>
      </x:c>
      <x:c r="B13" s="7" t="s">
        <x:v>101</x:v>
      </x:c>
      <x:c r="C13" s="7" t="s">
        <x:v>102</x:v>
      </x:c>
      <x:c r="D13" s="7" t="s">
        <x:v>171</x:v>
      </x:c>
      <x:c r="E13" s="7" t="s">
        <x:v>197</x:v>
      </x:c>
      <x:c r="F13" s="7" t="s">
        <x:v>198</x:v>
      </x:c>
      <x:c r="G13" s="7" t="s">
        <x:v>194</x:v>
      </x:c>
      <x:c r="H13" s="7" t="s">
        <x:v>185</x:v>
      </x:c>
      <x:c r="I13" s="47">
        <x:v>1</x:v>
      </x:c>
      <x:c r="J13" s="47">
        <x:v>1.5</x:v>
      </x:c>
      <x:c r="K13" s="47" t="n">
        <x:f>J13*Parametros!$B$9</x:f>
        <x:v>1.0499999999999998</x:v>
      </x:c>
      <x:c r="L13" s="7" t="s">
        <x:v>199</x:v>
      </x:c>
      <x:c r="M13" s="7" t="s">
        <x:v>200</x:v>
      </x:c>
      <x:c r="N13" s="7" t="s">
        <x:v>167</x:v>
      </x:c>
      <x:c r="O13" s="12" t="s">
        <x:v>103</x:v>
      </x:c>
    </x:row>
    <x:row r="14" ht="24">
      <x:c r="A14" s="11" t="s">
        <x:v>29</x:v>
      </x:c>
      <x:c r="B14" s="7" t="s">
        <x:v>101</x:v>
      </x:c>
      <x:c r="C14" s="7" t="s">
        <x:v>102</x:v>
      </x:c>
      <x:c r="D14" s="7" t="s">
        <x:v>171</x:v>
      </x:c>
      <x:c r="E14" s="7" t="s">
        <x:v>201</x:v>
      </x:c>
      <x:c r="F14" s="7" t="s">
        <x:v>202</x:v>
      </x:c>
      <x:c r="G14" s="7" t="s">
        <x:v>194</x:v>
      </x:c>
      <x:c r="H14" s="7" t="s">
        <x:v>185</x:v>
      </x:c>
      <x:c r="I14" s="47">
        <x:v>1</x:v>
      </x:c>
      <x:c r="J14" s="47">
        <x:v>1</x:v>
      </x:c>
      <x:c r="K14" s="47" t="n">
        <x:f>J14*Parametros!$B$9</x:f>
        <x:v>0.7</x:v>
      </x:c>
      <x:c r="L14" s="7" t="s">
        <x:v>203</x:v>
      </x:c>
      <x:c r="M14" s="7" t="s">
        <x:v>204</x:v>
      </x:c>
      <x:c r="N14" s="7" t="s">
        <x:v>167</x:v>
      </x:c>
      <x:c r="O14" s="12" t="s">
        <x:v>103</x:v>
      </x:c>
    </x:row>
    <x:row r="15" ht="24">
      <x:c r="A15" s="11" t="s">
        <x:v>29</x:v>
      </x:c>
      <x:c r="B15" s="7" t="s">
        <x:v>101</x:v>
      </x:c>
      <x:c r="C15" s="7" t="s">
        <x:v>102</x:v>
      </x:c>
      <x:c r="D15" s="7" t="s">
        <x:v>205</x:v>
      </x:c>
      <x:c r="E15" s="7" t="s">
        <x:v>206</x:v>
      </x:c>
      <x:c r="F15" s="7" t="s">
        <x:v>207</x:v>
      </x:c>
      <x:c r="G15" s="7" t="s">
        <x:v>194</x:v>
      </x:c>
      <x:c r="H15" s="7" t="s">
        <x:v>208</x:v>
      </x:c>
      <x:c r="I15" s="47">
        <x:v>1</x:v>
      </x:c>
      <x:c r="J15" s="47">
        <x:v>1</x:v>
      </x:c>
      <x:c r="K15" s="47" t="n">
        <x:f>J15*Parametros!$B$9</x:f>
        <x:v>0.7</x:v>
      </x:c>
      <x:c r="L15" s="7" t="s">
        <x:v>209</x:v>
      </x:c>
      <x:c r="M15" s="7" t="s">
        <x:v>210</x:v>
      </x:c>
      <x:c r="N15" s="7" t="s">
        <x:v>167</x:v>
      </x:c>
      <x:c r="O15" s="12" t="s">
        <x:v>103</x:v>
      </x:c>
    </x:row>
    <x:row r="16" ht="24">
      <x:c r="A16" s="11" t="s">
        <x:v>29</x:v>
      </x:c>
      <x:c r="B16" s="7" t="s">
        <x:v>101</x:v>
      </x:c>
      <x:c r="C16" s="7" t="s">
        <x:v>102</x:v>
      </x:c>
      <x:c r="D16" s="7" t="s">
        <x:v>171</x:v>
      </x:c>
      <x:c r="E16" s="7" t="s">
        <x:v>211</x:v>
      </x:c>
      <x:c r="F16" s="7" t="s">
        <x:v>212</x:v>
      </x:c>
      <x:c r="G16" s="7" t="s">
        <x:v>162</x:v>
      </x:c>
      <x:c r="H16" s="7" t="s">
        <x:v>174</x:v>
      </x:c>
      <x:c r="I16" s="47">
        <x:v>1</x:v>
      </x:c>
      <x:c r="J16" s="47">
        <x:v>1</x:v>
      </x:c>
      <x:c r="K16" s="47" t="n">
        <x:f>J16*Parametros!$B$9</x:f>
        <x:v>0.7</x:v>
      </x:c>
      <x:c r="L16" s="7" t="s">
        <x:v>213</x:v>
      </x:c>
      <x:c r="M16" s="7" t="s">
        <x:v>214</x:v>
      </x:c>
      <x:c r="N16" s="7" t="s">
        <x:v>167</x:v>
      </x:c>
      <x:c r="O16" s="12" t="s">
        <x:v>103</x:v>
      </x:c>
    </x:row>
    <x:row r="17" ht="24">
      <x:c r="A17" s="11" t="s">
        <x:v>29</x:v>
      </x:c>
      <x:c r="B17" s="7" t="s">
        <x:v>101</x:v>
      </x:c>
      <x:c r="C17" s="7" t="s">
        <x:v>102</x:v>
      </x:c>
      <x:c r="D17" s="7" t="s">
        <x:v>171</x:v>
      </x:c>
      <x:c r="E17" s="7" t="s">
        <x:v>215</x:v>
      </x:c>
      <x:c r="F17" s="7" t="s">
        <x:v>216</x:v>
      </x:c>
      <x:c r="G17" s="7" t="s">
        <x:v>194</x:v>
      </x:c>
      <x:c r="H17" s="7" t="s">
        <x:v>217</x:v>
      </x:c>
      <x:c r="I17" s="47">
        <x:v>1</x:v>
      </x:c>
      <x:c r="J17" s="47">
        <x:v>1.5</x:v>
      </x:c>
      <x:c r="K17" s="47" t="n">
        <x:f>J17*Parametros!$B$9</x:f>
        <x:v>1.0499999999999998</x:v>
      </x:c>
      <x:c r="L17" s="7" t="s">
        <x:v>218</x:v>
      </x:c>
      <x:c r="M17" s="7" t="s">
        <x:v>219</x:v>
      </x:c>
      <x:c r="N17" s="7" t="s">
        <x:v>220</x:v>
      </x:c>
      <x:c r="O17" s="12" t="s">
        <x:v>103</x:v>
      </x:c>
    </x:row>
    <x:row r="18">
      <x:c r="A18" s="11" t="s">
        <x:v>29</x:v>
      </x:c>
      <x:c r="B18" s="7" t="s">
        <x:v>101</x:v>
      </x:c>
      <x:c r="C18" s="7" t="s">
        <x:v>102</x:v>
      </x:c>
      <x:c r="D18" s="7" t="s">
        <x:v>221</x:v>
      </x:c>
      <x:c r="E18" s="7" t="s">
        <x:v>222</x:v>
      </x:c>
      <x:c r="F18" s="7" t="s">
        <x:v>223</x:v>
      </x:c>
      <x:c r="G18" s="7" t="s">
        <x:v>194</x:v>
      </x:c>
      <x:c r="H18" s="7" t="s">
        <x:v>224</x:v>
      </x:c>
      <x:c r="I18" s="47">
        <x:v>1</x:v>
      </x:c>
      <x:c r="J18" s="47">
        <x:v>0.5</x:v>
      </x:c>
      <x:c r="K18" s="47" t="n">
        <x:f>J18*Parametros!$B$9</x:f>
        <x:v>0.35</x:v>
      </x:c>
      <x:c r="L18" s="7" t="s">
        <x:v>225</x:v>
      </x:c>
      <x:c r="M18" s="7" t="s">
        <x:v>226</x:v>
      </x:c>
      <x:c r="N18" s="7"/>
      <x:c r="O18" s="12" t="s">
        <x:v>103</x:v>
      </x:c>
    </x:row>
    <x:row r="19">
      <x:c r="A19" s="11" t="s">
        <x:v>29</x:v>
      </x:c>
      <x:c r="B19" s="7" t="s">
        <x:v>101</x:v>
      </x:c>
      <x:c r="C19" s="7" t="s">
        <x:v>102</x:v>
      </x:c>
      <x:c r="D19" s="7" t="s">
        <x:v>221</x:v>
      </x:c>
      <x:c r="E19" s="7" t="s">
        <x:v>227</x:v>
      </x:c>
      <x:c r="F19" s="7" t="s">
        <x:v>228</x:v>
      </x:c>
      <x:c r="G19" s="7" t="s">
        <x:v>194</x:v>
      </x:c>
      <x:c r="H19" s="7" t="s">
        <x:v>224</x:v>
      </x:c>
      <x:c r="I19" s="47">
        <x:v>1</x:v>
      </x:c>
      <x:c r="J19" s="47">
        <x:v>0.5</x:v>
      </x:c>
      <x:c r="K19" s="47" t="n">
        <x:f>J19*Parametros!$B$9</x:f>
        <x:v>0.35</x:v>
      </x:c>
      <x:c r="L19" s="7" t="s">
        <x:v>229</x:v>
      </x:c>
      <x:c r="M19" s="7" t="s">
        <x:v>230</x:v>
      </x:c>
      <x:c r="N19" s="7"/>
      <x:c r="O19" s="12" t="s">
        <x:v>103</x:v>
      </x:c>
    </x:row>
    <x:row r="20" ht="24">
      <x:c r="A20" s="11" t="s">
        <x:v>29</x:v>
      </x:c>
      <x:c r="B20" s="7" t="s">
        <x:v>101</x:v>
      </x:c>
      <x:c r="C20" s="7" t="s">
        <x:v>102</x:v>
      </x:c>
      <x:c r="D20" s="7" t="s">
        <x:v>221</x:v>
      </x:c>
      <x:c r="E20" s="7" t="s">
        <x:v>231</x:v>
      </x:c>
      <x:c r="F20" s="7" t="s">
        <x:v>232</x:v>
      </x:c>
      <x:c r="G20" s="7" t="s">
        <x:v>194</x:v>
      </x:c>
      <x:c r="H20" s="7" t="s">
        <x:v>224</x:v>
      </x:c>
      <x:c r="I20" s="47">
        <x:v>1</x:v>
      </x:c>
      <x:c r="J20" s="47">
        <x:v>0.5</x:v>
      </x:c>
      <x:c r="K20" s="47" t="n">
        <x:f>J20*Parametros!$B$9</x:f>
        <x:v>0.35</x:v>
      </x:c>
      <x:c r="L20" s="7" t="s">
        <x:v>233</x:v>
      </x:c>
      <x:c r="M20" s="7" t="s">
        <x:v>234</x:v>
      </x:c>
      <x:c r="N20" s="7"/>
      <x:c r="O20" s="12" t="s">
        <x:v>103</x:v>
      </x:c>
    </x:row>
    <x:row r="21" ht="24">
      <x:c r="A21" s="11" t="s">
        <x:v>29</x:v>
      </x:c>
      <x:c r="B21" s="7" t="s">
        <x:v>101</x:v>
      </x:c>
      <x:c r="C21" s="7" t="s">
        <x:v>102</x:v>
      </x:c>
      <x:c r="D21" s="7" t="s">
        <x:v>235</x:v>
      </x:c>
      <x:c r="E21" s="7" t="s">
        <x:v>236</x:v>
      </x:c>
      <x:c r="F21" s="7" t="s">
        <x:v>237</x:v>
      </x:c>
      <x:c r="G21" s="7" t="s">
        <x:v>184</x:v>
      </x:c>
      <x:c r="H21" s="7" t="s">
        <x:v>163</x:v>
      </x:c>
      <x:c r="I21" s="47">
        <x:v>1</x:v>
      </x:c>
      <x:c r="J21" s="47">
        <x:v>1.2</x:v>
      </x:c>
      <x:c r="K21" s="47" t="n">
        <x:f>J21*Parametros!$B$9</x:f>
        <x:v>0.84</x:v>
      </x:c>
      <x:c r="L21" s="7" t="s">
        <x:v>238</x:v>
      </x:c>
      <x:c r="M21" s="7" t="s">
        <x:v>239</x:v>
      </x:c>
      <x:c r="N21" s="7" t="s">
        <x:v>160</x:v>
      </x:c>
      <x:c r="O21" s="12" t="s">
        <x:v>103</x:v>
      </x:c>
    </x:row>
    <x:row r="22" ht="36">
      <x:c r="A22" s="11" t="s">
        <x:v>29</x:v>
      </x:c>
      <x:c r="B22" s="7" t="s">
        <x:v>101</x:v>
      </x:c>
      <x:c r="C22" s="7" t="s">
        <x:v>102</x:v>
      </x:c>
      <x:c r="D22" s="7" t="s">
        <x:v>240</x:v>
      </x:c>
      <x:c r="E22" s="7" t="s">
        <x:v>241</x:v>
      </x:c>
      <x:c r="F22" s="7" t="s">
        <x:v>242</x:v>
      </x:c>
      <x:c r="G22" s="7" t="s">
        <x:v>162</x:v>
      </x:c>
      <x:c r="H22" s="7" t="s">
        <x:v>163</x:v>
      </x:c>
      <x:c r="I22" s="47">
        <x:v>1</x:v>
      </x:c>
      <x:c r="J22" s="47">
        <x:v>2</x:v>
      </x:c>
      <x:c r="K22" s="47" t="n">
        <x:f>J22*Parametros!$B$9</x:f>
        <x:v>1.4</x:v>
      </x:c>
      <x:c r="L22" s="7" t="s">
        <x:v>243</x:v>
      </x:c>
      <x:c r="M22" s="7" t="s">
        <x:v>244</x:v>
      </x:c>
      <x:c r="N22" s="7" t="s">
        <x:v>245</x:v>
      </x:c>
      <x:c r="O22" s="12" t="s">
        <x:v>103</x:v>
      </x:c>
    </x:row>
    <x:row r="23" ht="24">
      <x:c r="A23" s="11" t="s">
        <x:v>29</x:v>
      </x:c>
      <x:c r="B23" s="7" t="s">
        <x:v>101</x:v>
      </x:c>
      <x:c r="C23" s="7" t="s">
        <x:v>102</x:v>
      </x:c>
      <x:c r="D23" s="7" t="s">
        <x:v>246</x:v>
      </x:c>
      <x:c r="E23" s="7" t="s">
        <x:v>247</x:v>
      </x:c>
      <x:c r="F23" s="7" t="s">
        <x:v>248</x:v>
      </x:c>
      <x:c r="G23" s="7" t="s">
        <x:v>184</x:v>
      </x:c>
      <x:c r="H23" s="7" t="s">
        <x:v>163</x:v>
      </x:c>
      <x:c r="I23" s="47">
        <x:v>1</x:v>
      </x:c>
      <x:c r="J23" s="47">
        <x:v>1.5</x:v>
      </x:c>
      <x:c r="K23" s="47" t="n">
        <x:f>J23*Parametros!$B$9</x:f>
        <x:v>1.0499999999999998</x:v>
      </x:c>
      <x:c r="L23" s="7" t="s">
        <x:v>249</x:v>
      </x:c>
      <x:c r="M23" s="7" t="s">
        <x:v>250</x:v>
      </x:c>
      <x:c r="N23" s="7" t="s">
        <x:v>160</x:v>
      </x:c>
      <x:c r="O23" s="12" t="s">
        <x:v>103</x:v>
      </x:c>
    </x:row>
    <x:row r="24" ht="24">
      <x:c r="A24" s="11" t="s">
        <x:v>29</x:v>
      </x:c>
      <x:c r="B24" s="7" t="s">
        <x:v>101</x:v>
      </x:c>
      <x:c r="C24" s="7" t="s">
        <x:v>102</x:v>
      </x:c>
      <x:c r="D24" s="7" t="s">
        <x:v>251</x:v>
      </x:c>
      <x:c r="E24" s="7" t="s">
        <x:v>252</x:v>
      </x:c>
      <x:c r="F24" s="7" t="s">
        <x:v>253</x:v>
      </x:c>
      <x:c r="G24" s="7" t="s">
        <x:v>184</x:v>
      </x:c>
      <x:c r="H24" s="7" t="s">
        <x:v>163</x:v>
      </x:c>
      <x:c r="I24" s="47">
        <x:v>1</x:v>
      </x:c>
      <x:c r="J24" s="47">
        <x:v>1.5</x:v>
      </x:c>
      <x:c r="K24" s="47" t="n">
        <x:f>J24*Parametros!$B$9</x:f>
        <x:v>1.0499999999999998</x:v>
      </x:c>
      <x:c r="L24" s="7" t="s">
        <x:v>254</x:v>
      </x:c>
      <x:c r="M24" s="7" t="s">
        <x:v>255</x:v>
      </x:c>
      <x:c r="N24" s="7" t="s">
        <x:v>256</x:v>
      </x:c>
      <x:c r="O24" s="12" t="s">
        <x:v>103</x:v>
      </x:c>
    </x:row>
    <x:row r="25" ht="24">
      <x:c r="A25" s="11" t="s">
        <x:v>29</x:v>
      </x:c>
      <x:c r="B25" s="7" t="s">
        <x:v>101</x:v>
      </x:c>
      <x:c r="C25" s="7" t="s">
        <x:v>102</x:v>
      </x:c>
      <x:c r="D25" s="7" t="s">
        <x:v>257</x:v>
      </x:c>
      <x:c r="E25" s="7" t="s">
        <x:v>258</x:v>
      </x:c>
      <x:c r="F25" s="7" t="s">
        <x:v>259</x:v>
      </x:c>
      <x:c r="G25" s="7" t="s">
        <x:v>194</x:v>
      </x:c>
      <x:c r="H25" s="7" t="s">
        <x:v>163</x:v>
      </x:c>
      <x:c r="I25" s="47">
        <x:v>1</x:v>
      </x:c>
      <x:c r="J25" s="47">
        <x:v>0.6</x:v>
      </x:c>
      <x:c r="K25" s="47" t="n">
        <x:f>J25*Parametros!$B$9</x:f>
        <x:v>0.42</x:v>
      </x:c>
      <x:c r="L25" s="7" t="s">
        <x:v>260</x:v>
      </x:c>
      <x:c r="M25" s="7" t="s">
        <x:v>261</x:v>
      </x:c>
      <x:c r="N25" s="7"/>
      <x:c r="O25" s="12" t="s">
        <x:v>103</x:v>
      </x:c>
    </x:row>
    <x:row r="26" ht="36">
      <x:c r="A26" s="11" t="s">
        <x:v>29</x:v>
      </x:c>
      <x:c r="B26" s="7" t="s">
        <x:v>101</x:v>
      </x:c>
      <x:c r="C26" s="7" t="s">
        <x:v>102</x:v>
      </x:c>
      <x:c r="D26" s="7" t="s">
        <x:v>240</x:v>
      </x:c>
      <x:c r="E26" s="7" t="s">
        <x:v>262</x:v>
      </x:c>
      <x:c r="F26" s="7" t="s">
        <x:v>263</x:v>
      </x:c>
      <x:c r="G26" s="7" t="s">
        <x:v>162</x:v>
      </x:c>
      <x:c r="H26" s="7" t="s">
        <x:v>163</x:v>
      </x:c>
      <x:c r="I26" s="47">
        <x:v>1</x:v>
      </x:c>
      <x:c r="J26" s="47">
        <x:v>1.5</x:v>
      </x:c>
      <x:c r="K26" s="47" t="n">
        <x:f>J26*Parametros!$B$9</x:f>
        <x:v>1.0499999999999998</x:v>
      </x:c>
      <x:c r="L26" s="7" t="s">
        <x:v>264</x:v>
      </x:c>
      <x:c r="M26" s="7" t="s">
        <x:v>265</x:v>
      </x:c>
      <x:c r="N26" s="7" t="s">
        <x:v>241</x:v>
      </x:c>
      <x:c r="O26" s="12" t="s">
        <x:v>103</x:v>
      </x:c>
    </x:row>
    <x:row r="27" ht="24">
      <x:c r="A27" s="11" t="s">
        <x:v>29</x:v>
      </x:c>
      <x:c r="B27" s="7" t="s">
        <x:v>101</x:v>
      </x:c>
      <x:c r="C27" s="7" t="s">
        <x:v>102</x:v>
      </x:c>
      <x:c r="D27" s="7" t="s">
        <x:v>266</x:v>
      </x:c>
      <x:c r="E27" s="7" t="s">
        <x:v>267</x:v>
      </x:c>
      <x:c r="F27" s="7" t="str">
        <x:v>Publicación, SSL y entrega</x:v>
      </x:c>
      <x:c r="G27" s="7" t="s">
        <x:v>162</x:v>
      </x:c>
      <x:c r="H27" s="7" t="s">
        <x:v>163</x:v>
      </x:c>
      <x:c r="I27" s="47">
        <x:v>1</x:v>
      </x:c>
      <x:c r="J27" s="47" t="n">
        <x:v>1.1</x:v>
      </x:c>
      <x:c r="K27" s="47" t="n">
        <x:f>J27*Parametros!$B$9</x:f>
        <x:v>0.77</x:v>
      </x:c>
      <x:c r="L27" s="7" t="str">
        <x:v>Incluye: HTTPS/SSL, variables de entorno, despliegue, validación final de producción, accesos y recomendaciones de cierre.</x:v>
      </x:c>
      <x:c r="M27" s="7" t="str">
        <x:v>No incluye compra, renovación, configuración o migración de dominio/DNS ni costos de hosting/proveedores. El trabajo de dominio se selecciona por separado cuando corresponda.</x:v>
      </x:c>
      <x:c r="N27" s="7" t="s">
        <x:v>262</x:v>
      </x:c>
      <x:c r="O27" s="12" t="s">
        <x:v>103</x:v>
      </x:c>
    </x:row>
    <x:row r="28" ht="24">
      <x:c r="A28" s="11" t="s">
        <x:v>29</x:v>
      </x:c>
      <x:c r="B28" s="7" t="s">
        <x:v>104</x:v>
      </x:c>
      <x:c r="C28" s="7" t="s">
        <x:v>105</x:v>
      </x:c>
      <x:c r="D28" s="7" t="s">
        <x:v>159</x:v>
      </x:c>
      <x:c r="E28" s="7" t="s">
        <x:v>268</x:v>
      </x:c>
      <x:c r="F28" s="7" t="s">
        <x:v>269</x:v>
      </x:c>
      <x:c r="G28" s="7" t="s">
        <x:v>162</x:v>
      </x:c>
      <x:c r="H28" s="7" t="s">
        <x:v>163</x:v>
      </x:c>
      <x:c r="I28" s="47">
        <x:v>1</x:v>
      </x:c>
      <x:c r="J28" s="47">
        <x:v>1.5</x:v>
      </x:c>
      <x:c r="K28" s="47" t="n">
        <x:f>J28*Parametros!$B$9</x:f>
        <x:v>1.0499999999999998</x:v>
      </x:c>
      <x:c r="L28" s="7" t="s">
        <x:v>270</x:v>
      </x:c>
      <x:c r="M28" s="7" t="s">
        <x:v>271</x:v>
      </x:c>
      <x:c r="N28" s="7"/>
      <x:c r="O28" s="12" t="s">
        <x:v>103</x:v>
      </x:c>
    </x:row>
    <x:row r="29" ht="24">
      <x:c r="A29" s="11" t="s">
        <x:v>29</x:v>
      </x:c>
      <x:c r="B29" s="7" t="s">
        <x:v>104</x:v>
      </x:c>
      <x:c r="C29" s="7" t="s">
        <x:v>105</x:v>
      </x:c>
      <x:c r="D29" s="7" t="s">
        <x:v>272</x:v>
      </x:c>
      <x:c r="E29" s="7" t="s">
        <x:v>273</x:v>
      </x:c>
      <x:c r="F29" s="7" t="s">
        <x:v>274</x:v>
      </x:c>
      <x:c r="G29" s="7" t="s">
        <x:v>162</x:v>
      </x:c>
      <x:c r="H29" s="7" t="s">
        <x:v>163</x:v>
      </x:c>
      <x:c r="I29" s="47">
        <x:v>1</x:v>
      </x:c>
      <x:c r="J29" s="47">
        <x:v>2.5</x:v>
      </x:c>
      <x:c r="K29" s="47" t="n">
        <x:f>J29*Parametros!$B$9</x:f>
        <x:v>1.75</x:v>
      </x:c>
      <x:c r="L29" s="7" t="s">
        <x:v>275</x:v>
      </x:c>
      <x:c r="M29" s="7" t="s">
        <x:v>276</x:v>
      </x:c>
      <x:c r="N29" s="7" t="s">
        <x:v>268</x:v>
      </x:c>
      <x:c r="O29" s="12" t="s">
        <x:v>103</x:v>
      </x:c>
    </x:row>
    <x:row r="30" ht="24">
      <x:c r="A30" s="11" t="s">
        <x:v>29</x:v>
      </x:c>
      <x:c r="B30" s="7" t="s">
        <x:v>104</x:v>
      </x:c>
      <x:c r="C30" s="7" t="s">
        <x:v>105</x:v>
      </x:c>
      <x:c r="D30" s="7" t="s">
        <x:v>277</x:v>
      </x:c>
      <x:c r="E30" s="7" t="s">
        <x:v>278</x:v>
      </x:c>
      <x:c r="F30" s="7" t="s">
        <x:v>279</x:v>
      </x:c>
      <x:c r="G30" s="7" t="s">
        <x:v>184</x:v>
      </x:c>
      <x:c r="H30" s="7" t="s">
        <x:v>280</x:v>
      </x:c>
      <x:c r="I30" s="47">
        <x:v>2</x:v>
      </x:c>
      <x:c r="J30" s="47">
        <x:v>1</x:v>
      </x:c>
      <x:c r="K30" s="47" t="n">
        <x:f>J30*Parametros!$B$9</x:f>
        <x:v>0.7</x:v>
      </x:c>
      <x:c r="L30" s="7" t="s">
        <x:v>281</x:v>
      </x:c>
      <x:c r="M30" s="7" t="s">
        <x:v>282</x:v>
      </x:c>
      <x:c r="N30" s="7" t="s">
        <x:v>268</x:v>
      </x:c>
      <x:c r="O30" s="12" t="s">
        <x:v>103</x:v>
      </x:c>
    </x:row>
    <x:row r="31" ht="24">
      <x:c r="A31" s="11" t="s">
        <x:v>29</x:v>
      </x:c>
      <x:c r="B31" s="7" t="s">
        <x:v>104</x:v>
      </x:c>
      <x:c r="C31" s="7" t="s">
        <x:v>105</x:v>
      </x:c>
      <x:c r="D31" s="7" t="s">
        <x:v>272</x:v>
      </x:c>
      <x:c r="E31" s="7" t="s">
        <x:v>283</x:v>
      </x:c>
      <x:c r="F31" s="7" t="s">
        <x:v>284</x:v>
      </x:c>
      <x:c r="G31" s="7" t="s">
        <x:v>162</x:v>
      </x:c>
      <x:c r="H31" s="7" t="s">
        <x:v>163</x:v>
      </x:c>
      <x:c r="I31" s="47">
        <x:v>1</x:v>
      </x:c>
      <x:c r="J31" s="47">
        <x:v>2</x:v>
      </x:c>
      <x:c r="K31" s="47" t="n">
        <x:f>J31*Parametros!$B$9</x:f>
        <x:v>1.4</x:v>
      </x:c>
      <x:c r="L31" s="7" t="s">
        <x:v>285</x:v>
      </x:c>
      <x:c r="M31" s="7" t="s">
        <x:v>286</x:v>
      </x:c>
      <x:c r="N31" s="7" t="s">
        <x:v>268</x:v>
      </x:c>
      <x:c r="O31" s="12" t="s">
        <x:v>103</x:v>
      </x:c>
    </x:row>
    <x:row r="32" ht="24">
      <x:c r="A32" s="11" t="s">
        <x:v>29</x:v>
      </x:c>
      <x:c r="B32" s="7" t="s">
        <x:v>104</x:v>
      </x:c>
      <x:c r="C32" s="7" t="s">
        <x:v>105</x:v>
      </x:c>
      <x:c r="D32" s="7" t="s">
        <x:v>287</x:v>
      </x:c>
      <x:c r="E32" s="7" t="s">
        <x:v>288</x:v>
      </x:c>
      <x:c r="F32" s="7" t="s">
        <x:v>289</x:v>
      </x:c>
      <x:c r="G32" s="7" t="s">
        <x:v>184</x:v>
      </x:c>
      <x:c r="H32" s="7" t="s">
        <x:v>290</x:v>
      </x:c>
      <x:c r="I32" s="47">
        <x:v>3</x:v>
      </x:c>
      <x:c r="J32" s="47">
        <x:v>1</x:v>
      </x:c>
      <x:c r="K32" s="47" t="n">
        <x:f>J32*Parametros!$B$9</x:f>
        <x:v>0.7</x:v>
      </x:c>
      <x:c r="L32" s="7" t="s">
        <x:v>291</x:v>
      </x:c>
      <x:c r="M32" s="7" t="s">
        <x:v>292</x:v>
      </x:c>
      <x:c r="N32" s="7" t="s">
        <x:v>268</x:v>
      </x:c>
      <x:c r="O32" s="12" t="s">
        <x:v>103</x:v>
      </x:c>
    </x:row>
    <x:row r="33" ht="24">
      <x:c r="A33" s="11" t="s">
        <x:v>29</x:v>
      </x:c>
      <x:c r="B33" s="7" t="s">
        <x:v>104</x:v>
      </x:c>
      <x:c r="C33" s="7" t="s">
        <x:v>105</x:v>
      </x:c>
      <x:c r="D33" s="7" t="s">
        <x:v>293</x:v>
      </x:c>
      <x:c r="E33" s="7" t="s">
        <x:v>294</x:v>
      </x:c>
      <x:c r="F33" s="7" t="s">
        <x:v>295</x:v>
      </x:c>
      <x:c r="G33" s="7" t="s">
        <x:v>162</x:v>
      </x:c>
      <x:c r="H33" s="7" t="s">
        <x:v>163</x:v>
      </x:c>
      <x:c r="I33" s="47">
        <x:v>1</x:v>
      </x:c>
      <x:c r="J33" s="47">
        <x:v>2.5</x:v>
      </x:c>
      <x:c r="K33" s="47" t="n">
        <x:f>J33*Parametros!$B$9</x:f>
        <x:v>1.75</x:v>
      </x:c>
      <x:c r="L33" s="7" t="s">
        <x:v>296</x:v>
      </x:c>
      <x:c r="M33" s="7" t="s">
        <x:v>297</x:v>
      </x:c>
      <x:c r="N33" s="7" t="s">
        <x:v>298</x:v>
      </x:c>
      <x:c r="O33" s="12" t="s">
        <x:v>103</x:v>
      </x:c>
    </x:row>
    <x:row r="34" ht="24">
      <x:c r="A34" s="11" t="s">
        <x:v>29</x:v>
      </x:c>
      <x:c r="B34" s="7" t="s">
        <x:v>104</x:v>
      </x:c>
      <x:c r="C34" s="7" t="s">
        <x:v>105</x:v>
      </x:c>
      <x:c r="D34" s="7" t="s">
        <x:v>293</x:v>
      </x:c>
      <x:c r="E34" s="7" t="s">
        <x:v>299</x:v>
      </x:c>
      <x:c r="F34" s="7" t="s">
        <x:v>300</x:v>
      </x:c>
      <x:c r="G34" s="7" t="s">
        <x:v>184</x:v>
      </x:c>
      <x:c r="H34" s="7" t="s">
        <x:v>290</x:v>
      </x:c>
      <x:c r="I34" s="47">
        <x:v>3</x:v>
      </x:c>
      <x:c r="J34" s="47">
        <x:v>2.5</x:v>
      </x:c>
      <x:c r="K34" s="47" t="n">
        <x:f>J34*Parametros!$B$9</x:f>
        <x:v>1.75</x:v>
      </x:c>
      <x:c r="L34" s="7" t="s">
        <x:v>301</x:v>
      </x:c>
      <x:c r="M34" s="7" t="s">
        <x:v>302</x:v>
      </x:c>
      <x:c r="N34" s="7" t="s">
        <x:v>303</x:v>
      </x:c>
      <x:c r="O34" s="12" t="s">
        <x:v>103</x:v>
      </x:c>
    </x:row>
    <x:row r="35">
      <x:c r="A35" s="11" t="s">
        <x:v>29</x:v>
      </x:c>
      <x:c r="B35" s="7" t="s">
        <x:v>104</x:v>
      </x:c>
      <x:c r="C35" s="7" t="s">
        <x:v>105</x:v>
      </x:c>
      <x:c r="D35" s="7" t="s">
        <x:v>293</x:v>
      </x:c>
      <x:c r="E35" s="7" t="s">
        <x:v>304</x:v>
      </x:c>
      <x:c r="F35" s="7" t="s">
        <x:v>305</x:v>
      </x:c>
      <x:c r="G35" s="7" t="s">
        <x:v>194</x:v>
      </x:c>
      <x:c r="H35" s="7" t="s">
        <x:v>306</x:v>
      </x:c>
      <x:c r="I35" s="47">
        <x:v>1</x:v>
      </x:c>
      <x:c r="J35" s="47">
        <x:v>3.5</x:v>
      </x:c>
      <x:c r="K35" s="47" t="n">
        <x:f>J35*Parametros!$B$9</x:f>
        <x:v>2.4499999999999997</x:v>
      </x:c>
      <x:c r="L35" s="7" t="s">
        <x:v>307</x:v>
      </x:c>
      <x:c r="M35" s="7" t="s">
        <x:v>308</x:v>
      </x:c>
      <x:c r="N35" s="7" t="s">
        <x:v>273</x:v>
      </x:c>
      <x:c r="O35" s="12" t="s">
        <x:v>103</x:v>
      </x:c>
    </x:row>
    <x:row r="36" ht="24">
      <x:c r="A36" s="11" t="s">
        <x:v>29</x:v>
      </x:c>
      <x:c r="B36" s="7" t="s">
        <x:v>104</x:v>
      </x:c>
      <x:c r="C36" s="7" t="s">
        <x:v>105</x:v>
      </x:c>
      <x:c r="D36" s="7" t="s">
        <x:v>309</x:v>
      </x:c>
      <x:c r="E36" s="7" t="s">
        <x:v>310</x:v>
      </x:c>
      <x:c r="F36" s="7" t="s">
        <x:v>311</x:v>
      </x:c>
      <x:c r="G36" s="7" t="s">
        <x:v>184</x:v>
      </x:c>
      <x:c r="H36" s="7" t="s">
        <x:v>312</x:v>
      </x:c>
      <x:c r="I36" s="47">
        <x:v>3</x:v>
      </x:c>
      <x:c r="J36" s="47">
        <x:v>2.2999999999999998</x:v>
      </x:c>
      <x:c r="K36" s="47" t="n">
        <x:f>J36*Parametros!$B$9</x:f>
        <x:v>1.6099999999999999</x:v>
      </x:c>
      <x:c r="L36" s="7" t="s">
        <x:v>313</x:v>
      </x:c>
      <x:c r="M36" s="7" t="s">
        <x:v>314</x:v>
      </x:c>
      <x:c r="N36" s="7" t="s">
        <x:v>273</x:v>
      </x:c>
      <x:c r="O36" s="12" t="s">
        <x:v>103</x:v>
      </x:c>
    </x:row>
    <x:row r="37" ht="24">
      <x:c r="A37" s="11" t="s">
        <x:v>29</x:v>
      </x:c>
      <x:c r="B37" s="7" t="s">
        <x:v>104</x:v>
      </x:c>
      <x:c r="C37" s="7" t="s">
        <x:v>105</x:v>
      </x:c>
      <x:c r="D37" s="7" t="s">
        <x:v>277</x:v>
      </x:c>
      <x:c r="E37" s="7" t="s">
        <x:v>315</x:v>
      </x:c>
      <x:c r="F37" s="7" t="s">
        <x:v>316</x:v>
      </x:c>
      <x:c r="G37" s="7" t="s">
        <x:v>162</x:v>
      </x:c>
      <x:c r="H37" s="7" t="s">
        <x:v>317</x:v>
      </x:c>
      <x:c r="I37" s="47">
        <x:v>1</x:v>
      </x:c>
      <x:c r="J37" s="47">
        <x:v>2.5</x:v>
      </x:c>
      <x:c r="K37" s="47" t="n">
        <x:f>J37*Parametros!$B$9</x:f>
        <x:v>1.75</x:v>
      </x:c>
      <x:c r="L37" s="7" t="s">
        <x:v>318</x:v>
      </x:c>
      <x:c r="M37" s="7" t="s">
        <x:v>319</x:v>
      </x:c>
      <x:c r="N37" s="7" t="s">
        <x:v>320</x:v>
      </x:c>
      <x:c r="O37" s="12" t="s">
        <x:v>103</x:v>
      </x:c>
    </x:row>
    <x:row r="38" ht="24">
      <x:c r="A38" s="11" t="s">
        <x:v>29</x:v>
      </x:c>
      <x:c r="B38" s="7" t="s">
        <x:v>104</x:v>
      </x:c>
      <x:c r="C38" s="7" t="s">
        <x:v>105</x:v>
      </x:c>
      <x:c r="D38" s="7" t="s">
        <x:v>277</x:v>
      </x:c>
      <x:c r="E38" s="7" t="s">
        <x:v>321</x:v>
      </x:c>
      <x:c r="F38" s="7" t="s">
        <x:v>322</x:v>
      </x:c>
      <x:c r="G38" s="7" t="s">
        <x:v>184</x:v>
      </x:c>
      <x:c r="H38" s="7" t="s">
        <x:v>280</x:v>
      </x:c>
      <x:c r="I38" s="47">
        <x:v>2</x:v>
      </x:c>
      <x:c r="J38" s="47">
        <x:v>1.5</x:v>
      </x:c>
      <x:c r="K38" s="47" t="n">
        <x:f>J38*Parametros!$B$9</x:f>
        <x:v>1.0499999999999998</x:v>
      </x:c>
      <x:c r="L38" s="7" t="s">
        <x:v>323</x:v>
      </x:c>
      <x:c r="M38" s="7" t="s">
        <x:v>324</x:v>
      </x:c>
      <x:c r="N38" s="7" t="s">
        <x:v>325</x:v>
      </x:c>
      <x:c r="O38" s="12" t="s">
        <x:v>103</x:v>
      </x:c>
    </x:row>
    <x:row r="39" ht="24">
      <x:c r="A39" s="11" t="s">
        <x:v>29</x:v>
      </x:c>
      <x:c r="B39" s="7" t="s">
        <x:v>104</x:v>
      </x:c>
      <x:c r="C39" s="7" t="s">
        <x:v>105</x:v>
      </x:c>
      <x:c r="D39" s="7" t="s">
        <x:v>326</x:v>
      </x:c>
      <x:c r="E39" s="7" t="s">
        <x:v>327</x:v>
      </x:c>
      <x:c r="F39" s="7" t="s">
        <x:v>328</x:v>
      </x:c>
      <x:c r="G39" s="7" t="s">
        <x:v>184</x:v>
      </x:c>
      <x:c r="H39" s="7" t="s">
        <x:v>329</x:v>
      </x:c>
      <x:c r="I39" s="47">
        <x:v>2</x:v>
      </x:c>
      <x:c r="J39" s="47">
        <x:v>3</x:v>
      </x:c>
      <x:c r="K39" s="47" t="n">
        <x:f>J39*Parametros!$B$9</x:f>
        <x:v>2.0999999999999996</x:v>
      </x:c>
      <x:c r="L39" s="7" t="s">
        <x:v>330</x:v>
      </x:c>
      <x:c r="M39" s="7" t="s">
        <x:v>331</x:v>
      </x:c>
      <x:c r="N39" s="7" t="s">
        <x:v>310</x:v>
      </x:c>
      <x:c r="O39" s="12" t="s">
        <x:v>103</x:v>
      </x:c>
    </x:row>
    <x:row r="40">
      <x:c r="A40" s="11" t="s">
        <x:v>29</x:v>
      </x:c>
      <x:c r="B40" s="7" t="s">
        <x:v>104</x:v>
      </x:c>
      <x:c r="C40" s="7" t="s">
        <x:v>105</x:v>
      </x:c>
      <x:c r="D40" s="7" t="s">
        <x:v>332</x:v>
      </x:c>
      <x:c r="E40" s="7" t="s">
        <x:v>333</x:v>
      </x:c>
      <x:c r="F40" s="7" t="s">
        <x:v>334</x:v>
      </x:c>
      <x:c r="G40" s="7" t="s">
        <x:v>194</x:v>
      </x:c>
      <x:c r="H40" s="7" t="s">
        <x:v>335</x:v>
      </x:c>
      <x:c r="I40" s="47">
        <x:v>1</x:v>
      </x:c>
      <x:c r="J40" s="47">
        <x:v>1</x:v>
      </x:c>
      <x:c r="K40" s="47" t="n">
        <x:f>J40*Parametros!$B$9</x:f>
        <x:v>0.7</x:v>
      </x:c>
      <x:c r="L40" s="7" t="s">
        <x:v>336</x:v>
      </x:c>
      <x:c r="M40" s="7" t="s">
        <x:v>337</x:v>
      </x:c>
      <x:c r="N40" s="7" t="s">
        <x:v>310</x:v>
      </x:c>
      <x:c r="O40" s="12" t="s">
        <x:v>103</x:v>
      </x:c>
    </x:row>
    <x:row r="41" ht="24">
      <x:c r="A41" s="11" t="s">
        <x:v>29</x:v>
      </x:c>
      <x:c r="B41" s="7" t="s">
        <x:v>104</x:v>
      </x:c>
      <x:c r="C41" s="7" t="s">
        <x:v>105</x:v>
      </x:c>
      <x:c r="D41" s="7" t="s">
        <x:v>338</x:v>
      </x:c>
      <x:c r="E41" s="7" t="s">
        <x:v>339</x:v>
      </x:c>
      <x:c r="F41" s="7" t="s">
        <x:v>340</x:v>
      </x:c>
      <x:c r="G41" s="7" t="s">
        <x:v>194</x:v>
      </x:c>
      <x:c r="H41" s="7" t="s">
        <x:v>341</x:v>
      </x:c>
      <x:c r="I41" s="47">
        <x:v>1</x:v>
      </x:c>
      <x:c r="J41" s="47">
        <x:v>1.5</x:v>
      </x:c>
      <x:c r="K41" s="47" t="n">
        <x:f>J41*Parametros!$B$9</x:f>
        <x:v>1.0499999999999998</x:v>
      </x:c>
      <x:c r="L41" s="7" t="s">
        <x:v>342</x:v>
      </x:c>
      <x:c r="M41" s="7" t="s">
        <x:v>343</x:v>
      </x:c>
      <x:c r="N41" s="7" t="s">
        <x:v>310</x:v>
      </x:c>
      <x:c r="O41" s="12" t="s">
        <x:v>103</x:v>
      </x:c>
    </x:row>
    <x:row r="42" ht="24">
      <x:c r="A42" s="11" t="s">
        <x:v>29</x:v>
      </x:c>
      <x:c r="B42" s="7" t="s">
        <x:v>104</x:v>
      </x:c>
      <x:c r="C42" s="7" t="s">
        <x:v>105</x:v>
      </x:c>
      <x:c r="D42" s="7" t="s">
        <x:v>344</x:v>
      </x:c>
      <x:c r="E42" s="7" t="s">
        <x:v>345</x:v>
      </x:c>
      <x:c r="F42" s="7" t="s">
        <x:v>346</x:v>
      </x:c>
      <x:c r="G42" s="7" t="s">
        <x:v>194</x:v>
      </x:c>
      <x:c r="H42" s="7" t="s">
        <x:v>347</x:v>
      </x:c>
      <x:c r="I42" s="47">
        <x:v>1</x:v>
      </x:c>
      <x:c r="J42" s="47">
        <x:v>2.5</x:v>
      </x:c>
      <x:c r="K42" s="47" t="n">
        <x:f>J42*Parametros!$B$9</x:f>
        <x:v>1.75</x:v>
      </x:c>
      <x:c r="L42" s="7" t="s">
        <x:v>348</x:v>
      </x:c>
      <x:c r="M42" s="7" t="s">
        <x:v>349</x:v>
      </x:c>
      <x:c r="N42" s="7" t="s">
        <x:v>273</x:v>
      </x:c>
      <x:c r="O42" s="12" t="s">
        <x:v>103</x:v>
      </x:c>
    </x:row>
    <x:row r="43" ht="24">
      <x:c r="A43" s="11" t="s">
        <x:v>29</x:v>
      </x:c>
      <x:c r="B43" s="7" t="s">
        <x:v>104</x:v>
      </x:c>
      <x:c r="C43" s="7" t="s">
        <x:v>105</x:v>
      </x:c>
      <x:c r="D43" s="7" t="s">
        <x:v>240</x:v>
      </x:c>
      <x:c r="E43" s="7" t="s">
        <x:v>350</x:v>
      </x:c>
      <x:c r="F43" s="7" t="s">
        <x:v>351</x:v>
      </x:c>
      <x:c r="G43" s="7" t="s">
        <x:v>162</x:v>
      </x:c>
      <x:c r="H43" s="7" t="s">
        <x:v>163</x:v>
      </x:c>
      <x:c r="I43" s="47">
        <x:v>1</x:v>
      </x:c>
      <x:c r="J43" s="47">
        <x:v>2.5</x:v>
      </x:c>
      <x:c r="K43" s="47" t="n">
        <x:f>J43*Parametros!$B$9</x:f>
        <x:v>1.75</x:v>
      </x:c>
      <x:c r="L43" s="7" t="s">
        <x:v>352</x:v>
      </x:c>
      <x:c r="M43" s="7" t="s">
        <x:v>353</x:v>
      </x:c>
      <x:c r="N43" s="7" t="s">
        <x:v>354</x:v>
      </x:c>
      <x:c r="O43" s="12" t="s">
        <x:v>103</x:v>
      </x:c>
    </x:row>
    <x:row r="44" ht="24">
      <x:c r="A44" s="11" t="s">
        <x:v>29</x:v>
      </x:c>
      <x:c r="B44" s="7" t="s">
        <x:v>104</x:v>
      </x:c>
      <x:c r="C44" s="7" t="s">
        <x:v>105</x:v>
      </x:c>
      <x:c r="D44" s="7" t="s">
        <x:v>355</x:v>
      </x:c>
      <x:c r="E44" s="7" t="s">
        <x:v>356</x:v>
      </x:c>
      <x:c r="F44" s="7" t="s">
        <x:v>357</x:v>
      </x:c>
      <x:c r="G44" s="7" t="s">
        <x:v>162</x:v>
      </x:c>
      <x:c r="H44" s="7" t="s">
        <x:v>358</x:v>
      </x:c>
      <x:c r="I44" s="47">
        <x:v>1</x:v>
      </x:c>
      <x:c r="J44" s="47">
        <x:v>1.5</x:v>
      </x:c>
      <x:c r="K44" s="47" t="n">
        <x:f>J44*Parametros!$B$9</x:f>
        <x:v>1.0499999999999998</x:v>
      </x:c>
      <x:c r="L44" s="7" t="s">
        <x:v>359</x:v>
      </x:c>
      <x:c r="M44" s="7" t="s">
        <x:v>360</x:v>
      </x:c>
      <x:c r="N44" s="7" t="s">
        <x:v>350</x:v>
      </x:c>
      <x:c r="O44" s="12" t="s">
        <x:v>103</x:v>
      </x:c>
    </x:row>
    <x:row r="45" ht="24">
      <x:c r="A45" s="11" t="s">
        <x:v>29</x:v>
      </x:c>
      <x:c r="B45" s="7" t="s">
        <x:v>104</x:v>
      </x:c>
      <x:c r="C45" s="7" t="s">
        <x:v>105</x:v>
      </x:c>
      <x:c r="D45" s="7" t="s">
        <x:v>361</x:v>
      </x:c>
      <x:c r="E45" s="7" t="s">
        <x:v>362</x:v>
      </x:c>
      <x:c r="F45" s="7" t="s">
        <x:v>363</x:v>
      </x:c>
      <x:c r="G45" s="7" t="s">
        <x:v>184</x:v>
      </x:c>
      <x:c r="H45" s="7" t="s">
        <x:v>163</x:v>
      </x:c>
      <x:c r="I45" s="47">
        <x:v>1</x:v>
      </x:c>
      <x:c r="J45" s="47">
        <x:v>1.5</x:v>
      </x:c>
      <x:c r="K45" s="47" t="n">
        <x:f>J45*Parametros!$B$9</x:f>
        <x:v>1.0499999999999998</x:v>
      </x:c>
      <x:c r="L45" s="7" t="s">
        <x:v>364</x:v>
      </x:c>
      <x:c r="M45" s="7" t="s">
        <x:v>365</x:v>
      </x:c>
      <x:c r="N45" s="7" t="s">
        <x:v>356</x:v>
      </x:c>
      <x:c r="O45" s="12" t="s">
        <x:v>103</x:v>
      </x:c>
    </x:row>
    <x:row r="46" ht="36">
      <x:c r="A46" s="11" t="s">
        <x:v>29</x:v>
      </x:c>
      <x:c r="B46" s="7" t="s">
        <x:v>106</x:v>
      </x:c>
      <x:c r="C46" s="7" t="s">
        <x:v>107</x:v>
      </x:c>
      <x:c r="D46" s="7" t="s">
        <x:v>159</x:v>
      </x:c>
      <x:c r="E46" s="7" t="s">
        <x:v>366</x:v>
      </x:c>
      <x:c r="F46" s="7" t="s">
        <x:v>367</x:v>
      </x:c>
      <x:c r="G46" s="7" t="s">
        <x:v>162</x:v>
      </x:c>
      <x:c r="H46" s="7" t="s">
        <x:v>224</x:v>
      </x:c>
      <x:c r="I46" s="47">
        <x:v>1</x:v>
      </x:c>
      <x:c r="J46" s="47">
        <x:v>3</x:v>
      </x:c>
      <x:c r="K46" s="47" t="n">
        <x:f>J46*Parametros!$B$9</x:f>
        <x:v>2.0999999999999996</x:v>
      </x:c>
      <x:c r="L46" s="7" t="s">
        <x:v>368</x:v>
      </x:c>
      <x:c r="M46" s="7" t="s">
        <x:v>369</x:v>
      </x:c>
      <x:c r="N46" s="7"/>
      <x:c r="O46" s="12" t="s">
        <x:v>103</x:v>
      </x:c>
    </x:row>
    <x:row r="47">
      <x:c r="A47" s="11" t="s">
        <x:v>29</x:v>
      </x:c>
      <x:c r="B47" s="7" t="s">
        <x:v>106</x:v>
      </x:c>
      <x:c r="C47" s="7" t="s">
        <x:v>107</x:v>
      </x:c>
      <x:c r="D47" s="7" t="s">
        <x:v>166</x:v>
      </x:c>
      <x:c r="E47" s="7" t="s">
        <x:v>370</x:v>
      </x:c>
      <x:c r="F47" s="7" t="s">
        <x:v>371</x:v>
      </x:c>
      <x:c r="G47" s="7" t="s">
        <x:v>162</x:v>
      </x:c>
      <x:c r="H47" s="7" t="s">
        <x:v>358</x:v>
      </x:c>
      <x:c r="I47" s="47">
        <x:v>1</x:v>
      </x:c>
      <x:c r="J47" s="47">
        <x:v>1</x:v>
      </x:c>
      <x:c r="K47" s="47" t="n">
        <x:f>J47*Parametros!$B$9</x:f>
        <x:v>0.7</x:v>
      </x:c>
      <x:c r="L47" s="7" t="s">
        <x:v>372</x:v>
      </x:c>
      <x:c r="M47" s="7" t="s">
        <x:v>373</x:v>
      </x:c>
      <x:c r="N47" s="7" t="s">
        <x:v>366</x:v>
      </x:c>
      <x:c r="O47" s="12" t="s">
        <x:v>103</x:v>
      </x:c>
    </x:row>
    <x:row r="48" ht="24">
      <x:c r="A48" s="11" t="s">
        <x:v>29</x:v>
      </x:c>
      <x:c r="B48" s="7" t="s">
        <x:v>106</x:v>
      </x:c>
      <x:c r="C48" s="7" t="s">
        <x:v>107</x:v>
      </x:c>
      <x:c r="D48" s="7" t="s">
        <x:v>374</x:v>
      </x:c>
      <x:c r="E48" s="7" t="s">
        <x:v>375</x:v>
      </x:c>
      <x:c r="F48" s="7" t="s">
        <x:v>376</x:v>
      </x:c>
      <x:c r="G48" s="7" t="s">
        <x:v>184</x:v>
      </x:c>
      <x:c r="H48" s="7" t="s">
        <x:v>224</x:v>
      </x:c>
      <x:c r="I48" s="47">
        <x:v>1</x:v>
      </x:c>
      <x:c r="J48" s="47">
        <x:v>3.5</x:v>
      </x:c>
      <x:c r="K48" s="47" t="n">
        <x:f>J48*Parametros!$B$9</x:f>
        <x:v>2.4499999999999997</x:v>
      </x:c>
      <x:c r="L48" s="7" t="s">
        <x:v>377</x:v>
      </x:c>
      <x:c r="M48" s="7" t="s">
        <x:v>378</x:v>
      </x:c>
      <x:c r="N48" s="7" t="s">
        <x:v>379</x:v>
      </x:c>
      <x:c r="O48" s="12" t="s">
        <x:v>103</x:v>
      </x:c>
    </x:row>
    <x:row r="49" ht="24">
      <x:c r="A49" s="11" t="s">
        <x:v>29</x:v>
      </x:c>
      <x:c r="B49" s="7" t="s">
        <x:v>106</x:v>
      </x:c>
      <x:c r="C49" s="7" t="s">
        <x:v>107</x:v>
      </x:c>
      <x:c r="D49" s="7" t="s">
        <x:v>374</x:v>
      </x:c>
      <x:c r="E49" s="7" t="s">
        <x:v>380</x:v>
      </x:c>
      <x:c r="F49" s="7" t="s">
        <x:v>381</x:v>
      </x:c>
      <x:c r="G49" s="7" t="s">
        <x:v>194</x:v>
      </x:c>
      <x:c r="H49" s="7" t="s">
        <x:v>341</x:v>
      </x:c>
      <x:c r="I49" s="47">
        <x:v>1</x:v>
      </x:c>
      <x:c r="J49" s="47">
        <x:v>2.2000000000000002</x:v>
      </x:c>
      <x:c r="K49" s="47" t="n">
        <x:f>J49*Parametros!$B$9</x:f>
        <x:v>1.54</x:v>
      </x:c>
      <x:c r="L49" s="7" t="s">
        <x:v>382</x:v>
      </x:c>
      <x:c r="M49" s="7" t="s">
        <x:v>383</x:v>
      </x:c>
      <x:c r="N49" s="7" t="s">
        <x:v>366</x:v>
      </x:c>
      <x:c r="O49" s="12" t="s">
        <x:v>103</x:v>
      </x:c>
    </x:row>
    <x:row r="50" ht="24">
      <x:c r="A50" s="11" t="s">
        <x:v>29</x:v>
      </x:c>
      <x:c r="B50" s="7" t="s">
        <x:v>106</x:v>
      </x:c>
      <x:c r="C50" s="7" t="s">
        <x:v>107</x:v>
      </x:c>
      <x:c r="D50" s="7" t="s">
        <x:v>374</x:v>
      </x:c>
      <x:c r="E50" s="7" t="s">
        <x:v>384</x:v>
      </x:c>
      <x:c r="F50" s="7" t="s">
        <x:v>385</x:v>
      </x:c>
      <x:c r="G50" s="7" t="s">
        <x:v>194</x:v>
      </x:c>
      <x:c r="H50" s="7" t="s">
        <x:v>386</x:v>
      </x:c>
      <x:c r="I50" s="47">
        <x:v>1</x:v>
      </x:c>
      <x:c r="J50" s="47">
        <x:v>2</x:v>
      </x:c>
      <x:c r="K50" s="47" t="n">
        <x:f>J50*Parametros!$B$9</x:f>
        <x:v>1.4</x:v>
      </x:c>
      <x:c r="L50" s="7" t="s">
        <x:v>387</x:v>
      </x:c>
      <x:c r="M50" s="7" t="s">
        <x:v>388</x:v>
      </x:c>
      <x:c r="N50" s="7" t="s">
        <x:v>366</x:v>
      </x:c>
      <x:c r="O50" s="12" t="s">
        <x:v>103</x:v>
      </x:c>
    </x:row>
    <x:row r="51">
      <x:c r="A51" s="11" t="s">
        <x:v>29</x:v>
      </x:c>
      <x:c r="B51" s="7" t="s">
        <x:v>106</x:v>
      </x:c>
      <x:c r="C51" s="7" t="s">
        <x:v>107</x:v>
      </x:c>
      <x:c r="D51" s="7" t="s">
        <x:v>389</x:v>
      </x:c>
      <x:c r="E51" s="7" t="s">
        <x:v>390</x:v>
      </x:c>
      <x:c r="F51" s="7" t="s">
        <x:v>391</x:v>
      </x:c>
      <x:c r="G51" s="7" t="s">
        <x:v>184</x:v>
      </x:c>
      <x:c r="H51" s="7" t="s">
        <x:v>392</x:v>
      </x:c>
      <x:c r="I51" s="47">
        <x:v>1</x:v>
      </x:c>
      <x:c r="J51" s="47">
        <x:v>2</x:v>
      </x:c>
      <x:c r="K51" s="47" t="n">
        <x:f>J51*Parametros!$B$9</x:f>
        <x:v>1.4</x:v>
      </x:c>
      <x:c r="L51" s="7" t="s">
        <x:v>393</x:v>
      </x:c>
      <x:c r="M51" s="7" t="s">
        <x:v>394</x:v>
      </x:c>
      <x:c r="N51" s="7" t="s">
        <x:v>366</x:v>
      </x:c>
      <x:c r="O51" s="12" t="s">
        <x:v>103</x:v>
      </x:c>
    </x:row>
    <x:row r="52" ht="24">
      <x:c r="A52" s="11" t="s">
        <x:v>29</x:v>
      </x:c>
      <x:c r="B52" s="7" t="s">
        <x:v>106</x:v>
      </x:c>
      <x:c r="C52" s="7" t="s">
        <x:v>107</x:v>
      </x:c>
      <x:c r="D52" s="7" t="s">
        <x:v>389</x:v>
      </x:c>
      <x:c r="E52" s="7" t="s">
        <x:v>395</x:v>
      </x:c>
      <x:c r="F52" s="7" t="s">
        <x:v>396</x:v>
      </x:c>
      <x:c r="G52" s="7" t="s">
        <x:v>184</x:v>
      </x:c>
      <x:c r="H52" s="7" t="s">
        <x:v>397</x:v>
      </x:c>
      <x:c r="I52" s="47">
        <x:v>2</x:v>
      </x:c>
      <x:c r="J52" s="47">
        <x:v>1</x:v>
      </x:c>
      <x:c r="K52" s="47" t="n">
        <x:f>J52*Parametros!$B$9</x:f>
        <x:v>0.7</x:v>
      </x:c>
      <x:c r="L52" s="7" t="s">
        <x:v>398</x:v>
      </x:c>
      <x:c r="M52" s="7" t="s">
        <x:v>399</x:v>
      </x:c>
      <x:c r="N52" s="7" t="s">
        <x:v>366</x:v>
      </x:c>
      <x:c r="O52" s="12" t="s">
        <x:v>103</x:v>
      </x:c>
    </x:row>
    <x:row r="53" ht="24">
      <x:c r="A53" s="11" t="s">
        <x:v>29</x:v>
      </x:c>
      <x:c r="B53" s="7" t="s">
        <x:v>106</x:v>
      </x:c>
      <x:c r="C53" s="7" t="s">
        <x:v>107</x:v>
      </x:c>
      <x:c r="D53" s="7" t="s">
        <x:v>400</x:v>
      </x:c>
      <x:c r="E53" s="7" t="s">
        <x:v>401</x:v>
      </x:c>
      <x:c r="F53" s="7" t="s">
        <x:v>402</x:v>
      </x:c>
      <x:c r="G53" s="7" t="s">
        <x:v>162</x:v>
      </x:c>
      <x:c r="H53" s="7" t="s">
        <x:v>224</x:v>
      </x:c>
      <x:c r="I53" s="47">
        <x:v>1</x:v>
      </x:c>
      <x:c r="J53" s="47">
        <x:v>1</x:v>
      </x:c>
      <x:c r="K53" s="47" t="n">
        <x:f>J53*Parametros!$B$9</x:f>
        <x:v>0.7</x:v>
      </x:c>
      <x:c r="L53" s="7" t="s">
        <x:v>403</x:v>
      </x:c>
      <x:c r="M53" s="7" t="s">
        <x:v>404</x:v>
      </x:c>
      <x:c r="N53" s="7" t="s">
        <x:v>405</x:v>
      </x:c>
      <x:c r="O53" s="12" t="s">
        <x:v>103</x:v>
      </x:c>
    </x:row>
    <x:row r="54" ht="24">
      <x:c r="A54" s="11" t="s">
        <x:v>29</x:v>
      </x:c>
      <x:c r="B54" s="7" t="s">
        <x:v>106</x:v>
      </x:c>
      <x:c r="C54" s="7" t="s">
        <x:v>107</x:v>
      </x:c>
      <x:c r="D54" s="7" t="s">
        <x:v>240</x:v>
      </x:c>
      <x:c r="E54" s="7" t="s">
        <x:v>406</x:v>
      </x:c>
      <x:c r="F54" s="7" t="s">
        <x:v>407</x:v>
      </x:c>
      <x:c r="G54" s="7" t="s">
        <x:v>162</x:v>
      </x:c>
      <x:c r="H54" s="7" t="s">
        <x:v>224</x:v>
      </x:c>
      <x:c r="I54" s="47">
        <x:v>1</x:v>
      </x:c>
      <x:c r="J54" s="47">
        <x:v>2</x:v>
      </x:c>
      <x:c r="K54" s="47" t="n">
        <x:f>J54*Parametros!$B$9</x:f>
        <x:v>1.4</x:v>
      </x:c>
      <x:c r="L54" s="7" t="s">
        <x:v>408</x:v>
      </x:c>
      <x:c r="M54" s="7" t="s">
        <x:v>409</x:v>
      </x:c>
      <x:c r="N54" s="7" t="s">
        <x:v>410</x:v>
      </x:c>
      <x:c r="O54" s="12" t="s">
        <x:v>103</x:v>
      </x:c>
    </x:row>
    <x:row r="55" ht="24">
      <x:c r="A55" s="11" t="s">
        <x:v>29</x:v>
      </x:c>
      <x:c r="B55" s="7" t="s">
        <x:v>106</x:v>
      </x:c>
      <x:c r="C55" s="7" t="s">
        <x:v>107</x:v>
      </x:c>
      <x:c r="D55" s="7" t="s">
        <x:v>355</x:v>
      </x:c>
      <x:c r="E55" s="7" t="s">
        <x:v>411</x:v>
      </x:c>
      <x:c r="F55" s="7" t="s">
        <x:v>412</x:v>
      </x:c>
      <x:c r="G55" s="7" t="s">
        <x:v>162</x:v>
      </x:c>
      <x:c r="H55" s="7" t="s">
        <x:v>224</x:v>
      </x:c>
      <x:c r="I55" s="47">
        <x:v>1</x:v>
      </x:c>
      <x:c r="J55" s="47">
        <x:v>1.5</x:v>
      </x:c>
      <x:c r="K55" s="47" t="n">
        <x:f>J55*Parametros!$B$9</x:f>
        <x:v>1.0499999999999998</x:v>
      </x:c>
      <x:c r="L55" s="7" t="s">
        <x:v>413</x:v>
      </x:c>
      <x:c r="M55" s="7" t="s">
        <x:v>414</x:v>
      </x:c>
      <x:c r="N55" s="7" t="s">
        <x:v>406</x:v>
      </x:c>
      <x:c r="O55" s="12" t="s">
        <x:v>103</x:v>
      </x:c>
    </x:row>
    <x:row r="56">
      <x:c r="A56" s="11" t="s">
        <x:v>33</x:v>
      </x:c>
      <x:c r="B56" s="7" t="s">
        <x:v>108</x:v>
      </x:c>
      <x:c r="C56" s="7" t="s">
        <x:v>109</x:v>
      </x:c>
      <x:c r="D56" s="7" t="s">
        <x:v>415</x:v>
      </x:c>
      <x:c r="E56" s="7" t="s">
        <x:v>416</x:v>
      </x:c>
      <x:c r="F56" s="7" t="s">
        <x:v>417</x:v>
      </x:c>
      <x:c r="G56" s="7" t="s">
        <x:v>162</x:v>
      </x:c>
      <x:c r="H56" s="7" t="s">
        <x:v>418</x:v>
      </x:c>
      <x:c r="I56" s="47">
        <x:v>1</x:v>
      </x:c>
      <x:c r="J56" s="47">
        <x:v>0.5</x:v>
      </x:c>
      <x:c r="K56" s="47" t="n">
        <x:f>J56*Parametros!$B$9</x:f>
        <x:v>0.35</x:v>
      </x:c>
      <x:c r="L56" s="7" t="s">
        <x:v>419</x:v>
      </x:c>
      <x:c r="M56" s="7"/>
      <x:c r="N56" s="7"/>
      <x:c r="O56" s="12" t="s">
        <x:v>103</x:v>
      </x:c>
    </x:row>
    <x:row r="57">
      <x:c r="A57" s="11" t="s">
        <x:v>33</x:v>
      </x:c>
      <x:c r="B57" s="7" t="s">
        <x:v>108</x:v>
      </x:c>
      <x:c r="C57" s="7" t="s">
        <x:v>109</x:v>
      </x:c>
      <x:c r="D57" s="7" t="s">
        <x:v>420</x:v>
      </x:c>
      <x:c r="E57" s="7" t="s">
        <x:v>421</x:v>
      </x:c>
      <x:c r="F57" s="7" t="s">
        <x:v>422</x:v>
      </x:c>
      <x:c r="G57" s="7" t="s">
        <x:v>162</x:v>
      </x:c>
      <x:c r="H57" s="7" t="s">
        <x:v>418</x:v>
      </x:c>
      <x:c r="I57" s="47">
        <x:v>1</x:v>
      </x:c>
      <x:c r="J57" s="47">
        <x:v>0.5</x:v>
      </x:c>
      <x:c r="K57" s="47" t="n">
        <x:f>J57*Parametros!$B$9</x:f>
        <x:v>0.35</x:v>
      </x:c>
      <x:c r="L57" s="7" t="s">
        <x:v>423</x:v>
      </x:c>
      <x:c r="M57" s="7"/>
      <x:c r="N57" s="7" t="s">
        <x:v>416</x:v>
      </x:c>
      <x:c r="O57" s="12" t="s">
        <x:v>103</x:v>
      </x:c>
    </x:row>
    <x:row r="58">
      <x:c r="A58" s="11" t="s">
        <x:v>33</x:v>
      </x:c>
      <x:c r="B58" s="7" t="s">
        <x:v>108</x:v>
      </x:c>
      <x:c r="C58" s="7" t="s">
        <x:v>109</x:v>
      </x:c>
      <x:c r="D58" s="7" t="s">
        <x:v>424</x:v>
      </x:c>
      <x:c r="E58" s="7" t="s">
        <x:v>425</x:v>
      </x:c>
      <x:c r="F58" s="7" t="s">
        <x:v>426</x:v>
      </x:c>
      <x:c r="G58" s="7" t="s">
        <x:v>162</x:v>
      </x:c>
      <x:c r="H58" s="7" t="s">
        <x:v>418</x:v>
      </x:c>
      <x:c r="I58" s="47">
        <x:v>1</x:v>
      </x:c>
      <x:c r="J58" s="47">
        <x:v>1.5</x:v>
      </x:c>
      <x:c r="K58" s="47" t="n">
        <x:f>J58*Parametros!$B$9</x:f>
        <x:v>1.0499999999999998</x:v>
      </x:c>
      <x:c r="L58" s="7" t="s">
        <x:v>427</x:v>
      </x:c>
      <x:c r="M58" s="7"/>
      <x:c r="N58" s="7" t="s">
        <x:v>416</x:v>
      </x:c>
      <x:c r="O58" s="12" t="s">
        <x:v>103</x:v>
      </x:c>
    </x:row>
    <x:row r="59">
      <x:c r="A59" s="11" t="s">
        <x:v>33</x:v>
      </x:c>
      <x:c r="B59" s="7" t="s">
        <x:v>108</x:v>
      </x:c>
      <x:c r="C59" s="7" t="s">
        <x:v>109</x:v>
      </x:c>
      <x:c r="D59" s="7" t="s">
        <x:v>424</x:v>
      </x:c>
      <x:c r="E59" s="7" t="s">
        <x:v>428</x:v>
      </x:c>
      <x:c r="F59" s="7" t="s">
        <x:v>429</x:v>
      </x:c>
      <x:c r="G59" s="7" t="s">
        <x:v>162</x:v>
      </x:c>
      <x:c r="H59" s="7" t="s">
        <x:v>418</x:v>
      </x:c>
      <x:c r="I59" s="47">
        <x:v>1</x:v>
      </x:c>
      <x:c r="J59" s="47">
        <x:v>2</x:v>
      </x:c>
      <x:c r="K59" s="47" t="n">
        <x:f>J59*Parametros!$B$9</x:f>
        <x:v>1.4</x:v>
      </x:c>
      <x:c r="L59" s="7" t="s">
        <x:v>430</x:v>
      </x:c>
      <x:c r="M59" s="7"/>
      <x:c r="N59" s="7" t="s">
        <x:v>425</x:v>
      </x:c>
      <x:c r="O59" s="12" t="s">
        <x:v>103</x:v>
      </x:c>
    </x:row>
    <x:row r="60">
      <x:c r="A60" s="11" t="s">
        <x:v>33</x:v>
      </x:c>
      <x:c r="B60" s="7" t="s">
        <x:v>108</x:v>
      </x:c>
      <x:c r="C60" s="7" t="s">
        <x:v>109</x:v>
      </x:c>
      <x:c r="D60" s="7" t="s">
        <x:v>424</x:v>
      </x:c>
      <x:c r="E60" s="7" t="s">
        <x:v>431</x:v>
      </x:c>
      <x:c r="F60" s="7" t="s">
        <x:v>432</x:v>
      </x:c>
      <x:c r="G60" s="7" t="s">
        <x:v>162</x:v>
      </x:c>
      <x:c r="H60" s="7" t="s">
        <x:v>418</x:v>
      </x:c>
      <x:c r="I60" s="47">
        <x:v>1</x:v>
      </x:c>
      <x:c r="J60" s="47">
        <x:v>1.5</x:v>
      </x:c>
      <x:c r="K60" s="47" t="n">
        <x:f>J60*Parametros!$B$9</x:f>
        <x:v>1.0499999999999998</x:v>
      </x:c>
      <x:c r="L60" s="7" t="s">
        <x:v>433</x:v>
      </x:c>
      <x:c r="M60" s="7"/>
      <x:c r="N60" s="7" t="s">
        <x:v>428</x:v>
      </x:c>
      <x:c r="O60" s="12" t="s">
        <x:v>103</x:v>
      </x:c>
    </x:row>
    <x:row r="61">
      <x:c r="A61" s="11" t="s">
        <x:v>33</x:v>
      </x:c>
      <x:c r="B61" s="7" t="s">
        <x:v>108</x:v>
      </x:c>
      <x:c r="C61" s="7" t="s">
        <x:v>109</x:v>
      </x:c>
      <x:c r="D61" s="7" t="s">
        <x:v>159</x:v>
      </x:c>
      <x:c r="E61" s="7" t="s">
        <x:v>434</x:v>
      </x:c>
      <x:c r="F61" s="7" t="s">
        <x:v>435</x:v>
      </x:c>
      <x:c r="G61" s="7" t="s">
        <x:v>162</x:v>
      </x:c>
      <x:c r="H61" s="7" t="s">
        <x:v>436</x:v>
      </x:c>
      <x:c r="I61" s="47">
        <x:v>1</x:v>
      </x:c>
      <x:c r="J61" s="47">
        <x:v>1</x:v>
      </x:c>
      <x:c r="K61" s="47" t="n">
        <x:f>J61*Parametros!$B$9</x:f>
        <x:v>0.7</x:v>
      </x:c>
      <x:c r="L61" s="7" t="s">
        <x:v>437</x:v>
      </x:c>
      <x:c r="M61" s="7"/>
      <x:c r="N61" s="7" t="s">
        <x:v>431</x:v>
      </x:c>
      <x:c r="O61" s="12" t="s">
        <x:v>103</x:v>
      </x:c>
    </x:row>
    <x:row r="62">
      <x:c r="A62" s="11" t="s">
        <x:v>33</x:v>
      </x:c>
      <x:c r="B62" s="7" t="s">
        <x:v>108</x:v>
      </x:c>
      <x:c r="C62" s="7" t="s">
        <x:v>109</x:v>
      </x:c>
      <x:c r="D62" s="7" t="s">
        <x:v>438</x:v>
      </x:c>
      <x:c r="E62" s="7" t="s">
        <x:v>439</x:v>
      </x:c>
      <x:c r="F62" s="7" t="s">
        <x:v>440</x:v>
      </x:c>
      <x:c r="G62" s="7" t="s">
        <x:v>184</x:v>
      </x:c>
      <x:c r="H62" s="7" t="s">
        <x:v>436</x:v>
      </x:c>
      <x:c r="I62" s="47">
        <x:v>1</x:v>
      </x:c>
      <x:c r="J62" s="47">
        <x:v>2</x:v>
      </x:c>
      <x:c r="K62" s="47" t="n">
        <x:f>J62*Parametros!$B$9</x:f>
        <x:v>1.4</x:v>
      </x:c>
      <x:c r="L62" s="7" t="s">
        <x:v>441</x:v>
      </x:c>
      <x:c r="M62" s="7" t="s">
        <x:v>442</x:v>
      </x:c>
      <x:c r="N62" s="7" t="s">
        <x:v>434</x:v>
      </x:c>
      <x:c r="O62" s="12" t="s">
        <x:v>103</x:v>
      </x:c>
    </x:row>
    <x:row r="63">
      <x:c r="A63" s="11" t="s">
        <x:v>33</x:v>
      </x:c>
      <x:c r="B63" s="7" t="s">
        <x:v>108</x:v>
      </x:c>
      <x:c r="C63" s="7" t="s">
        <x:v>109</x:v>
      </x:c>
      <x:c r="D63" s="7" t="s">
        <x:v>438</x:v>
      </x:c>
      <x:c r="E63" s="7" t="s">
        <x:v>443</x:v>
      </x:c>
      <x:c r="F63" s="7" t="s">
        <x:v>444</x:v>
      </x:c>
      <x:c r="G63" s="7" t="s">
        <x:v>194</x:v>
      </x:c>
      <x:c r="H63" s="7" t="s">
        <x:v>436</x:v>
      </x:c>
      <x:c r="I63" s="47">
        <x:v>2</x:v>
      </x:c>
      <x:c r="J63" s="47">
        <x:v>4</x:v>
      </x:c>
      <x:c r="K63" s="47" t="n">
        <x:f>J63*Parametros!$B$9</x:f>
        <x:v>2.8</x:v>
      </x:c>
      <x:c r="L63" s="7" t="s">
        <x:v>445</x:v>
      </x:c>
      <x:c r="M63" s="7" t="s">
        <x:v>446</x:v>
      </x:c>
      <x:c r="N63" s="7" t="s">
        <x:v>434</x:v>
      </x:c>
      <x:c r="O63" s="12" t="s">
        <x:v>103</x:v>
      </x:c>
    </x:row>
    <x:row r="64">
      <x:c r="A64" s="11" t="s">
        <x:v>33</x:v>
      </x:c>
      <x:c r="B64" s="7" t="s">
        <x:v>108</x:v>
      </x:c>
      <x:c r="C64" s="7" t="s">
        <x:v>109</x:v>
      </x:c>
      <x:c r="D64" s="7" t="s">
        <x:v>344</x:v>
      </x:c>
      <x:c r="E64" s="7" t="s">
        <x:v>447</x:v>
      </x:c>
      <x:c r="F64" s="7" t="s">
        <x:v>448</x:v>
      </x:c>
      <x:c r="G64" s="7" t="s">
        <x:v>194</x:v>
      </x:c>
      <x:c r="H64" s="7" t="s">
        <x:v>347</x:v>
      </x:c>
      <x:c r="I64" s="47">
        <x:v>2</x:v>
      </x:c>
      <x:c r="J64" s="47">
        <x:v>2.5</x:v>
      </x:c>
      <x:c r="K64" s="47" t="n">
        <x:f>J64*Parametros!$B$9</x:f>
        <x:v>1.75</x:v>
      </x:c>
      <x:c r="L64" s="7" t="s">
        <x:v>449</x:v>
      </x:c>
      <x:c r="M64" s="7" t="s">
        <x:v>450</x:v>
      </x:c>
      <x:c r="N64" s="7" t="s">
        <x:v>434</x:v>
      </x:c>
      <x:c r="O64" s="12" t="s">
        <x:v>103</x:v>
      </x:c>
    </x:row>
    <x:row r="65">
      <x:c r="A65" s="11" t="s">
        <x:v>33</x:v>
      </x:c>
      <x:c r="B65" s="7" t="s">
        <x:v>108</x:v>
      </x:c>
      <x:c r="C65" s="7" t="s">
        <x:v>109</x:v>
      </x:c>
      <x:c r="D65" s="7" t="s">
        <x:v>240</x:v>
      </x:c>
      <x:c r="E65" s="7" t="s">
        <x:v>451</x:v>
      </x:c>
      <x:c r="F65" s="7" t="s">
        <x:v>452</x:v>
      </x:c>
      <x:c r="G65" s="7" t="s">
        <x:v>162</x:v>
      </x:c>
      <x:c r="H65" s="7" t="s">
        <x:v>453</x:v>
      </x:c>
      <x:c r="I65" s="47">
        <x:v>1</x:v>
      </x:c>
      <x:c r="J65" s="47">
        <x:v>1</x:v>
      </x:c>
      <x:c r="K65" s="47" t="n">
        <x:f>J65*Parametros!$B$9</x:f>
        <x:v>0.7</x:v>
      </x:c>
      <x:c r="L65" s="7" t="s">
        <x:v>454</x:v>
      </x:c>
      <x:c r="M65" s="7"/>
      <x:c r="N65" s="7" t="s">
        <x:v>439</x:v>
      </x:c>
      <x:c r="O65" s="12" t="s">
        <x:v>103</x:v>
      </x:c>
    </x:row>
    <x:row r="66">
      <x:c r="A66" s="11" t="s">
        <x:v>33</x:v>
      </x:c>
      <x:c r="B66" s="7" t="s">
        <x:v>108</x:v>
      </x:c>
      <x:c r="C66" s="7" t="s">
        <x:v>109</x:v>
      </x:c>
      <x:c r="D66" s="7" t="s">
        <x:v>240</x:v>
      </x:c>
      <x:c r="E66" s="7" t="s">
        <x:v>455</x:v>
      </x:c>
      <x:c r="F66" s="7" t="s">
        <x:v>456</x:v>
      </x:c>
      <x:c r="G66" s="7" t="s">
        <x:v>162</x:v>
      </x:c>
      <x:c r="H66" s="7" t="s">
        <x:v>453</x:v>
      </x:c>
      <x:c r="I66" s="47">
        <x:v>3</x:v>
      </x:c>
      <x:c r="J66" s="47">
        <x:v>0.75</x:v>
      </x:c>
      <x:c r="K66" s="47" t="n">
        <x:f>J66*Parametros!$B$9</x:f>
        <x:v>0.5249999999999999</x:v>
      </x:c>
      <x:c r="L66" s="7" t="s">
        <x:v>457</x:v>
      </x:c>
      <x:c r="M66" s="7"/>
      <x:c r="N66" s="7" t="s">
        <x:v>451</x:v>
      </x:c>
      <x:c r="O66" s="12" t="s">
        <x:v>103</x:v>
      </x:c>
    </x:row>
    <x:row r="67">
      <x:c r="A67" s="11" t="s">
        <x:v>33</x:v>
      </x:c>
      <x:c r="B67" s="7" t="s">
        <x:v>108</x:v>
      </x:c>
      <x:c r="C67" s="7" t="s">
        <x:v>109</x:v>
      </x:c>
      <x:c r="D67" s="7" t="s">
        <x:v>355</x:v>
      </x:c>
      <x:c r="E67" s="7" t="s">
        <x:v>458</x:v>
      </x:c>
      <x:c r="F67" s="7" t="s">
        <x:v>459</x:v>
      </x:c>
      <x:c r="G67" s="7" t="s">
        <x:v>162</x:v>
      </x:c>
      <x:c r="H67" s="7" t="s">
        <x:v>358</x:v>
      </x:c>
      <x:c r="I67" s="47">
        <x:v>1</x:v>
      </x:c>
      <x:c r="J67" s="47">
        <x:v>1.5</x:v>
      </x:c>
      <x:c r="K67" s="47" t="n">
        <x:f>J67*Parametros!$B$9</x:f>
        <x:v>1.0499999999999998</x:v>
      </x:c>
      <x:c r="L67" s="7" t="s">
        <x:v>460</x:v>
      </x:c>
      <x:c r="M67" s="7"/>
      <x:c r="N67" s="7" t="s">
        <x:v>455</x:v>
      </x:c>
      <x:c r="O67" s="12" t="s">
        <x:v>103</x:v>
      </x:c>
    </x:row>
    <x:row r="68">
      <x:c r="A68" s="11" t="s">
        <x:v>33</x:v>
      </x:c>
      <x:c r="B68" s="7" t="s">
        <x:v>108</x:v>
      </x:c>
      <x:c r="C68" s="7" t="s">
        <x:v>109</x:v>
      </x:c>
      <x:c r="D68" s="7" t="s">
        <x:v>461</x:v>
      </x:c>
      <x:c r="E68" s="7" t="s">
        <x:v>462</x:v>
      </x:c>
      <x:c r="F68" s="7" t="s">
        <x:v>463</x:v>
      </x:c>
      <x:c r="G68" s="7" t="s">
        <x:v>184</x:v>
      </x:c>
      <x:c r="H68" s="7" t="s">
        <x:v>464</x:v>
      </x:c>
      <x:c r="I68" s="47">
        <x:v>1</x:v>
      </x:c>
      <x:c r="J68" s="47">
        <x:v>1</x:v>
      </x:c>
      <x:c r="K68" s="47" t="n">
        <x:f>J68*Parametros!$B$9</x:f>
        <x:v>0.7</x:v>
      </x:c>
      <x:c r="L68" s="7" t="s">
        <x:v>465</x:v>
      </x:c>
      <x:c r="M68" s="7"/>
      <x:c r="N68" s="7" t="s">
        <x:v>458</x:v>
      </x:c>
      <x:c r="O68" s="12" t="s">
        <x:v>103</x:v>
      </x:c>
    </x:row>
    <x:row r="69">
      <x:c r="A69" s="11" t="s">
        <x:v>33</x:v>
      </x:c>
      <x:c r="B69" s="7" t="s">
        <x:v>108</x:v>
      </x:c>
      <x:c r="C69" s="7" t="s">
        <x:v>109</x:v>
      </x:c>
      <x:c r="D69" s="7" t="s">
        <x:v>361</x:v>
      </x:c>
      <x:c r="E69" s="7" t="s">
        <x:v>466</x:v>
      </x:c>
      <x:c r="F69" s="7" t="s">
        <x:v>467</x:v>
      </x:c>
      <x:c r="G69" s="7" t="s">
        <x:v>162</x:v>
      </x:c>
      <x:c r="H69" s="7" t="s">
        <x:v>418</x:v>
      </x:c>
      <x:c r="I69" s="47">
        <x:v>1</x:v>
      </x:c>
      <x:c r="J69" s="47">
        <x:v>0.75</x:v>
      </x:c>
      <x:c r="K69" s="47" t="n">
        <x:f>J69*Parametros!$B$9</x:f>
        <x:v>0.5249999999999999</x:v>
      </x:c>
      <x:c r="L69" s="7" t="s">
        <x:v>468</x:v>
      </x:c>
      <x:c r="M69" s="7"/>
      <x:c r="N69" s="7"/>
      <x:c r="O69" s="12" t="s">
        <x:v>103</x:v>
      </x:c>
    </x:row>
    <x:row r="70">
      <x:c r="A70" s="11" t="s">
        <x:v>33</x:v>
      </x:c>
      <x:c r="B70" s="7" t="s">
        <x:v>110</x:v>
      </x:c>
      <x:c r="C70" s="7" t="s">
        <x:v>111</x:v>
      </x:c>
      <x:c r="D70" s="7" t="s">
        <x:v>469</x:v>
      </x:c>
      <x:c r="E70" s="7" t="s">
        <x:v>470</x:v>
      </x:c>
      <x:c r="F70" s="7" t="s">
        <x:v>471</x:v>
      </x:c>
      <x:c r="G70" s="7" t="s">
        <x:v>162</x:v>
      </x:c>
      <x:c r="H70" s="7" t="s">
        <x:v>326</x:v>
      </x:c>
      <x:c r="I70" s="47">
        <x:v>1</x:v>
      </x:c>
      <x:c r="J70" s="47">
        <x:v>1.5</x:v>
      </x:c>
      <x:c r="K70" s="47" t="n">
        <x:f>J70*Parametros!$B$9</x:f>
        <x:v>1.0499999999999998</x:v>
      </x:c>
      <x:c r="L70" s="7" t="s">
        <x:v>472</x:v>
      </x:c>
      <x:c r="M70" s="7"/>
      <x:c r="N70" s="7"/>
      <x:c r="O70" s="12" t="s">
        <x:v>103</x:v>
      </x:c>
    </x:row>
    <x:row r="71">
      <x:c r="A71" s="11" t="s">
        <x:v>33</x:v>
      </x:c>
      <x:c r="B71" s="7" t="s">
        <x:v>110</x:v>
      </x:c>
      <x:c r="C71" s="7" t="s">
        <x:v>111</x:v>
      </x:c>
      <x:c r="D71" s="7" t="s">
        <x:v>473</x:v>
      </x:c>
      <x:c r="E71" s="7" t="s">
        <x:v>474</x:v>
      </x:c>
      <x:c r="F71" s="7" t="s">
        <x:v>475</x:v>
      </x:c>
      <x:c r="G71" s="7" t="s">
        <x:v>162</x:v>
      </x:c>
      <x:c r="H71" s="7" t="s">
        <x:v>326</x:v>
      </x:c>
      <x:c r="I71" s="47">
        <x:v>1</x:v>
      </x:c>
      <x:c r="J71" s="47">
        <x:v>2.5</x:v>
      </x:c>
      <x:c r="K71" s="47" t="n">
        <x:f>J71*Parametros!$B$9</x:f>
        <x:v>1.75</x:v>
      </x:c>
      <x:c r="L71" s="7" t="s">
        <x:v>476</x:v>
      </x:c>
      <x:c r="M71" s="7"/>
      <x:c r="N71" s="7" t="s">
        <x:v>470</x:v>
      </x:c>
      <x:c r="O71" s="12" t="s">
        <x:v>103</x:v>
      </x:c>
    </x:row>
    <x:row r="72">
      <x:c r="A72" s="11" t="s">
        <x:v>33</x:v>
      </x:c>
      <x:c r="B72" s="7" t="s">
        <x:v>110</x:v>
      </x:c>
      <x:c r="C72" s="7" t="s">
        <x:v>111</x:v>
      </x:c>
      <x:c r="D72" s="7" t="s">
        <x:v>477</x:v>
      </x:c>
      <x:c r="E72" s="7" t="s">
        <x:v>478</x:v>
      </x:c>
      <x:c r="F72" s="7" t="s">
        <x:v>479</x:v>
      </x:c>
      <x:c r="G72" s="7" t="s">
        <x:v>162</x:v>
      </x:c>
      <x:c r="H72" s="7" t="s">
        <x:v>326</x:v>
      </x:c>
      <x:c r="I72" s="47">
        <x:v>1</x:v>
      </x:c>
      <x:c r="J72" s="47">
        <x:v>1.5</x:v>
      </x:c>
      <x:c r="K72" s="47" t="n">
        <x:f>J72*Parametros!$B$9</x:f>
        <x:v>1.0499999999999998</x:v>
      </x:c>
      <x:c r="L72" s="7" t="s">
        <x:v>480</x:v>
      </x:c>
      <x:c r="M72" s="7"/>
      <x:c r="N72" s="7" t="s">
        <x:v>470</x:v>
      </x:c>
      <x:c r="O72" s="12" t="s">
        <x:v>103</x:v>
      </x:c>
    </x:row>
    <x:row r="73">
      <x:c r="A73" s="11" t="s">
        <x:v>33</x:v>
      </x:c>
      <x:c r="B73" s="7" t="s">
        <x:v>110</x:v>
      </x:c>
      <x:c r="C73" s="7" t="s">
        <x:v>111</x:v>
      </x:c>
      <x:c r="D73" s="7" t="s">
        <x:v>481</x:v>
      </x:c>
      <x:c r="E73" s="7" t="s">
        <x:v>482</x:v>
      </x:c>
      <x:c r="F73" s="7" t="s">
        <x:v>483</x:v>
      </x:c>
      <x:c r="G73" s="7" t="s">
        <x:v>162</x:v>
      </x:c>
      <x:c r="H73" s="7" t="s">
        <x:v>329</x:v>
      </x:c>
      <x:c r="I73" s="47">
        <x:v>1</x:v>
      </x:c>
      <x:c r="J73" s="47">
        <x:v>2</x:v>
      </x:c>
      <x:c r="K73" s="47" t="n">
        <x:f>J73*Parametros!$B$9</x:f>
        <x:v>1.4</x:v>
      </x:c>
      <x:c r="L73" s="7" t="s">
        <x:v>484</x:v>
      </x:c>
      <x:c r="M73" s="7"/>
      <x:c r="N73" s="7" t="s">
        <x:v>478</x:v>
      </x:c>
      <x:c r="O73" s="12" t="s">
        <x:v>103</x:v>
      </x:c>
    </x:row>
    <x:row r="74">
      <x:c r="A74" s="11" t="s">
        <x:v>33</x:v>
      </x:c>
      <x:c r="B74" s="7" t="s">
        <x:v>110</x:v>
      </x:c>
      <x:c r="C74" s="7" t="s">
        <x:v>111</x:v>
      </x:c>
      <x:c r="D74" s="7" t="s">
        <x:v>481</x:v>
      </x:c>
      <x:c r="E74" s="7" t="s">
        <x:v>485</x:v>
      </x:c>
      <x:c r="F74" s="7" t="s">
        <x:v>486</x:v>
      </x:c>
      <x:c r="G74" s="7" t="s">
        <x:v>184</x:v>
      </x:c>
      <x:c r="H74" s="7" t="s">
        <x:v>290</x:v>
      </x:c>
      <x:c r="I74" s="47">
        <x:v>2</x:v>
      </x:c>
      <x:c r="J74" s="47">
        <x:v>1</x:v>
      </x:c>
      <x:c r="K74" s="47" t="n">
        <x:f>J74*Parametros!$B$9</x:f>
        <x:v>0.7</x:v>
      </x:c>
      <x:c r="L74" s="7" t="s">
        <x:v>487</x:v>
      </x:c>
      <x:c r="M74" s="7"/>
      <x:c r="N74" s="7" t="s">
        <x:v>482</x:v>
      </x:c>
      <x:c r="O74" s="12" t="s">
        <x:v>103</x:v>
      </x:c>
    </x:row>
    <x:row r="75">
      <x:c r="A75" s="11" t="s">
        <x:v>33</x:v>
      </x:c>
      <x:c r="B75" s="7" t="s">
        <x:v>110</x:v>
      </x:c>
      <x:c r="C75" s="7" t="s">
        <x:v>111</x:v>
      </x:c>
      <x:c r="D75" s="7" t="s">
        <x:v>344</x:v>
      </x:c>
      <x:c r="E75" s="7" t="s">
        <x:v>488</x:v>
      </x:c>
      <x:c r="F75" s="7" t="s">
        <x:v>489</x:v>
      </x:c>
      <x:c r="G75" s="7" t="s">
        <x:v>194</x:v>
      </x:c>
      <x:c r="H75" s="7" t="s">
        <x:v>312</x:v>
      </x:c>
      <x:c r="I75" s="47">
        <x:v>1</x:v>
      </x:c>
      <x:c r="J75" s="47">
        <x:v>2.5</x:v>
      </x:c>
      <x:c r="K75" s="47" t="n">
        <x:f>J75*Parametros!$B$9</x:f>
        <x:v>1.75</x:v>
      </x:c>
      <x:c r="L75" s="7" t="s">
        <x:v>490</x:v>
      </x:c>
      <x:c r="M75" s="7"/>
      <x:c r="N75" s="7" t="s">
        <x:v>474</x:v>
      </x:c>
      <x:c r="O75" s="12" t="s">
        <x:v>103</x:v>
      </x:c>
    </x:row>
    <x:row r="76">
      <x:c r="A76" s="11" t="s">
        <x:v>33</x:v>
      </x:c>
      <x:c r="B76" s="7" t="s">
        <x:v>110</x:v>
      </x:c>
      <x:c r="C76" s="7" t="s">
        <x:v>111</x:v>
      </x:c>
      <x:c r="D76" s="7" t="s">
        <x:v>309</x:v>
      </x:c>
      <x:c r="E76" s="7" t="s">
        <x:v>491</x:v>
      </x:c>
      <x:c r="F76" s="7" t="s">
        <x:v>492</x:v>
      </x:c>
      <x:c r="G76" s="7" t="s">
        <x:v>184</x:v>
      </x:c>
      <x:c r="H76" s="7" t="s">
        <x:v>397</x:v>
      </x:c>
      <x:c r="I76" s="47">
        <x:v>2</x:v>
      </x:c>
      <x:c r="J76" s="47">
        <x:v>2</x:v>
      </x:c>
      <x:c r="K76" s="47" t="n">
        <x:f>J76*Parametros!$B$9</x:f>
        <x:v>1.4</x:v>
      </x:c>
      <x:c r="L76" s="7" t="s">
        <x:v>493</x:v>
      </x:c>
      <x:c r="M76" s="7"/>
      <x:c r="N76" s="7" t="s">
        <x:v>478</x:v>
      </x:c>
      <x:c r="O76" s="12" t="s">
        <x:v>103</x:v>
      </x:c>
    </x:row>
    <x:row r="77">
      <x:c r="A77" s="11" t="s">
        <x:v>33</x:v>
      </x:c>
      <x:c r="B77" s="7" t="s">
        <x:v>110</x:v>
      </x:c>
      <x:c r="C77" s="7" t="s">
        <x:v>111</x:v>
      </x:c>
      <x:c r="D77" s="7" t="s">
        <x:v>309</x:v>
      </x:c>
      <x:c r="E77" s="7" t="s">
        <x:v>494</x:v>
      </x:c>
      <x:c r="F77" s="7" t="s">
        <x:v>495</x:v>
      </x:c>
      <x:c r="G77" s="7" t="s">
        <x:v>184</x:v>
      </x:c>
      <x:c r="H77" s="7" t="s">
        <x:v>496</x:v>
      </x:c>
      <x:c r="I77" s="47">
        <x:v>1</x:v>
      </x:c>
      <x:c r="J77" s="47">
        <x:v>3</x:v>
      </x:c>
      <x:c r="K77" s="47" t="n">
        <x:f>J77*Parametros!$B$9</x:f>
        <x:v>2.0999999999999996</x:v>
      </x:c>
      <x:c r="L77" s="7" t="s">
        <x:v>497</x:v>
      </x:c>
      <x:c r="M77" s="7"/>
      <x:c r="N77" s="7" t="s">
        <x:v>488</x:v>
      </x:c>
      <x:c r="O77" s="12" t="s">
        <x:v>103</x:v>
      </x:c>
    </x:row>
    <x:row r="78">
      <x:c r="A78" s="11" t="s">
        <x:v>33</x:v>
      </x:c>
      <x:c r="B78" s="7" t="s">
        <x:v>110</x:v>
      </x:c>
      <x:c r="C78" s="7" t="s">
        <x:v>111</x:v>
      </x:c>
      <x:c r="D78" s="7" t="s">
        <x:v>293</x:v>
      </x:c>
      <x:c r="E78" s="7" t="s">
        <x:v>498</x:v>
      </x:c>
      <x:c r="F78" s="7" t="s">
        <x:v>499</x:v>
      </x:c>
      <x:c r="G78" s="7" t="s">
        <x:v>184</x:v>
      </x:c>
      <x:c r="H78" s="7" t="s">
        <x:v>290</x:v>
      </x:c>
      <x:c r="I78" s="47">
        <x:v>2</x:v>
      </x:c>
      <x:c r="J78" s="47">
        <x:v>3</x:v>
      </x:c>
      <x:c r="K78" s="47" t="n">
        <x:f>J78*Parametros!$B$9</x:f>
        <x:v>2.0999999999999996</x:v>
      </x:c>
      <x:c r="L78" s="7" t="s">
        <x:v>500</x:v>
      </x:c>
      <x:c r="M78" s="7"/>
      <x:c r="N78" s="7" t="s">
        <x:v>485</x:v>
      </x:c>
      <x:c r="O78" s="12" t="s">
        <x:v>103</x:v>
      </x:c>
    </x:row>
    <x:row r="79">
      <x:c r="A79" s="11" t="s">
        <x:v>33</x:v>
      </x:c>
      <x:c r="B79" s="7" t="s">
        <x:v>110</x:v>
      </x:c>
      <x:c r="C79" s="7" t="s">
        <x:v>111</x:v>
      </x:c>
      <x:c r="D79" s="7" t="s">
        <x:v>277</x:v>
      </x:c>
      <x:c r="E79" s="7" t="s">
        <x:v>501</x:v>
      </x:c>
      <x:c r="F79" s="7" t="s">
        <x:v>502</x:v>
      </x:c>
      <x:c r="G79" s="7" t="s">
        <x:v>184</x:v>
      </x:c>
      <x:c r="H79" s="7" t="s">
        <x:v>280</x:v>
      </x:c>
      <x:c r="I79" s="47">
        <x:v>2</x:v>
      </x:c>
      <x:c r="J79" s="47">
        <x:v>1</x:v>
      </x:c>
      <x:c r="K79" s="47" t="n">
        <x:f>J79*Parametros!$B$9</x:f>
        <x:v>0.7</x:v>
      </x:c>
      <x:c r="L79" s="7" t="s">
        <x:v>503</x:v>
      </x:c>
      <x:c r="M79" s="7"/>
      <x:c r="N79" s="7" t="s">
        <x:v>474</x:v>
      </x:c>
      <x:c r="O79" s="12" t="s">
        <x:v>103</x:v>
      </x:c>
    </x:row>
    <x:row r="80">
      <x:c r="A80" s="11" t="s">
        <x:v>33</x:v>
      </x:c>
      <x:c r="B80" s="7" t="s">
        <x:v>110</x:v>
      </x:c>
      <x:c r="C80" s="7" t="s">
        <x:v>111</x:v>
      </x:c>
      <x:c r="D80" s="7" t="s">
        <x:v>224</x:v>
      </x:c>
      <x:c r="E80" s="7" t="s">
        <x:v>504</x:v>
      </x:c>
      <x:c r="F80" s="7" t="s">
        <x:v>505</x:v>
      </x:c>
      <x:c r="G80" s="7" t="s">
        <x:v>194</x:v>
      </x:c>
      <x:c r="H80" s="7" t="s">
        <x:v>224</x:v>
      </x:c>
      <x:c r="I80" s="47">
        <x:v>0</x:v>
      </x:c>
      <x:c r="J80" s="47">
        <x:v>3</x:v>
      </x:c>
      <x:c r="K80" s="47" t="n">
        <x:f>J80*Parametros!$B$9</x:f>
        <x:v>2.0999999999999996</x:v>
      </x:c>
      <x:c r="L80" s="7" t="s">
        <x:v>506</x:v>
      </x:c>
      <x:c r="M80" s="7"/>
      <x:c r="N80" s="7"/>
      <x:c r="O80" s="12" t="s">
        <x:v>103</x:v>
      </x:c>
    </x:row>
    <x:row r="81">
      <x:c r="A81" s="11" t="s">
        <x:v>33</x:v>
      </x:c>
      <x:c r="B81" s="7" t="s">
        <x:v>110</x:v>
      </x:c>
      <x:c r="C81" s="7" t="s">
        <x:v>111</x:v>
      </x:c>
      <x:c r="D81" s="7" t="s">
        <x:v>240</x:v>
      </x:c>
      <x:c r="E81" s="7" t="s">
        <x:v>507</x:v>
      </x:c>
      <x:c r="F81" s="7" t="s">
        <x:v>508</x:v>
      </x:c>
      <x:c r="G81" s="7" t="s">
        <x:v>184</x:v>
      </x:c>
      <x:c r="H81" s="7" t="s">
        <x:v>453</x:v>
      </x:c>
      <x:c r="I81" s="47">
        <x:v>3</x:v>
      </x:c>
      <x:c r="J81" s="47">
        <x:v>1</x:v>
      </x:c>
      <x:c r="K81" s="47" t="n">
        <x:f>J81*Parametros!$B$9</x:f>
        <x:v>0.7</x:v>
      </x:c>
      <x:c r="L81" s="7" t="s">
        <x:v>509</x:v>
      </x:c>
      <x:c r="M81" s="7"/>
      <x:c r="N81" s="7" t="s">
        <x:v>491</x:v>
      </x:c>
      <x:c r="O81" s="12" t="s">
        <x:v>103</x:v>
      </x:c>
    </x:row>
    <x:row r="82">
      <x:c r="A82" s="11" t="s">
        <x:v>33</x:v>
      </x:c>
      <x:c r="B82" s="7" t="s">
        <x:v>110</x:v>
      </x:c>
      <x:c r="C82" s="7" t="s">
        <x:v>111</x:v>
      </x:c>
      <x:c r="D82" s="7" t="s">
        <x:v>240</x:v>
      </x:c>
      <x:c r="E82" s="7" t="s">
        <x:v>510</x:v>
      </x:c>
      <x:c r="F82" s="7" t="s">
        <x:v>511</x:v>
      </x:c>
      <x:c r="G82" s="7" t="s">
        <x:v>162</x:v>
      </x:c>
      <x:c r="H82" s="7" t="s">
        <x:v>163</x:v>
      </x:c>
      <x:c r="I82" s="47">
        <x:v>1</x:v>
      </x:c>
      <x:c r="J82" s="47">
        <x:v>3</x:v>
      </x:c>
      <x:c r="K82" s="47" t="n">
        <x:f>J82*Parametros!$B$9</x:f>
        <x:v>2.0999999999999996</x:v>
      </x:c>
      <x:c r="L82" s="7" t="s">
        <x:v>512</x:v>
      </x:c>
      <x:c r="M82" s="7"/>
      <x:c r="N82" s="7"/>
      <x:c r="O82" s="12" t="s">
        <x:v>103</x:v>
      </x:c>
    </x:row>
    <x:row r="83">
      <x:c r="A83" s="11" t="s">
        <x:v>33</x:v>
      </x:c>
      <x:c r="B83" s="7" t="s">
        <x:v>110</x:v>
      </x:c>
      <x:c r="C83" s="7" t="s">
        <x:v>111</x:v>
      </x:c>
      <x:c r="D83" s="7" t="s">
        <x:v>355</x:v>
      </x:c>
      <x:c r="E83" s="7" t="s">
        <x:v>513</x:v>
      </x:c>
      <x:c r="F83" s="7" t="s">
        <x:v>514</x:v>
      </x:c>
      <x:c r="G83" s="7" t="s">
        <x:v>162</x:v>
      </x:c>
      <x:c r="H83" s="7" t="s">
        <x:v>358</x:v>
      </x:c>
      <x:c r="I83" s="47">
        <x:v>1</x:v>
      </x:c>
      <x:c r="J83" s="47">
        <x:v>2</x:v>
      </x:c>
      <x:c r="K83" s="47" t="n">
        <x:f>J83*Parametros!$B$9</x:f>
        <x:v>1.4</x:v>
      </x:c>
      <x:c r="L83" s="7" t="s">
        <x:v>515</x:v>
      </x:c>
      <x:c r="M83" s="7"/>
      <x:c r="N83" s="7" t="s">
        <x:v>510</x:v>
      </x:c>
      <x:c r="O83" s="12" t="s">
        <x:v>103</x:v>
      </x:c>
    </x:row>
    <x:row r="84">
      <x:c r="A84" s="11" t="s">
        <x:v>33</x:v>
      </x:c>
      <x:c r="B84" s="7" t="s">
        <x:v>110</x:v>
      </x:c>
      <x:c r="C84" s="7" t="s">
        <x:v>111</x:v>
      </x:c>
      <x:c r="D84" s="7" t="s">
        <x:v>361</x:v>
      </x:c>
      <x:c r="E84" s="7" t="s">
        <x:v>516</x:v>
      </x:c>
      <x:c r="F84" s="7" t="s">
        <x:v>517</x:v>
      </x:c>
      <x:c r="G84" s="7" t="s">
        <x:v>184</x:v>
      </x:c>
      <x:c r="H84" s="7" t="s">
        <x:v>326</x:v>
      </x:c>
      <x:c r="I84" s="47">
        <x:v>1</x:v>
      </x:c>
      <x:c r="J84" s="47">
        <x:v>1.5</x:v>
      </x:c>
      <x:c r="K84" s="47" t="n">
        <x:f>J84*Parametros!$B$9</x:f>
        <x:v>1.0499999999999998</x:v>
      </x:c>
      <x:c r="L84" s="7" t="s">
        <x:v>518</x:v>
      </x:c>
      <x:c r="M84" s="7"/>
      <x:c r="N84" s="7"/>
      <x:c r="O84" s="12" t="s">
        <x:v>103</x:v>
      </x:c>
    </x:row>
    <x:row r="85">
      <x:c r="A85" s="11" t="s">
        <x:v>33</x:v>
      </x:c>
      <x:c r="B85" s="7" t="s">
        <x:v>112</x:v>
      </x:c>
      <x:c r="C85" s="7" t="s">
        <x:v>113</x:v>
      </x:c>
      <x:c r="D85" s="7" t="s">
        <x:v>519</x:v>
      </x:c>
      <x:c r="E85" s="7" t="s">
        <x:v>520</x:v>
      </x:c>
      <x:c r="F85" s="7" t="s">
        <x:v>521</x:v>
      </x:c>
      <x:c r="G85" s="7" t="s">
        <x:v>162</x:v>
      </x:c>
      <x:c r="H85" s="7" t="s">
        <x:v>163</x:v>
      </x:c>
      <x:c r="I85" s="47">
        <x:v>1</x:v>
      </x:c>
      <x:c r="J85" s="47">
        <x:v>3</x:v>
      </x:c>
      <x:c r="K85" s="47" t="n">
        <x:f>J85*Parametros!$B$9</x:f>
        <x:v>2.0999999999999996</x:v>
      </x:c>
      <x:c r="L85" s="7" t="s">
        <x:v>522</x:v>
      </x:c>
      <x:c r="M85" s="7"/>
      <x:c r="N85" s="7"/>
      <x:c r="O85" s="12" t="s">
        <x:v>103</x:v>
      </x:c>
    </x:row>
    <x:row r="86">
      <x:c r="A86" s="11" t="s">
        <x:v>33</x:v>
      </x:c>
      <x:c r="B86" s="7" t="s">
        <x:v>112</x:v>
      </x:c>
      <x:c r="C86" s="7" t="s">
        <x:v>113</x:v>
      </x:c>
      <x:c r="D86" s="7" t="s">
        <x:v>519</x:v>
      </x:c>
      <x:c r="E86" s="7" t="s">
        <x:v>523</x:v>
      </x:c>
      <x:c r="F86" s="7" t="s">
        <x:v>524</x:v>
      </x:c>
      <x:c r="G86" s="7" t="s">
        <x:v>162</x:v>
      </x:c>
      <x:c r="H86" s="7" t="s">
        <x:v>163</x:v>
      </x:c>
      <x:c r="I86" s="47">
        <x:v>1</x:v>
      </x:c>
      <x:c r="J86" s="47">
        <x:v>4</x:v>
      </x:c>
      <x:c r="K86" s="47" t="n">
        <x:f>J86*Parametros!$B$9</x:f>
        <x:v>2.8</x:v>
      </x:c>
      <x:c r="L86" s="7" t="s">
        <x:v>525</x:v>
      </x:c>
      <x:c r="M86" s="7"/>
      <x:c r="N86" s="7" t="s">
        <x:v>520</x:v>
      </x:c>
      <x:c r="O86" s="12" t="s">
        <x:v>103</x:v>
      </x:c>
    </x:row>
    <x:row r="87">
      <x:c r="A87" s="11" t="s">
        <x:v>33</x:v>
      </x:c>
      <x:c r="B87" s="7" t="s">
        <x:v>112</x:v>
      </x:c>
      <x:c r="C87" s="7" t="s">
        <x:v>113</x:v>
      </x:c>
      <x:c r="D87" s="7" t="s">
        <x:v>159</x:v>
      </x:c>
      <x:c r="E87" s="7" t="s">
        <x:v>526</x:v>
      </x:c>
      <x:c r="F87" s="7" t="s">
        <x:v>527</x:v>
      </x:c>
      <x:c r="G87" s="7" t="s">
        <x:v>162</x:v>
      </x:c>
      <x:c r="H87" s="7" t="s">
        <x:v>163</x:v>
      </x:c>
      <x:c r="I87" s="47">
        <x:v>1</x:v>
      </x:c>
      <x:c r="J87" s="47">
        <x:v>3</x:v>
      </x:c>
      <x:c r="K87" s="47" t="n">
        <x:f>J87*Parametros!$B$9</x:f>
        <x:v>2.0999999999999996</x:v>
      </x:c>
      <x:c r="L87" s="7" t="s">
        <x:v>528</x:v>
      </x:c>
      <x:c r="M87" s="7"/>
      <x:c r="N87" s="7" t="s">
        <x:v>523</x:v>
      </x:c>
      <x:c r="O87" s="12" t="s">
        <x:v>103</x:v>
      </x:c>
    </x:row>
    <x:row r="88">
      <x:c r="A88" s="11" t="s">
        <x:v>33</x:v>
      </x:c>
      <x:c r="B88" s="7" t="s">
        <x:v>112</x:v>
      </x:c>
      <x:c r="C88" s="7" t="s">
        <x:v>113</x:v>
      </x:c>
      <x:c r="D88" s="7" t="s">
        <x:v>166</x:v>
      </x:c>
      <x:c r="E88" s="7" t="s">
        <x:v>529</x:v>
      </x:c>
      <x:c r="F88" s="7" t="s">
        <x:v>530</x:v>
      </x:c>
      <x:c r="G88" s="7" t="s">
        <x:v>162</x:v>
      </x:c>
      <x:c r="H88" s="7" t="s">
        <x:v>329</x:v>
      </x:c>
      <x:c r="I88" s="47">
        <x:v>3</x:v>
      </x:c>
      <x:c r="J88" s="47">
        <x:v>2</x:v>
      </x:c>
      <x:c r="K88" s="47" t="n">
        <x:f>J88*Parametros!$B$9</x:f>
        <x:v>1.4</x:v>
      </x:c>
      <x:c r="L88" s="7" t="s">
        <x:v>531</x:v>
      </x:c>
      <x:c r="M88" s="7"/>
      <x:c r="N88" s="7" t="s">
        <x:v>526</x:v>
      </x:c>
      <x:c r="O88" s="12" t="s">
        <x:v>103</x:v>
      </x:c>
    </x:row>
    <x:row r="89" ht="24">
      <x:c r="A89" s="11" t="s">
        <x:v>33</x:v>
      </x:c>
      <x:c r="B89" s="7" t="s">
        <x:v>112</x:v>
      </x:c>
      <x:c r="C89" s="7" t="s">
        <x:v>113</x:v>
      </x:c>
      <x:c r="D89" s="7" t="s">
        <x:v>158</x:v>
      </x:c>
      <x:c r="E89" s="7" t="s">
        <x:v>532</x:v>
      </x:c>
      <x:c r="F89" s="7" t="s">
        <x:v>533</x:v>
      </x:c>
      <x:c r="G89" s="7" t="s">
        <x:v>184</x:v>
      </x:c>
      <x:c r="H89" s="7" t="s">
        <x:v>534</x:v>
      </x:c>
      <x:c r="I89" s="47">
        <x:v>5</x:v>
      </x:c>
      <x:c r="J89" s="47">
        <x:v>0.75</x:v>
      </x:c>
      <x:c r="K89" s="47" t="n">
        <x:f>J89*Parametros!$B$9</x:f>
        <x:v>0.5249999999999999</x:v>
      </x:c>
      <x:c r="L89" s="7" t="s">
        <x:v>535</x:v>
      </x:c>
      <x:c r="M89" s="7" t="s">
        <x:v>536</x:v>
      </x:c>
      <x:c r="N89" s="7" t="s">
        <x:v>529</x:v>
      </x:c>
      <x:c r="O89" s="12" t="s">
        <x:v>103</x:v>
      </x:c>
    </x:row>
    <x:row r="90">
      <x:c r="A90" s="11" t="s">
        <x:v>33</x:v>
      </x:c>
      <x:c r="B90" s="7" t="s">
        <x:v>112</x:v>
      </x:c>
      <x:c r="C90" s="7" t="s">
        <x:v>113</x:v>
      </x:c>
      <x:c r="D90" s="7" t="s">
        <x:v>95</x:v>
      </x:c>
      <x:c r="E90" s="7" t="s">
        <x:v>537</x:v>
      </x:c>
      <x:c r="F90" s="7" t="s">
        <x:v>538</x:v>
      </x:c>
      <x:c r="G90" s="7" t="s">
        <x:v>184</x:v>
      </x:c>
      <x:c r="H90" s="7" t="s">
        <x:v>539</x:v>
      </x:c>
      <x:c r="I90" s="47">
        <x:v>2</x:v>
      </x:c>
      <x:c r="J90" s="47">
        <x:v>5</x:v>
      </x:c>
      <x:c r="K90" s="47" t="n">
        <x:f>J90*Parametros!$B$9</x:f>
        <x:v>3.5</x:v>
      </x:c>
      <x:c r="L90" s="7" t="s">
        <x:v>540</x:v>
      </x:c>
      <x:c r="M90" s="7"/>
      <x:c r="N90" s="7" t="s">
        <x:v>529</x:v>
      </x:c>
      <x:c r="O90" s="12" t="s">
        <x:v>103</x:v>
      </x:c>
    </x:row>
    <x:row r="91">
      <x:c r="A91" s="11" t="s">
        <x:v>33</x:v>
      </x:c>
      <x:c r="B91" s="7" t="s">
        <x:v>112</x:v>
      </x:c>
      <x:c r="C91" s="7" t="s">
        <x:v>113</x:v>
      </x:c>
      <x:c r="D91" s="7" t="s">
        <x:v>272</x:v>
      </x:c>
      <x:c r="E91" s="7" t="s">
        <x:v>541</x:v>
      </x:c>
      <x:c r="F91" s="7" t="s">
        <x:v>542</x:v>
      </x:c>
      <x:c r="G91" s="7" t="s">
        <x:v>194</x:v>
      </x:c>
      <x:c r="H91" s="7" t="s">
        <x:v>174</x:v>
      </x:c>
      <x:c r="I91" s="47">
        <x:v>2</x:v>
      </x:c>
      <x:c r="J91" s="47">
        <x:v>3</x:v>
      </x:c>
      <x:c r="K91" s="47" t="n">
        <x:f>J91*Parametros!$B$9</x:f>
        <x:v>2.0999999999999996</x:v>
      </x:c>
      <x:c r="L91" s="7" t="s">
        <x:v>543</x:v>
      </x:c>
      <x:c r="M91" s="7"/>
      <x:c r="N91" s="7" t="s">
        <x:v>537</x:v>
      </x:c>
      <x:c r="O91" s="12" t="s">
        <x:v>103</x:v>
      </x:c>
    </x:row>
    <x:row r="92">
      <x:c r="A92" s="11" t="s">
        <x:v>33</x:v>
      </x:c>
      <x:c r="B92" s="7" t="s">
        <x:v>112</x:v>
      </x:c>
      <x:c r="C92" s="7" t="s">
        <x:v>113</x:v>
      </x:c>
      <x:c r="D92" s="7" t="s">
        <x:v>344</x:v>
      </x:c>
      <x:c r="E92" s="7" t="s">
        <x:v>544</x:v>
      </x:c>
      <x:c r="F92" s="7" t="s">
        <x:v>545</x:v>
      </x:c>
      <x:c r="G92" s="7" t="s">
        <x:v>194</x:v>
      </x:c>
      <x:c r="H92" s="7" t="s">
        <x:v>546</x:v>
      </x:c>
      <x:c r="I92" s="47">
        <x:v>1</x:v>
      </x:c>
      <x:c r="J92" s="47">
        <x:v>4</x:v>
      </x:c>
      <x:c r="K92" s="47" t="n">
        <x:f>J92*Parametros!$B$9</x:f>
        <x:v>2.8</x:v>
      </x:c>
      <x:c r="L92" s="7" t="s">
        <x:v>547</x:v>
      </x:c>
      <x:c r="M92" s="7"/>
      <x:c r="N92" s="7" t="s">
        <x:v>526</x:v>
      </x:c>
      <x:c r="O92" s="12" t="s">
        <x:v>103</x:v>
      </x:c>
    </x:row>
    <x:row r="93" ht="24">
      <x:c r="A93" s="11" t="s">
        <x:v>33</x:v>
      </x:c>
      <x:c r="B93" s="7" t="s">
        <x:v>112</x:v>
      </x:c>
      <x:c r="C93" s="7" t="s">
        <x:v>113</x:v>
      </x:c>
      <x:c r="D93" s="7" t="s">
        <x:v>277</x:v>
      </x:c>
      <x:c r="E93" s="7" t="s">
        <x:v>548</x:v>
      </x:c>
      <x:c r="F93" s="7" t="s">
        <x:v>549</x:v>
      </x:c>
      <x:c r="G93" s="7" t="s">
        <x:v>194</x:v>
      </x:c>
      <x:c r="H93" s="7" t="s">
        <x:v>550</x:v>
      </x:c>
      <x:c r="I93" s="47">
        <x:v>0</x:v>
      </x:c>
      <x:c r="J93" s="47">
        <x:v>1.5</x:v>
      </x:c>
      <x:c r="K93" s="47" t="n">
        <x:f>J93*Parametros!$B$9</x:f>
        <x:v>1.0499999999999998</x:v>
      </x:c>
      <x:c r="L93" s="7" t="s">
        <x:v>551</x:v>
      </x:c>
      <x:c r="M93" s="7" t="s">
        <x:v>552</x:v>
      </x:c>
      <x:c r="N93" s="7" t="s">
        <x:v>532</x:v>
      </x:c>
      <x:c r="O93" s="12" t="s">
        <x:v>103</x:v>
      </x:c>
    </x:row>
    <x:row r="94">
      <x:c r="A94" s="11" t="s">
        <x:v>33</x:v>
      </x:c>
      <x:c r="B94" s="7" t="s">
        <x:v>112</x:v>
      </x:c>
      <x:c r="C94" s="7" t="s">
        <x:v>113</x:v>
      </x:c>
      <x:c r="D94" s="7" t="s">
        <x:v>240</x:v>
      </x:c>
      <x:c r="E94" s="7" t="s">
        <x:v>553</x:v>
      </x:c>
      <x:c r="F94" s="7" t="s">
        <x:v>554</x:v>
      </x:c>
      <x:c r="G94" s="7" t="s">
        <x:v>162</x:v>
      </x:c>
      <x:c r="H94" s="7" t="s">
        <x:v>329</x:v>
      </x:c>
      <x:c r="I94" s="47">
        <x:v>5</x:v>
      </x:c>
      <x:c r="J94" s="47">
        <x:v>1</x:v>
      </x:c>
      <x:c r="K94" s="47" t="n">
        <x:f>J94*Parametros!$B$9</x:f>
        <x:v>0.7</x:v>
      </x:c>
      <x:c r="L94" s="7" t="s">
        <x:v>555</x:v>
      </x:c>
      <x:c r="M94" s="7"/>
      <x:c r="N94" s="7"/>
      <x:c r="O94" s="12" t="s">
        <x:v>103</x:v>
      </x:c>
    </x:row>
    <x:row r="95">
      <x:c r="A95" s="11" t="s">
        <x:v>33</x:v>
      </x:c>
      <x:c r="B95" s="7" t="s">
        <x:v>112</x:v>
      </x:c>
      <x:c r="C95" s="7" t="s">
        <x:v>113</x:v>
      </x:c>
      <x:c r="D95" s="7" t="s">
        <x:v>556</x:v>
      </x:c>
      <x:c r="E95" s="7" t="s">
        <x:v>557</x:v>
      </x:c>
      <x:c r="F95" s="7" t="s">
        <x:v>558</x:v>
      </x:c>
      <x:c r="G95" s="7" t="s">
        <x:v>194</x:v>
      </x:c>
      <x:c r="H95" s="7" t="s">
        <x:v>163</x:v>
      </x:c>
      <x:c r="I95" s="47">
        <x:v>1</x:v>
      </x:c>
      <x:c r="J95" s="47">
        <x:v>3</x:v>
      </x:c>
      <x:c r="K95" s="47" t="n">
        <x:f>J95*Parametros!$B$9</x:f>
        <x:v>2.0999999999999996</x:v>
      </x:c>
      <x:c r="L95" s="7" t="s">
        <x:v>559</x:v>
      </x:c>
      <x:c r="M95" s="7"/>
      <x:c r="N95" s="7"/>
      <x:c r="O95" s="12" t="s">
        <x:v>103</x:v>
      </x:c>
    </x:row>
    <x:row r="96">
      <x:c r="A96" s="11" t="s">
        <x:v>33</x:v>
      </x:c>
      <x:c r="B96" s="7" t="s">
        <x:v>112</x:v>
      </x:c>
      <x:c r="C96" s="7" t="s">
        <x:v>113</x:v>
      </x:c>
      <x:c r="D96" s="7" t="s">
        <x:v>355</x:v>
      </x:c>
      <x:c r="E96" s="7" t="s">
        <x:v>560</x:v>
      </x:c>
      <x:c r="F96" s="7" t="s">
        <x:v>561</x:v>
      </x:c>
      <x:c r="G96" s="7" t="s">
        <x:v>162</x:v>
      </x:c>
      <x:c r="H96" s="7" t="s">
        <x:v>358</x:v>
      </x:c>
      <x:c r="I96" s="47">
        <x:v>1</x:v>
      </x:c>
      <x:c r="J96" s="47">
        <x:v>2</x:v>
      </x:c>
      <x:c r="K96" s="47" t="n">
        <x:f>J96*Parametros!$B$9</x:f>
        <x:v>1.4</x:v>
      </x:c>
      <x:c r="L96" s="7" t="s">
        <x:v>562</x:v>
      </x:c>
      <x:c r="M96" s="7"/>
      <x:c r="N96" s="7" t="s">
        <x:v>526</x:v>
      </x:c>
      <x:c r="O96" s="12" t="s">
        <x:v>103</x:v>
      </x:c>
    </x:row>
    <x:row r="97">
      <x:c r="A97" s="11" t="s">
        <x:v>33</x:v>
      </x:c>
      <x:c r="B97" s="7" t="s">
        <x:v>112</x:v>
      </x:c>
      <x:c r="C97" s="7" t="s">
        <x:v>113</x:v>
      </x:c>
      <x:c r="D97" s="7" t="s">
        <x:v>355</x:v>
      </x:c>
      <x:c r="E97" s="7" t="s">
        <x:v>563</x:v>
      </x:c>
      <x:c r="F97" s="7" t="s">
        <x:v>564</x:v>
      </x:c>
      <x:c r="G97" s="7" t="s">
        <x:v>162</x:v>
      </x:c>
      <x:c r="H97" s="7" t="s">
        <x:v>358</x:v>
      </x:c>
      <x:c r="I97" s="47">
        <x:v>1</x:v>
      </x:c>
      <x:c r="J97" s="47">
        <x:v>3</x:v>
      </x:c>
      <x:c r="K97" s="47" t="n">
        <x:f>J97*Parametros!$B$9</x:f>
        <x:v>2.0999999999999996</x:v>
      </x:c>
      <x:c r="L97" s="7" t="s">
        <x:v>565</x:v>
      </x:c>
      <x:c r="M97" s="7"/>
      <x:c r="N97" s="7" t="s">
        <x:v>560</x:v>
      </x:c>
      <x:c r="O97" s="12" t="s">
        <x:v>103</x:v>
      </x:c>
    </x:row>
    <x:row r="98">
      <x:c r="A98" s="11" t="s">
        <x:v>33</x:v>
      </x:c>
      <x:c r="B98" s="7" t="s">
        <x:v>112</x:v>
      </x:c>
      <x:c r="C98" s="7" t="s">
        <x:v>113</x:v>
      </x:c>
      <x:c r="D98" s="7" t="s">
        <x:v>361</x:v>
      </x:c>
      <x:c r="E98" s="7" t="s">
        <x:v>566</x:v>
      </x:c>
      <x:c r="F98" s="7" t="s">
        <x:v>567</x:v>
      </x:c>
      <x:c r="G98" s="7" t="s">
        <x:v>162</x:v>
      </x:c>
      <x:c r="H98" s="7" t="s">
        <x:v>163</x:v>
      </x:c>
      <x:c r="I98" s="47">
        <x:v>1</x:v>
      </x:c>
      <x:c r="J98" s="47">
        <x:v>2.5</x:v>
      </x:c>
      <x:c r="K98" s="47" t="n">
        <x:f>J98*Parametros!$B$9</x:f>
        <x:v>1.75</x:v>
      </x:c>
      <x:c r="L98" s="7" t="s">
        <x:v>568</x:v>
      </x:c>
      <x:c r="M98" s="7"/>
      <x:c r="N98" s="7"/>
      <x:c r="O98" s="12" t="s">
        <x:v>103</x:v>
      </x:c>
    </x:row>
    <x:row r="99">
      <x:c r="A99" s="11" t="s">
        <x:v>33</x:v>
      </x:c>
      <x:c r="B99" s="7" t="s">
        <x:v>114</x:v>
      </x:c>
      <x:c r="C99" s="7" t="s">
        <x:v>115</x:v>
      </x:c>
      <x:c r="D99" s="7" t="s">
        <x:v>569</x:v>
      </x:c>
      <x:c r="E99" s="7" t="s">
        <x:v>570</x:v>
      </x:c>
      <x:c r="F99" s="7" t="s">
        <x:v>571</x:v>
      </x:c>
      <x:c r="G99" s="7" t="s">
        <x:v>162</x:v>
      </x:c>
      <x:c r="H99" s="7" t="s">
        <x:v>163</x:v>
      </x:c>
      <x:c r="I99" s="47">
        <x:v>1</x:v>
      </x:c>
      <x:c r="J99" s="47">
        <x:v>1.5</x:v>
      </x:c>
      <x:c r="K99" s="47" t="n">
        <x:f>J99*Parametros!$B$9</x:f>
        <x:v>1.0499999999999998</x:v>
      </x:c>
      <x:c r="L99" s="7" t="s">
        <x:v>572</x:v>
      </x:c>
      <x:c r="M99" s="7"/>
      <x:c r="N99" s="7"/>
      <x:c r="O99" s="12" t="s">
        <x:v>103</x:v>
      </x:c>
    </x:row>
    <x:row r="100">
      <x:c r="A100" s="11" t="s">
        <x:v>33</x:v>
      </x:c>
      <x:c r="B100" s="7" t="s">
        <x:v>114</x:v>
      </x:c>
      <x:c r="C100" s="7" t="s">
        <x:v>115</x:v>
      </x:c>
      <x:c r="D100" s="7" t="s">
        <x:v>569</x:v>
      </x:c>
      <x:c r="E100" s="7" t="s">
        <x:v>573</x:v>
      </x:c>
      <x:c r="F100" s="7" t="s">
        <x:v>574</x:v>
      </x:c>
      <x:c r="G100" s="7" t="s">
        <x:v>162</x:v>
      </x:c>
      <x:c r="H100" s="7" t="s">
        <x:v>358</x:v>
      </x:c>
      <x:c r="I100" s="47">
        <x:v>1</x:v>
      </x:c>
      <x:c r="J100" s="47">
        <x:v>2.5</x:v>
      </x:c>
      <x:c r="K100" s="47" t="n">
        <x:f>J100*Parametros!$B$9</x:f>
        <x:v>1.75</x:v>
      </x:c>
      <x:c r="L100" s="7" t="s">
        <x:v>575</x:v>
      </x:c>
      <x:c r="M100" s="7" t="s">
        <x:v>576</x:v>
      </x:c>
      <x:c r="N100" s="7" t="s">
        <x:v>570</x:v>
      </x:c>
      <x:c r="O100" s="12" t="s">
        <x:v>103</x:v>
      </x:c>
    </x:row>
    <x:row r="101">
      <x:c r="A101" s="11" t="s">
        <x:v>33</x:v>
      </x:c>
      <x:c r="B101" s="7" t="s">
        <x:v>114</x:v>
      </x:c>
      <x:c r="C101" s="7" t="s">
        <x:v>115</x:v>
      </x:c>
      <x:c r="D101" s="7" t="s">
        <x:v>424</x:v>
      </x:c>
      <x:c r="E101" s="7" t="s">
        <x:v>577</x:v>
      </x:c>
      <x:c r="F101" s="7" t="s">
        <x:v>578</x:v>
      </x:c>
      <x:c r="G101" s="7" t="s">
        <x:v>184</x:v>
      </x:c>
      <x:c r="H101" s="7" t="s">
        <x:v>163</x:v>
      </x:c>
      <x:c r="I101" s="47">
        <x:v>1</x:v>
      </x:c>
      <x:c r="J101" s="47">
        <x:v>2.5</x:v>
      </x:c>
      <x:c r="K101" s="47" t="n">
        <x:f>J101*Parametros!$B$9</x:f>
        <x:v>1.75</x:v>
      </x:c>
      <x:c r="L101" s="7" t="s">
        <x:v>579</x:v>
      </x:c>
      <x:c r="M101" s="7"/>
      <x:c r="N101" s="7" t="s">
        <x:v>573</x:v>
      </x:c>
      <x:c r="O101" s="12" t="s">
        <x:v>103</x:v>
      </x:c>
    </x:row>
    <x:row r="102">
      <x:c r="A102" s="11" t="s">
        <x:v>33</x:v>
      </x:c>
      <x:c r="B102" s="7" t="s">
        <x:v>114</x:v>
      </x:c>
      <x:c r="C102" s="7" t="s">
        <x:v>115</x:v>
      </x:c>
      <x:c r="D102" s="7" t="s">
        <x:v>424</x:v>
      </x:c>
      <x:c r="E102" s="7" t="s">
        <x:v>580</x:v>
      </x:c>
      <x:c r="F102" s="7" t="s">
        <x:v>581</x:v>
      </x:c>
      <x:c r="G102" s="7" t="s">
        <x:v>184</x:v>
      </x:c>
      <x:c r="H102" s="7" t="s">
        <x:v>163</x:v>
      </x:c>
      <x:c r="I102" s="47">
        <x:v>1</x:v>
      </x:c>
      <x:c r="J102" s="47">
        <x:v>3</x:v>
      </x:c>
      <x:c r="K102" s="47" t="n">
        <x:f>J102*Parametros!$B$9</x:f>
        <x:v>2.0999999999999996</x:v>
      </x:c>
      <x:c r="L102" s="7" t="s">
        <x:v>582</x:v>
      </x:c>
      <x:c r="M102" s="7"/>
      <x:c r="N102" s="7" t="s">
        <x:v>573</x:v>
      </x:c>
      <x:c r="O102" s="12" t="s">
        <x:v>103</x:v>
      </x:c>
    </x:row>
    <x:row r="103">
      <x:c r="A103" s="11" t="s">
        <x:v>33</x:v>
      </x:c>
      <x:c r="B103" s="7" t="s">
        <x:v>114</x:v>
      </x:c>
      <x:c r="C103" s="7" t="s">
        <x:v>115</x:v>
      </x:c>
      <x:c r="D103" s="7" t="s">
        <x:v>251</x:v>
      </x:c>
      <x:c r="E103" s="7" t="s">
        <x:v>583</x:v>
      </x:c>
      <x:c r="F103" s="7" t="s">
        <x:v>584</x:v>
      </x:c>
      <x:c r="G103" s="7" t="s">
        <x:v>184</x:v>
      </x:c>
      <x:c r="H103" s="7" t="s">
        <x:v>163</x:v>
      </x:c>
      <x:c r="I103" s="47">
        <x:v>1</x:v>
      </x:c>
      <x:c r="J103" s="47">
        <x:v>3</x:v>
      </x:c>
      <x:c r="K103" s="47" t="n">
        <x:f>J103*Parametros!$B$9</x:f>
        <x:v>2.0999999999999996</x:v>
      </x:c>
      <x:c r="L103" s="7" t="s">
        <x:v>585</x:v>
      </x:c>
      <x:c r="M103" s="7"/>
      <x:c r="N103" s="7" t="s">
        <x:v>577</x:v>
      </x:c>
      <x:c r="O103" s="12" t="s">
        <x:v>103</x:v>
      </x:c>
    </x:row>
    <x:row r="104">
      <x:c r="A104" s="11" t="s">
        <x:v>33</x:v>
      </x:c>
      <x:c r="B104" s="7" t="s">
        <x:v>114</x:v>
      </x:c>
      <x:c r="C104" s="7" t="s">
        <x:v>115</x:v>
      </x:c>
      <x:c r="D104" s="7" t="s">
        <x:v>251</x:v>
      </x:c>
      <x:c r="E104" s="7" t="s">
        <x:v>586</x:v>
      </x:c>
      <x:c r="F104" s="7" t="s">
        <x:v>587</x:v>
      </x:c>
      <x:c r="G104" s="7" t="s">
        <x:v>184</x:v>
      </x:c>
      <x:c r="H104" s="7" t="s">
        <x:v>588</x:v>
      </x:c>
      <x:c r="I104" s="47">
        <x:v>3</x:v>
      </x:c>
      <x:c r="J104" s="47">
        <x:v>1.5</x:v>
      </x:c>
      <x:c r="K104" s="47" t="n">
        <x:f>J104*Parametros!$B$9</x:f>
        <x:v>1.0499999999999998</x:v>
      </x:c>
      <x:c r="L104" s="7" t="s">
        <x:v>589</x:v>
      </x:c>
      <x:c r="M104" s="7"/>
      <x:c r="N104" s="7" t="s">
        <x:v>580</x:v>
      </x:c>
      <x:c r="O104" s="12" t="s">
        <x:v>103</x:v>
      </x:c>
    </x:row>
    <x:row r="105">
      <x:c r="A105" s="11" t="s">
        <x:v>33</x:v>
      </x:c>
      <x:c r="B105" s="7" t="s">
        <x:v>114</x:v>
      </x:c>
      <x:c r="C105" s="7" t="s">
        <x:v>115</x:v>
      </x:c>
      <x:c r="D105" s="7" t="s">
        <x:v>251</x:v>
      </x:c>
      <x:c r="E105" s="7" t="s">
        <x:v>590</x:v>
      </x:c>
      <x:c r="F105" s="7" t="s">
        <x:v>591</x:v>
      </x:c>
      <x:c r="G105" s="7" t="s">
        <x:v>194</x:v>
      </x:c>
      <x:c r="H105" s="7" t="s">
        <x:v>592</x:v>
      </x:c>
      <x:c r="I105" s="47">
        <x:v>1</x:v>
      </x:c>
      <x:c r="J105" s="47">
        <x:v>2.5</x:v>
      </x:c>
      <x:c r="K105" s="47" t="n">
        <x:f>J105*Parametros!$B$9</x:f>
        <x:v>1.75</x:v>
      </x:c>
      <x:c r="L105" s="7" t="s">
        <x:v>593</x:v>
      </x:c>
      <x:c r="M105" s="7"/>
      <x:c r="N105" s="7"/>
      <x:c r="O105" s="12" t="s">
        <x:v>103</x:v>
      </x:c>
    </x:row>
    <x:row r="106">
      <x:c r="A106" s="11" t="s">
        <x:v>33</x:v>
      </x:c>
      <x:c r="B106" s="7" t="s">
        <x:v>114</x:v>
      </x:c>
      <x:c r="C106" s="7" t="s">
        <x:v>115</x:v>
      </x:c>
      <x:c r="D106" s="7" t="s">
        <x:v>251</x:v>
      </x:c>
      <x:c r="E106" s="7" t="s">
        <x:v>594</x:v>
      </x:c>
      <x:c r="F106" s="7" t="s">
        <x:v>595</x:v>
      </x:c>
      <x:c r="G106" s="7" t="s">
        <x:v>194</x:v>
      </x:c>
      <x:c r="H106" s="7" t="s">
        <x:v>329</x:v>
      </x:c>
      <x:c r="I106" s="47">
        <x:v>1</x:v>
      </x:c>
      <x:c r="J106" s="47">
        <x:v>2</x:v>
      </x:c>
      <x:c r="K106" s="47" t="n">
        <x:f>J106*Parametros!$B$9</x:f>
        <x:v>1.4</x:v>
      </x:c>
      <x:c r="L106" s="7" t="s">
        <x:v>596</x:v>
      </x:c>
      <x:c r="M106" s="7"/>
      <x:c r="N106" s="7"/>
      <x:c r="O106" s="12" t="s">
        <x:v>103</x:v>
      </x:c>
    </x:row>
    <x:row r="107">
      <x:c r="A107" s="11" t="s">
        <x:v>33</x:v>
      </x:c>
      <x:c r="B107" s="7" t="s">
        <x:v>114</x:v>
      </x:c>
      <x:c r="C107" s="7" t="s">
        <x:v>115</x:v>
      </x:c>
      <x:c r="D107" s="7" t="s">
        <x:v>597</x:v>
      </x:c>
      <x:c r="E107" s="7" t="s">
        <x:v>598</x:v>
      </x:c>
      <x:c r="F107" s="7" t="s">
        <x:v>599</x:v>
      </x:c>
      <x:c r="G107" s="7" t="s">
        <x:v>194</x:v>
      </x:c>
      <x:c r="H107" s="7" t="s">
        <x:v>600</x:v>
      </x:c>
      <x:c r="I107" s="47">
        <x:v>1</x:v>
      </x:c>
      <x:c r="J107" s="47">
        <x:v>3</x:v>
      </x:c>
      <x:c r="K107" s="47" t="n">
        <x:f>J107*Parametros!$B$9</x:f>
        <x:v>2.0999999999999996</x:v>
      </x:c>
      <x:c r="L107" s="7" t="s">
        <x:v>601</x:v>
      </x:c>
      <x:c r="M107" s="7" t="s">
        <x:v>602</x:v>
      </x:c>
      <x:c r="N107" s="7"/>
      <x:c r="O107" s="12" t="s">
        <x:v>103</x:v>
      </x:c>
    </x:row>
    <x:row r="108">
      <x:c r="A108" s="11" t="s">
        <x:v>33</x:v>
      </x:c>
      <x:c r="B108" s="7" t="s">
        <x:v>114</x:v>
      </x:c>
      <x:c r="C108" s="7" t="s">
        <x:v>115</x:v>
      </x:c>
      <x:c r="D108" s="7" t="s">
        <x:v>597</x:v>
      </x:c>
      <x:c r="E108" s="7" t="s">
        <x:v>603</x:v>
      </x:c>
      <x:c r="F108" s="7" t="s">
        <x:v>604</x:v>
      </x:c>
      <x:c r="G108" s="7" t="s">
        <x:v>162</x:v>
      </x:c>
      <x:c r="H108" s="7" t="s">
        <x:v>163</x:v>
      </x:c>
      <x:c r="I108" s="47">
        <x:v>1</x:v>
      </x:c>
      <x:c r="J108" s="47">
        <x:v>2</x:v>
      </x:c>
      <x:c r="K108" s="47" t="n">
        <x:f>J108*Parametros!$B$9</x:f>
        <x:v>1.4</x:v>
      </x:c>
      <x:c r="L108" s="7" t="s">
        <x:v>605</x:v>
      </x:c>
      <x:c r="M108" s="7" t="s">
        <x:v>606</x:v>
      </x:c>
      <x:c r="N108" s="7" t="s">
        <x:v>573</x:v>
      </x:c>
      <x:c r="O108" s="12" t="s">
        <x:v>103</x:v>
      </x:c>
    </x:row>
    <x:row r="109">
      <x:c r="A109" s="11" t="s">
        <x:v>33</x:v>
      </x:c>
      <x:c r="B109" s="7" t="s">
        <x:v>114</x:v>
      </x:c>
      <x:c r="C109" s="7" t="s">
        <x:v>115</x:v>
      </x:c>
      <x:c r="D109" s="7" t="s">
        <x:v>355</x:v>
      </x:c>
      <x:c r="E109" s="7" t="s">
        <x:v>607</x:v>
      </x:c>
      <x:c r="F109" s="7" t="s">
        <x:v>608</x:v>
      </x:c>
      <x:c r="G109" s="7" t="s">
        <x:v>162</x:v>
      </x:c>
      <x:c r="H109" s="7" t="s">
        <x:v>358</x:v>
      </x:c>
      <x:c r="I109" s="47">
        <x:v>1</x:v>
      </x:c>
      <x:c r="J109" s="47">
        <x:v>2</x:v>
      </x:c>
      <x:c r="K109" s="47" t="n">
        <x:f>J109*Parametros!$B$9</x:f>
        <x:v>1.4</x:v>
      </x:c>
      <x:c r="L109" s="7" t="s">
        <x:v>609</x:v>
      </x:c>
      <x:c r="M109" s="7"/>
      <x:c r="N109" s="7"/>
      <x:c r="O109" s="12" t="s">
        <x:v>103</x:v>
      </x:c>
    </x:row>
    <x:row r="110">
      <x:c r="A110" s="11" t="s">
        <x:v>33</x:v>
      </x:c>
      <x:c r="B110" s="7" t="s">
        <x:v>114</x:v>
      </x:c>
      <x:c r="C110" s="7" t="s">
        <x:v>115</x:v>
      </x:c>
      <x:c r="D110" s="7" t="s">
        <x:v>361</x:v>
      </x:c>
      <x:c r="E110" s="7" t="s">
        <x:v>610</x:v>
      </x:c>
      <x:c r="F110" s="7" t="s">
        <x:v>611</x:v>
      </x:c>
      <x:c r="G110" s="7" t="s">
        <x:v>162</x:v>
      </x:c>
      <x:c r="H110" s="7" t="s">
        <x:v>163</x:v>
      </x:c>
      <x:c r="I110" s="47">
        <x:v>1</x:v>
      </x:c>
      <x:c r="J110" s="47">
        <x:v>1</x:v>
      </x:c>
      <x:c r="K110" s="47" t="n">
        <x:f>J110*Parametros!$B$9</x:f>
        <x:v>0.7</x:v>
      </x:c>
      <x:c r="L110" s="7" t="s">
        <x:v>612</x:v>
      </x:c>
      <x:c r="M110" s="7"/>
      <x:c r="N110" s="7"/>
      <x:c r="O110" s="12" t="s">
        <x:v>103</x:v>
      </x:c>
    </x:row>
    <x:row r="111">
      <x:c r="A111" s="11" t="s">
        <x:v>37</x:v>
      </x:c>
      <x:c r="B111" s="7" t="s">
        <x:v>116</x:v>
      </x:c>
      <x:c r="C111" s="7" t="s">
        <x:v>117</x:v>
      </x:c>
      <x:c r="D111" s="7" t="s">
        <x:v>424</x:v>
      </x:c>
      <x:c r="E111" s="7" t="s">
        <x:v>613</x:v>
      </x:c>
      <x:c r="F111" s="7" t="s">
        <x:v>614</x:v>
      </x:c>
      <x:c r="G111" s="7" t="s">
        <x:v>162</x:v>
      </x:c>
      <x:c r="H111" s="7" t="s">
        <x:v>496</x:v>
      </x:c>
      <x:c r="I111" s="47">
        <x:v>3</x:v>
      </x:c>
      <x:c r="J111" s="47">
        <x:v>0.75</x:v>
      </x:c>
      <x:c r="K111" s="47" t="n">
        <x:f>J111*Parametros!$B$9</x:f>
        <x:v>0.5249999999999999</x:v>
      </x:c>
      <x:c r="L111" s="7" t="s">
        <x:v>615</x:v>
      </x:c>
      <x:c r="M111" s="7"/>
      <x:c r="N111" s="7"/>
      <x:c r="O111" s="12" t="s">
        <x:v>103</x:v>
      </x:c>
    </x:row>
    <x:row r="112">
      <x:c r="A112" s="11" t="s">
        <x:v>37</x:v>
      </x:c>
      <x:c r="B112" s="7" t="s">
        <x:v>116</x:v>
      </x:c>
      <x:c r="C112" s="7" t="s">
        <x:v>117</x:v>
      </x:c>
      <x:c r="D112" s="7" t="s">
        <x:v>481</x:v>
      </x:c>
      <x:c r="E112" s="7" t="s">
        <x:v>616</x:v>
      </x:c>
      <x:c r="F112" s="7" t="s">
        <x:v>617</x:v>
      </x:c>
      <x:c r="G112" s="7" t="s">
        <x:v>162</x:v>
      </x:c>
      <x:c r="H112" s="7" t="s">
        <x:v>496</x:v>
      </x:c>
      <x:c r="I112" s="47">
        <x:v>3</x:v>
      </x:c>
      <x:c r="J112" s="47">
        <x:v>0.75</x:v>
      </x:c>
      <x:c r="K112" s="47" t="n">
        <x:f>J112*Parametros!$B$9</x:f>
        <x:v>0.5249999999999999</x:v>
      </x:c>
      <x:c r="L112" s="7" t="s">
        <x:v>618</x:v>
      </x:c>
      <x:c r="M112" s="7"/>
      <x:c r="N112" s="7"/>
      <x:c r="O112" s="12" t="s">
        <x:v>103</x:v>
      </x:c>
    </x:row>
    <x:row r="113">
      <x:c r="A113" s="11" t="s">
        <x:v>37</x:v>
      </x:c>
      <x:c r="B113" s="7" t="s">
        <x:v>116</x:v>
      </x:c>
      <x:c r="C113" s="7" t="s">
        <x:v>117</x:v>
      </x:c>
      <x:c r="D113" s="7" t="s">
        <x:v>619</x:v>
      </x:c>
      <x:c r="E113" s="7" t="s">
        <x:v>620</x:v>
      </x:c>
      <x:c r="F113" s="7" t="s">
        <x:v>621</x:v>
      </x:c>
      <x:c r="G113" s="7" t="s">
        <x:v>184</x:v>
      </x:c>
      <x:c r="H113" s="7" t="s">
        <x:v>496</x:v>
      </x:c>
      <x:c r="I113" s="47">
        <x:v>3</x:v>
      </x:c>
      <x:c r="J113" s="47">
        <x:v>1</x:v>
      </x:c>
      <x:c r="K113" s="47" t="n">
        <x:f>J113*Parametros!$B$9</x:f>
        <x:v>0.7</x:v>
      </x:c>
      <x:c r="L113" s="7" t="s">
        <x:v>622</x:v>
      </x:c>
      <x:c r="M113" s="7"/>
      <x:c r="N113" s="7"/>
      <x:c r="O113" s="12" t="s">
        <x:v>103</x:v>
      </x:c>
    </x:row>
    <x:row r="114">
      <x:c r="A114" s="11" t="s">
        <x:v>37</x:v>
      </x:c>
      <x:c r="B114" s="7" t="s">
        <x:v>116</x:v>
      </x:c>
      <x:c r="C114" s="7" t="s">
        <x:v>117</x:v>
      </x:c>
      <x:c r="D114" s="7" t="s">
        <x:v>619</x:v>
      </x:c>
      <x:c r="E114" s="7" t="s">
        <x:v>623</x:v>
      </x:c>
      <x:c r="F114" s="7" t="s">
        <x:v>624</x:v>
      </x:c>
      <x:c r="G114" s="7" t="s">
        <x:v>184</x:v>
      </x:c>
      <x:c r="H114" s="7" t="s">
        <x:v>335</x:v>
      </x:c>
      <x:c r="I114" s="47">
        <x:v>2</x:v>
      </x:c>
      <x:c r="J114" s="47">
        <x:v>1</x:v>
      </x:c>
      <x:c r="K114" s="47" t="n">
        <x:f>J114*Parametros!$B$9</x:f>
        <x:v>0.7</x:v>
      </x:c>
      <x:c r="L114" s="7" t="s">
        <x:v>625</x:v>
      </x:c>
      <x:c r="M114" s="7"/>
      <x:c r="N114" s="7"/>
      <x:c r="O114" s="12" t="s">
        <x:v>103</x:v>
      </x:c>
    </x:row>
    <x:row r="115">
      <x:c r="A115" s="11" t="s">
        <x:v>37</x:v>
      </x:c>
      <x:c r="B115" s="7" t="s">
        <x:v>116</x:v>
      </x:c>
      <x:c r="C115" s="7" t="s">
        <x:v>117</x:v>
      </x:c>
      <x:c r="D115" s="7" t="s">
        <x:v>619</x:v>
      </x:c>
      <x:c r="E115" s="7" t="s">
        <x:v>626</x:v>
      </x:c>
      <x:c r="F115" s="7" t="s">
        <x:v>627</x:v>
      </x:c>
      <x:c r="G115" s="7" t="s">
        <x:v>194</x:v>
      </x:c>
      <x:c r="H115" s="7" t="s">
        <x:v>496</x:v>
      </x:c>
      <x:c r="I115" s="47">
        <x:v>3</x:v>
      </x:c>
      <x:c r="J115" s="47">
        <x:v>0.5</x:v>
      </x:c>
      <x:c r="K115" s="47" t="n">
        <x:f>J115*Parametros!$B$9</x:f>
        <x:v>0.35</x:v>
      </x:c>
      <x:c r="L115" s="7" t="s">
        <x:v>628</x:v>
      </x:c>
      <x:c r="M115" s="7"/>
      <x:c r="N115" s="7"/>
      <x:c r="O115" s="12" t="s">
        <x:v>103</x:v>
      </x:c>
    </x:row>
    <x:row r="116">
      <x:c r="A116" s="11" t="s">
        <x:v>37</x:v>
      </x:c>
      <x:c r="B116" s="7" t="s">
        <x:v>116</x:v>
      </x:c>
      <x:c r="C116" s="7" t="s">
        <x:v>117</x:v>
      </x:c>
      <x:c r="D116" s="7" t="s">
        <x:v>629</x:v>
      </x:c>
      <x:c r="E116" s="7" t="s">
        <x:v>630</x:v>
      </x:c>
      <x:c r="F116" s="7" t="s">
        <x:v>631</x:v>
      </x:c>
      <x:c r="G116" s="7" t="s">
        <x:v>184</x:v>
      </x:c>
      <x:c r="H116" s="7" t="s">
        <x:v>306</x:v>
      </x:c>
      <x:c r="I116" s="47">
        <x:v>1</x:v>
      </x:c>
      <x:c r="J116" s="47">
        <x:v>2.5</x:v>
      </x:c>
      <x:c r="K116" s="47" t="n">
        <x:f>J116*Parametros!$B$9</x:f>
        <x:v>1.75</x:v>
      </x:c>
      <x:c r="L116" s="7" t="s">
        <x:v>632</x:v>
      </x:c>
      <x:c r="M116" s="7"/>
      <x:c r="N116" s="7"/>
      <x:c r="O116" s="12" t="s">
        <x:v>103</x:v>
      </x:c>
    </x:row>
    <x:row r="117">
      <x:c r="A117" s="11" t="s">
        <x:v>37</x:v>
      </x:c>
      <x:c r="B117" s="7" t="s">
        <x:v>116</x:v>
      </x:c>
      <x:c r="C117" s="7" t="s">
        <x:v>117</x:v>
      </x:c>
      <x:c r="D117" s="7" t="s">
        <x:v>338</x:v>
      </x:c>
      <x:c r="E117" s="7" t="s">
        <x:v>633</x:v>
      </x:c>
      <x:c r="F117" s="7" t="s">
        <x:v>634</x:v>
      </x:c>
      <x:c r="G117" s="7" t="s">
        <x:v>184</x:v>
      </x:c>
      <x:c r="H117" s="7" t="s">
        <x:v>635</x:v>
      </x:c>
      <x:c r="I117" s="47">
        <x:v>1</x:v>
      </x:c>
      <x:c r="J117" s="47">
        <x:v>2</x:v>
      </x:c>
      <x:c r="K117" s="47" t="n">
        <x:f>J117*Parametros!$B$9</x:f>
        <x:v>1.4</x:v>
      </x:c>
      <x:c r="L117" s="7" t="s">
        <x:v>636</x:v>
      </x:c>
      <x:c r="M117" s="7"/>
      <x:c r="N117" s="7"/>
      <x:c r="O117" s="12" t="s">
        <x:v>103</x:v>
      </x:c>
    </x:row>
    <x:row r="118">
      <x:c r="A118" s="11" t="s">
        <x:v>37</x:v>
      </x:c>
      <x:c r="B118" s="7" t="s">
        <x:v>116</x:v>
      </x:c>
      <x:c r="C118" s="7" t="s">
        <x:v>117</x:v>
      </x:c>
      <x:c r="D118" s="7" t="s">
        <x:v>240</x:v>
      </x:c>
      <x:c r="E118" s="7" t="s">
        <x:v>637</x:v>
      </x:c>
      <x:c r="F118" s="7" t="s">
        <x:v>638</x:v>
      </x:c>
      <x:c r="G118" s="7" t="s">
        <x:v>162</x:v>
      </x:c>
      <x:c r="H118" s="7" t="s">
        <x:v>453</x:v>
      </x:c>
      <x:c r="I118" s="47">
        <x:v>2</x:v>
      </x:c>
      <x:c r="J118" s="47">
        <x:v>1</x:v>
      </x:c>
      <x:c r="K118" s="47" t="n">
        <x:f>J118*Parametros!$B$9</x:f>
        <x:v>0.7</x:v>
      </x:c>
      <x:c r="L118" s="7" t="s">
        <x:v>639</x:v>
      </x:c>
      <x:c r="M118" s="7"/>
      <x:c r="N118" s="7"/>
      <x:c r="O118" s="12" t="s">
        <x:v>103</x:v>
      </x:c>
    </x:row>
    <x:row r="119">
      <x:c r="A119" s="11" t="s">
        <x:v>37</x:v>
      </x:c>
      <x:c r="B119" s="7" t="s">
        <x:v>116</x:v>
      </x:c>
      <x:c r="C119" s="7" t="s">
        <x:v>117</x:v>
      </x:c>
      <x:c r="D119" s="7" t="s">
        <x:v>640</x:v>
      </x:c>
      <x:c r="E119" s="7" t="s">
        <x:v>641</x:v>
      </x:c>
      <x:c r="F119" s="7" t="s">
        <x:v>642</x:v>
      </x:c>
      <x:c r="G119" s="7" t="s">
        <x:v>162</x:v>
      </x:c>
      <x:c r="H119" s="7" t="s">
        <x:v>643</x:v>
      </x:c>
      <x:c r="I119" s="47">
        <x:v>1</x:v>
      </x:c>
      <x:c r="J119" s="47">
        <x:v>1.5</x:v>
      </x:c>
      <x:c r="K119" s="47" t="n">
        <x:f>J119*Parametros!$B$9</x:f>
        <x:v>1.0499999999999998</x:v>
      </x:c>
      <x:c r="L119" s="7" t="s">
        <x:v>644</x:v>
      </x:c>
      <x:c r="M119" s="7"/>
      <x:c r="N119" s="7"/>
      <x:c r="O119" s="12" t="s">
        <x:v>103</x:v>
      </x:c>
    </x:row>
    <x:row r="120">
      <x:c r="A120" s="11" t="s">
        <x:v>37</x:v>
      </x:c>
      <x:c r="B120" s="7" t="s">
        <x:v>116</x:v>
      </x:c>
      <x:c r="C120" s="7" t="s">
        <x:v>117</x:v>
      </x:c>
      <x:c r="D120" s="7" t="s">
        <x:v>355</x:v>
      </x:c>
      <x:c r="E120" s="7" t="s">
        <x:v>645</x:v>
      </x:c>
      <x:c r="F120" s="7" t="s">
        <x:v>646</x:v>
      </x:c>
      <x:c r="G120" s="7" t="s">
        <x:v>162</x:v>
      </x:c>
      <x:c r="H120" s="7" t="s">
        <x:v>358</x:v>
      </x:c>
      <x:c r="I120" s="47">
        <x:v>1</x:v>
      </x:c>
      <x:c r="J120" s="47">
        <x:v>1.5</x:v>
      </x:c>
      <x:c r="K120" s="47" t="n">
        <x:f>J120*Parametros!$B$9</x:f>
        <x:v>1.0499999999999998</x:v>
      </x:c>
      <x:c r="L120" s="7" t="s">
        <x:v>647</x:v>
      </x:c>
      <x:c r="M120" s="7"/>
      <x:c r="N120" s="7"/>
      <x:c r="O120" s="12" t="s">
        <x:v>103</x:v>
      </x:c>
    </x:row>
    <x:row r="121">
      <x:c r="A121" s="11" t="s">
        <x:v>37</x:v>
      </x:c>
      <x:c r="B121" s="7" t="s">
        <x:v>118</x:v>
      </x:c>
      <x:c r="C121" s="7" t="s">
        <x:v>119</x:v>
      </x:c>
      <x:c r="D121" s="7" t="s">
        <x:v>424</x:v>
      </x:c>
      <x:c r="E121" s="7" t="s">
        <x:v>648</x:v>
      </x:c>
      <x:c r="F121" s="7" t="s">
        <x:v>649</x:v>
      </x:c>
      <x:c r="G121" s="7" t="s">
        <x:v>162</x:v>
      </x:c>
      <x:c r="H121" s="7" t="s">
        <x:v>650</x:v>
      </x:c>
      <x:c r="I121" s="47">
        <x:v>4</x:v>
      </x:c>
      <x:c r="J121" s="47">
        <x:v>0.75</x:v>
      </x:c>
      <x:c r="K121" s="47" t="n">
        <x:f>J121*Parametros!$B$9</x:f>
        <x:v>0.5249999999999999</x:v>
      </x:c>
      <x:c r="L121" s="7" t="s">
        <x:v>651</x:v>
      </x:c>
      <x:c r="M121" s="7"/>
      <x:c r="N121" s="7"/>
      <x:c r="O121" s="12" t="s">
        <x:v>103</x:v>
      </x:c>
    </x:row>
    <x:row r="122">
      <x:c r="A122" s="11" t="s">
        <x:v>37</x:v>
      </x:c>
      <x:c r="B122" s="7" t="s">
        <x:v>118</x:v>
      </x:c>
      <x:c r="C122" s="7" t="s">
        <x:v>119</x:v>
      </x:c>
      <x:c r="D122" s="7" t="s">
        <x:v>481</x:v>
      </x:c>
      <x:c r="E122" s="7" t="s">
        <x:v>652</x:v>
      </x:c>
      <x:c r="F122" s="7" t="s">
        <x:v>653</x:v>
      </x:c>
      <x:c r="G122" s="7" t="s">
        <x:v>162</x:v>
      </x:c>
      <x:c r="H122" s="7" t="s">
        <x:v>163</x:v>
      </x:c>
      <x:c r="I122" s="47">
        <x:v>1</x:v>
      </x:c>
      <x:c r="J122" s="47">
        <x:v>2</x:v>
      </x:c>
      <x:c r="K122" s="47" t="n">
        <x:f>J122*Parametros!$B$9</x:f>
        <x:v>1.4</x:v>
      </x:c>
      <x:c r="L122" s="7" t="s">
        <x:v>654</x:v>
      </x:c>
      <x:c r="M122" s="7"/>
      <x:c r="N122" s="7"/>
      <x:c r="O122" s="12" t="s">
        <x:v>103</x:v>
      </x:c>
    </x:row>
    <x:row r="123">
      <x:c r="A123" s="11" t="s">
        <x:v>37</x:v>
      </x:c>
      <x:c r="B123" s="7" t="s">
        <x:v>118</x:v>
      </x:c>
      <x:c r="C123" s="7" t="s">
        <x:v>119</x:v>
      </x:c>
      <x:c r="D123" s="7" t="s">
        <x:v>655</x:v>
      </x:c>
      <x:c r="E123" s="7" t="s">
        <x:v>656</x:v>
      </x:c>
      <x:c r="F123" s="7" t="s">
        <x:v>657</x:v>
      </x:c>
      <x:c r="G123" s="7" t="s">
        <x:v>184</x:v>
      </x:c>
      <x:c r="H123" s="7" t="s">
        <x:v>650</x:v>
      </x:c>
      <x:c r="I123" s="47">
        <x:v>4</x:v>
      </x:c>
      <x:c r="J123" s="47">
        <x:v>1.5</x:v>
      </x:c>
      <x:c r="K123" s="47" t="n">
        <x:f>J123*Parametros!$B$9</x:f>
        <x:v>1.0499999999999998</x:v>
      </x:c>
      <x:c r="L123" s="7" t="s">
        <x:v>658</x:v>
      </x:c>
      <x:c r="M123" s="7"/>
      <x:c r="N123" s="7"/>
      <x:c r="O123" s="12" t="s">
        <x:v>103</x:v>
      </x:c>
    </x:row>
    <x:row r="124">
      <x:c r="A124" s="11" t="s">
        <x:v>37</x:v>
      </x:c>
      <x:c r="B124" s="7" t="s">
        <x:v>118</x:v>
      </x:c>
      <x:c r="C124" s="7" t="s">
        <x:v>119</x:v>
      </x:c>
      <x:c r="D124" s="7" t="s">
        <x:v>655</x:v>
      </x:c>
      <x:c r="E124" s="7" t="s">
        <x:v>659</x:v>
      </x:c>
      <x:c r="F124" s="7" t="s">
        <x:v>660</x:v>
      </x:c>
      <x:c r="G124" s="7" t="s">
        <x:v>184</x:v>
      </x:c>
      <x:c r="H124" s="7" t="s">
        <x:v>650</x:v>
      </x:c>
      <x:c r="I124" s="47">
        <x:v>4</x:v>
      </x:c>
      <x:c r="J124" s="47">
        <x:v>1</x:v>
      </x:c>
      <x:c r="K124" s="47" t="n">
        <x:f>J124*Parametros!$B$9</x:f>
        <x:v>0.7</x:v>
      </x:c>
      <x:c r="L124" s="7" t="s">
        <x:v>661</x:v>
      </x:c>
      <x:c r="M124" s="7"/>
      <x:c r="N124" s="7"/>
      <x:c r="O124" s="12" t="s">
        <x:v>103</x:v>
      </x:c>
    </x:row>
    <x:row r="125">
      <x:c r="A125" s="11" t="s">
        <x:v>37</x:v>
      </x:c>
      <x:c r="B125" s="7" t="s">
        <x:v>118</x:v>
      </x:c>
      <x:c r="C125" s="7" t="s">
        <x:v>119</x:v>
      </x:c>
      <x:c r="D125" s="7" t="s">
        <x:v>662</x:v>
      </x:c>
      <x:c r="E125" s="7" t="s">
        <x:v>663</x:v>
      </x:c>
      <x:c r="F125" s="7" t="s">
        <x:v>664</x:v>
      </x:c>
      <x:c r="G125" s="7" t="s">
        <x:v>194</x:v>
      </x:c>
      <x:c r="H125" s="7" t="s">
        <x:v>329</x:v>
      </x:c>
      <x:c r="I125" s="47">
        <x:v>2</x:v>
      </x:c>
      <x:c r="J125" s="47">
        <x:v>1.5</x:v>
      </x:c>
      <x:c r="K125" s="47" t="n">
        <x:f>J125*Parametros!$B$9</x:f>
        <x:v>1.0499999999999998</x:v>
      </x:c>
      <x:c r="L125" s="7" t="s">
        <x:v>665</x:v>
      </x:c>
      <x:c r="M125" s="7"/>
      <x:c r="N125" s="7"/>
      <x:c r="O125" s="12" t="s">
        <x:v>103</x:v>
      </x:c>
    </x:row>
    <x:row r="126">
      <x:c r="A126" s="11" t="s">
        <x:v>37</x:v>
      </x:c>
      <x:c r="B126" s="7" t="s">
        <x:v>118</x:v>
      </x:c>
      <x:c r="C126" s="7" t="s">
        <x:v>119</x:v>
      </x:c>
      <x:c r="D126" s="7" t="s">
        <x:v>666</x:v>
      </x:c>
      <x:c r="E126" s="7" t="s">
        <x:v>667</x:v>
      </x:c>
      <x:c r="F126" s="7" t="s">
        <x:v>668</x:v>
      </x:c>
      <x:c r="G126" s="7" t="s">
        <x:v>162</x:v>
      </x:c>
      <x:c r="H126" s="7" t="s">
        <x:v>358</x:v>
      </x:c>
      <x:c r="I126" s="47">
        <x:v>1</x:v>
      </x:c>
      <x:c r="J126" s="47">
        <x:v>1.5</x:v>
      </x:c>
      <x:c r="K126" s="47" t="n">
        <x:f>J126*Parametros!$B$9</x:f>
        <x:v>1.0499999999999998</x:v>
      </x:c>
      <x:c r="L126" s="7" t="s">
        <x:v>669</x:v>
      </x:c>
      <x:c r="M126" s="7"/>
      <x:c r="N126" s="7"/>
      <x:c r="O126" s="12" t="s">
        <x:v>103</x:v>
      </x:c>
    </x:row>
    <x:row r="127">
      <x:c r="A127" s="11" t="s">
        <x:v>37</x:v>
      </x:c>
      <x:c r="B127" s="7" t="s">
        <x:v>118</x:v>
      </x:c>
      <x:c r="C127" s="7" t="s">
        <x:v>119</x:v>
      </x:c>
      <x:c r="D127" s="7" t="s">
        <x:v>629</x:v>
      </x:c>
      <x:c r="E127" s="7" t="s">
        <x:v>670</x:v>
      </x:c>
      <x:c r="F127" s="7" t="s">
        <x:v>671</x:v>
      </x:c>
      <x:c r="G127" s="7" t="s">
        <x:v>184</x:v>
      </x:c>
      <x:c r="H127" s="7" t="s">
        <x:v>306</x:v>
      </x:c>
      <x:c r="I127" s="47">
        <x:v>1</x:v>
      </x:c>
      <x:c r="J127" s="47">
        <x:v>3</x:v>
      </x:c>
      <x:c r="K127" s="47" t="n">
        <x:f>J127*Parametros!$B$9</x:f>
        <x:v>2.0999999999999996</x:v>
      </x:c>
      <x:c r="L127" s="7" t="s">
        <x:v>672</x:v>
      </x:c>
      <x:c r="M127" s="7"/>
      <x:c r="N127" s="7"/>
      <x:c r="O127" s="12" t="s">
        <x:v>103</x:v>
      </x:c>
    </x:row>
    <x:row r="128">
      <x:c r="A128" s="11" t="s">
        <x:v>37</x:v>
      </x:c>
      <x:c r="B128" s="7" t="s">
        <x:v>118</x:v>
      </x:c>
      <x:c r="C128" s="7" t="s">
        <x:v>119</x:v>
      </x:c>
      <x:c r="D128" s="7" t="s">
        <x:v>673</x:v>
      </x:c>
      <x:c r="E128" s="7" t="s">
        <x:v>674</x:v>
      </x:c>
      <x:c r="F128" s="7" t="s">
        <x:v>675</x:v>
      </x:c>
      <x:c r="G128" s="7" t="s">
        <x:v>184</x:v>
      </x:c>
      <x:c r="H128" s="7" t="s">
        <x:v>397</x:v>
      </x:c>
      <x:c r="I128" s="47">
        <x:v>3</x:v>
      </x:c>
      <x:c r="J128" s="47">
        <x:v>1</x:v>
      </x:c>
      <x:c r="K128" s="47" t="n">
        <x:f>J128*Parametros!$B$9</x:f>
        <x:v>0.7</x:v>
      </x:c>
      <x:c r="L128" s="7" t="s">
        <x:v>676</x:v>
      </x:c>
      <x:c r="M128" s="7"/>
      <x:c r="N128" s="7"/>
      <x:c r="O128" s="12" t="s">
        <x:v>103</x:v>
      </x:c>
    </x:row>
    <x:row r="129">
      <x:c r="A129" s="11" t="s">
        <x:v>37</x:v>
      </x:c>
      <x:c r="B129" s="7" t="s">
        <x:v>118</x:v>
      </x:c>
      <x:c r="C129" s="7" t="s">
        <x:v>119</x:v>
      </x:c>
      <x:c r="D129" s="7" t="s">
        <x:v>240</x:v>
      </x:c>
      <x:c r="E129" s="7" t="s">
        <x:v>677</x:v>
      </x:c>
      <x:c r="F129" s="7" t="s">
        <x:v>678</x:v>
      </x:c>
      <x:c r="G129" s="7" t="s">
        <x:v>162</x:v>
      </x:c>
      <x:c r="H129" s="7" t="s">
        <x:v>453</x:v>
      </x:c>
      <x:c r="I129" s="47">
        <x:v>4</x:v>
      </x:c>
      <x:c r="J129" s="47">
        <x:v>0.75</x:v>
      </x:c>
      <x:c r="K129" s="47" t="n">
        <x:f>J129*Parametros!$B$9</x:f>
        <x:v>0.5249999999999999</x:v>
      </x:c>
      <x:c r="L129" s="7" t="s">
        <x:v>679</x:v>
      </x:c>
      <x:c r="M129" s="7"/>
      <x:c r="N129" s="7"/>
      <x:c r="O129" s="12" t="s">
        <x:v>103</x:v>
      </x:c>
    </x:row>
    <x:row r="130">
      <x:c r="A130" s="11" t="s">
        <x:v>37</x:v>
      </x:c>
      <x:c r="B130" s="7" t="s">
        <x:v>118</x:v>
      </x:c>
      <x:c r="C130" s="7" t="s">
        <x:v>119</x:v>
      </x:c>
      <x:c r="D130" s="7" t="s">
        <x:v>640</x:v>
      </x:c>
      <x:c r="E130" s="7" t="s">
        <x:v>680</x:v>
      </x:c>
      <x:c r="F130" s="7" t="s">
        <x:v>681</x:v>
      </x:c>
      <x:c r="G130" s="7" t="s">
        <x:v>162</x:v>
      </x:c>
      <x:c r="H130" s="7" t="s">
        <x:v>643</x:v>
      </x:c>
      <x:c r="I130" s="47">
        <x:v>1</x:v>
      </x:c>
      <x:c r="J130" s="47">
        <x:v>1.5</x:v>
      </x:c>
      <x:c r="K130" s="47" t="n">
        <x:f>J130*Parametros!$B$9</x:f>
        <x:v>1.0499999999999998</x:v>
      </x:c>
      <x:c r="L130" s="7" t="s">
        <x:v>682</x:v>
      </x:c>
      <x:c r="M130" s="7"/>
      <x:c r="N130" s="7"/>
      <x:c r="O130" s="12" t="s">
        <x:v>103</x:v>
      </x:c>
    </x:row>
    <x:row r="131">
      <x:c r="A131" s="11" t="s">
        <x:v>37</x:v>
      </x:c>
      <x:c r="B131" s="7" t="s">
        <x:v>120</x:v>
      </x:c>
      <x:c r="C131" s="7" t="s">
        <x:v>121</x:v>
      </x:c>
      <x:c r="D131" s="7" t="s">
        <x:v>424</x:v>
      </x:c>
      <x:c r="E131" s="7" t="s">
        <x:v>683</x:v>
      </x:c>
      <x:c r="F131" s="7" t="s">
        <x:v>684</x:v>
      </x:c>
      <x:c r="G131" s="7" t="s">
        <x:v>162</x:v>
      </x:c>
      <x:c r="H131" s="7" t="s">
        <x:v>685</x:v>
      </x:c>
      <x:c r="I131" s="47">
        <x:v>6</x:v>
      </x:c>
      <x:c r="J131" s="47">
        <x:v>0.5</x:v>
      </x:c>
      <x:c r="K131" s="47" t="n">
        <x:f>J131*Parametros!$B$9</x:f>
        <x:v>0.35</x:v>
      </x:c>
      <x:c r="L131" s="7" t="s">
        <x:v>686</x:v>
      </x:c>
      <x:c r="M131" s="7"/>
      <x:c r="N131" s="7"/>
      <x:c r="O131" s="12" t="s">
        <x:v>103</x:v>
      </x:c>
    </x:row>
    <x:row r="132">
      <x:c r="A132" s="11" t="s">
        <x:v>37</x:v>
      </x:c>
      <x:c r="B132" s="7" t="s">
        <x:v>120</x:v>
      </x:c>
      <x:c r="C132" s="7" t="s">
        <x:v>121</x:v>
      </x:c>
      <x:c r="D132" s="7" t="s">
        <x:v>687</x:v>
      </x:c>
      <x:c r="E132" s="7" t="s">
        <x:v>688</x:v>
      </x:c>
      <x:c r="F132" s="7" t="s">
        <x:v>689</x:v>
      </x:c>
      <x:c r="G132" s="7" t="s">
        <x:v>184</x:v>
      </x:c>
      <x:c r="H132" s="7" t="s">
        <x:v>685</x:v>
      </x:c>
      <x:c r="I132" s="47">
        <x:v>4</x:v>
      </x:c>
      <x:c r="J132" s="47">
        <x:v>1.5</x:v>
      </x:c>
      <x:c r="K132" s="47" t="n">
        <x:f>J132*Parametros!$B$9</x:f>
        <x:v>1.0499999999999998</x:v>
      </x:c>
      <x:c r="L132" s="7" t="s">
        <x:v>690</x:v>
      </x:c>
      <x:c r="M132" s="7"/>
      <x:c r="N132" s="7"/>
      <x:c r="O132" s="12" t="s">
        <x:v>103</x:v>
      </x:c>
    </x:row>
    <x:row r="133">
      <x:c r="A133" s="11" t="s">
        <x:v>37</x:v>
      </x:c>
      <x:c r="B133" s="7" t="s">
        <x:v>120</x:v>
      </x:c>
      <x:c r="C133" s="7" t="s">
        <x:v>121</x:v>
      </x:c>
      <x:c r="D133" s="7" t="s">
        <x:v>691</x:v>
      </x:c>
      <x:c r="E133" s="7" t="s">
        <x:v>692</x:v>
      </x:c>
      <x:c r="F133" s="7" t="s">
        <x:v>693</x:v>
      </x:c>
      <x:c r="G133" s="7" t="s">
        <x:v>184</x:v>
      </x:c>
      <x:c r="H133" s="7" t="s">
        <x:v>694</x:v>
      </x:c>
      <x:c r="I133" s="47">
        <x:v>2</x:v>
      </x:c>
      <x:c r="J133" s="47">
        <x:v>1.5</x:v>
      </x:c>
      <x:c r="K133" s="47" t="n">
        <x:f>J133*Parametros!$B$9</x:f>
        <x:v>1.0499999999999998</x:v>
      </x:c>
      <x:c r="L133" s="7" t="s">
        <x:v>695</x:v>
      </x:c>
      <x:c r="M133" s="7"/>
      <x:c r="N133" s="7"/>
      <x:c r="O133" s="12" t="s">
        <x:v>103</x:v>
      </x:c>
    </x:row>
    <x:row r="134">
      <x:c r="A134" s="11" t="s">
        <x:v>37</x:v>
      </x:c>
      <x:c r="B134" s="7" t="s">
        <x:v>120</x:v>
      </x:c>
      <x:c r="C134" s="7" t="s">
        <x:v>121</x:v>
      </x:c>
      <x:c r="D134" s="7" t="s">
        <x:v>629</x:v>
      </x:c>
      <x:c r="E134" s="7" t="s">
        <x:v>696</x:v>
      </x:c>
      <x:c r="F134" s="7" t="s">
        <x:v>697</x:v>
      </x:c>
      <x:c r="G134" s="7" t="s">
        <x:v>184</x:v>
      </x:c>
      <x:c r="H134" s="7" t="s">
        <x:v>306</x:v>
      </x:c>
      <x:c r="I134" s="47">
        <x:v>1</x:v>
      </x:c>
      <x:c r="J134" s="47">
        <x:v>3</x:v>
      </x:c>
      <x:c r="K134" s="47" t="n">
        <x:f>J134*Parametros!$B$9</x:f>
        <x:v>2.0999999999999996</x:v>
      </x:c>
      <x:c r="L134" s="7" t="s">
        <x:v>698</x:v>
      </x:c>
      <x:c r="M134" s="7"/>
      <x:c r="N134" s="7"/>
      <x:c r="O134" s="12" t="s">
        <x:v>103</x:v>
      </x:c>
    </x:row>
    <x:row r="135">
      <x:c r="A135" s="11" t="s">
        <x:v>37</x:v>
      </x:c>
      <x:c r="B135" s="7" t="s">
        <x:v>120</x:v>
      </x:c>
      <x:c r="C135" s="7" t="s">
        <x:v>121</x:v>
      </x:c>
      <x:c r="D135" s="7" t="s">
        <x:v>673</x:v>
      </x:c>
      <x:c r="E135" s="7" t="s">
        <x:v>699</x:v>
      </x:c>
      <x:c r="F135" s="7" t="s">
        <x:v>700</x:v>
      </x:c>
      <x:c r="G135" s="7" t="s">
        <x:v>184</x:v>
      </x:c>
      <x:c r="H135" s="7" t="s">
        <x:v>685</x:v>
      </x:c>
      <x:c r="I135" s="47">
        <x:v>5</x:v>
      </x:c>
      <x:c r="J135" s="47">
        <x:v>0.75</x:v>
      </x:c>
      <x:c r="K135" s="47" t="n">
        <x:f>J135*Parametros!$B$9</x:f>
        <x:v>0.5249999999999999</x:v>
      </x:c>
      <x:c r="L135" s="7" t="s">
        <x:v>701</x:v>
      </x:c>
      <x:c r="M135" s="7"/>
      <x:c r="N135" s="7"/>
      <x:c r="O135" s="12" t="s">
        <x:v>103</x:v>
      </x:c>
    </x:row>
    <x:row r="136">
      <x:c r="A136" s="11" t="s">
        <x:v>37</x:v>
      </x:c>
      <x:c r="B136" s="7" t="s">
        <x:v>120</x:v>
      </x:c>
      <x:c r="C136" s="7" t="s">
        <x:v>121</x:v>
      </x:c>
      <x:c r="D136" s="7" t="s">
        <x:v>702</x:v>
      </x:c>
      <x:c r="E136" s="7" t="s">
        <x:v>703</x:v>
      </x:c>
      <x:c r="F136" s="7" t="s">
        <x:v>704</x:v>
      </x:c>
      <x:c r="G136" s="7" t="s">
        <x:v>194</x:v>
      </x:c>
      <x:c r="H136" s="7" t="s">
        <x:v>163</x:v>
      </x:c>
      <x:c r="I136" s="47">
        <x:v>1</x:v>
      </x:c>
      <x:c r="J136" s="47">
        <x:v>2.5</x:v>
      </x:c>
      <x:c r="K136" s="47" t="n">
        <x:f>J136*Parametros!$B$9</x:f>
        <x:v>1.75</x:v>
      </x:c>
      <x:c r="L136" s="7" t="s">
        <x:v>705</x:v>
      </x:c>
      <x:c r="M136" s="7"/>
      <x:c r="N136" s="7"/>
      <x:c r="O136" s="12" t="s">
        <x:v>103</x:v>
      </x:c>
    </x:row>
    <x:row r="137">
      <x:c r="A137" s="11" t="s">
        <x:v>37</x:v>
      </x:c>
      <x:c r="B137" s="7" t="s">
        <x:v>120</x:v>
      </x:c>
      <x:c r="C137" s="7" t="s">
        <x:v>121</x:v>
      </x:c>
      <x:c r="D137" s="7" t="s">
        <x:v>706</x:v>
      </x:c>
      <x:c r="E137" s="7" t="s">
        <x:v>707</x:v>
      </x:c>
      <x:c r="F137" s="7" t="s">
        <x:v>708</x:v>
      </x:c>
      <x:c r="G137" s="7" t="s">
        <x:v>194</x:v>
      </x:c>
      <x:c r="H137" s="7" t="s">
        <x:v>329</x:v>
      </x:c>
      <x:c r="I137" s="47">
        <x:v>2</x:v>
      </x:c>
      <x:c r="J137" s="47">
        <x:v>1.5</x:v>
      </x:c>
      <x:c r="K137" s="47" t="n">
        <x:f>J137*Parametros!$B$9</x:f>
        <x:v>1.0499999999999998</x:v>
      </x:c>
      <x:c r="L137" s="7" t="s">
        <x:v>709</x:v>
      </x:c>
      <x:c r="M137" s="7"/>
      <x:c r="N137" s="7"/>
      <x:c r="O137" s="12" t="s">
        <x:v>103</x:v>
      </x:c>
    </x:row>
    <x:row r="138">
      <x:c r="A138" s="11" t="s">
        <x:v>37</x:v>
      </x:c>
      <x:c r="B138" s="7" t="s">
        <x:v>120</x:v>
      </x:c>
      <x:c r="C138" s="7" t="s">
        <x:v>121</x:v>
      </x:c>
      <x:c r="D138" s="7" t="s">
        <x:v>240</x:v>
      </x:c>
      <x:c r="E138" s="7" t="s">
        <x:v>710</x:v>
      </x:c>
      <x:c r="F138" s="7" t="s">
        <x:v>711</x:v>
      </x:c>
      <x:c r="G138" s="7" t="s">
        <x:v>162</x:v>
      </x:c>
      <x:c r="H138" s="7" t="s">
        <x:v>453</x:v>
      </x:c>
      <x:c r="I138" s="47">
        <x:v>4</x:v>
      </x:c>
      <x:c r="J138" s="47">
        <x:v>0.75</x:v>
      </x:c>
      <x:c r="K138" s="47" t="n">
        <x:f>J138*Parametros!$B$9</x:f>
        <x:v>0.5249999999999999</x:v>
      </x:c>
      <x:c r="L138" s="7" t="s">
        <x:v>712</x:v>
      </x:c>
      <x:c r="M138" s="7"/>
      <x:c r="N138" s="7"/>
      <x:c r="O138" s="12" t="s">
        <x:v>103</x:v>
      </x:c>
    </x:row>
    <x:row r="139">
      <x:c r="A139" s="11" t="s">
        <x:v>37</x:v>
      </x:c>
      <x:c r="B139" s="7" t="s">
        <x:v>120</x:v>
      </x:c>
      <x:c r="C139" s="7" t="s">
        <x:v>121</x:v>
      </x:c>
      <x:c r="D139" s="7" t="s">
        <x:v>338</x:v>
      </x:c>
      <x:c r="E139" s="7" t="s">
        <x:v>713</x:v>
      </x:c>
      <x:c r="F139" s="7" t="s">
        <x:v>714</x:v>
      </x:c>
      <x:c r="G139" s="7" t="s">
        <x:v>184</x:v>
      </x:c>
      <x:c r="H139" s="7" t="s">
        <x:v>635</x:v>
      </x:c>
      <x:c r="I139" s="47">
        <x:v>1</x:v>
      </x:c>
      <x:c r="J139" s="47">
        <x:v>2</x:v>
      </x:c>
      <x:c r="K139" s="47" t="n">
        <x:f>J139*Parametros!$B$9</x:f>
        <x:v>1.4</x:v>
      </x:c>
      <x:c r="L139" s="7" t="s">
        <x:v>715</x:v>
      </x:c>
      <x:c r="M139" s="7"/>
      <x:c r="N139" s="7"/>
      <x:c r="O139" s="12" t="s">
        <x:v>103</x:v>
      </x:c>
    </x:row>
    <x:row r="140">
      <x:c r="A140" s="11" t="s">
        <x:v>37</x:v>
      </x:c>
      <x:c r="B140" s="7" t="s">
        <x:v>120</x:v>
      </x:c>
      <x:c r="C140" s="7" t="s">
        <x:v>121</x:v>
      </x:c>
      <x:c r="D140" s="7" t="s">
        <x:v>640</x:v>
      </x:c>
      <x:c r="E140" s="7" t="s">
        <x:v>716</x:v>
      </x:c>
      <x:c r="F140" s="7" t="s">
        <x:v>717</x:v>
      </x:c>
      <x:c r="G140" s="7" t="s">
        <x:v>162</x:v>
      </x:c>
      <x:c r="H140" s="7" t="s">
        <x:v>163</x:v>
      </x:c>
      <x:c r="I140" s="47">
        <x:v>1</x:v>
      </x:c>
      <x:c r="J140" s="47">
        <x:v>1.5</x:v>
      </x:c>
      <x:c r="K140" s="47" t="n">
        <x:f>J140*Parametros!$B$9</x:f>
        <x:v>1.0499999999999998</x:v>
      </x:c>
      <x:c r="L140" s="7" t="s">
        <x:v>718</x:v>
      </x:c>
      <x:c r="M140" s="7"/>
      <x:c r="N140" s="7"/>
      <x:c r="O140" s="12" t="s">
        <x:v>103</x:v>
      </x:c>
    </x:row>
    <x:row r="141">
      <x:c r="A141" s="11" t="s">
        <x:v>41</x:v>
      </x:c>
      <x:c r="B141" s="7" t="s">
        <x:v>122</x:v>
      </x:c>
      <x:c r="C141" s="7" t="s">
        <x:v>123</x:v>
      </x:c>
      <x:c r="D141" s="7" t="s">
        <x:v>424</x:v>
      </x:c>
      <x:c r="E141" s="7" t="s">
        <x:v>719</x:v>
      </x:c>
      <x:c r="F141" s="7" t="s">
        <x:v>720</x:v>
      </x:c>
      <x:c r="G141" s="7" t="s">
        <x:v>162</x:v>
      </x:c>
      <x:c r="H141" s="7" t="s">
        <x:v>721</x:v>
      </x:c>
      <x:c r="I141" s="47">
        <x:v>4</x:v>
      </x:c>
      <x:c r="J141" s="47">
        <x:v>0.75</x:v>
      </x:c>
      <x:c r="K141" s="47" t="n">
        <x:f>J141*Parametros!$B$9</x:f>
        <x:v>0.5249999999999999</x:v>
      </x:c>
      <x:c r="L141" s="7" t="s">
        <x:v>722</x:v>
      </x:c>
      <x:c r="M141" s="7"/>
      <x:c r="N141" s="7"/>
      <x:c r="O141" s="12" t="s">
        <x:v>103</x:v>
      </x:c>
    </x:row>
    <x:row r="142" ht="24">
      <x:c r="A142" s="11" t="s">
        <x:v>41</x:v>
      </x:c>
      <x:c r="B142" s="7" t="s">
        <x:v>122</x:v>
      </x:c>
      <x:c r="C142" s="7" t="s">
        <x:v>123</x:v>
      </x:c>
      <x:c r="D142" s="7" t="s">
        <x:v>481</x:v>
      </x:c>
      <x:c r="E142" s="7" t="s">
        <x:v>723</x:v>
      </x:c>
      <x:c r="F142" s="7" t="s">
        <x:v>724</x:v>
      </x:c>
      <x:c r="G142" s="7" t="s">
        <x:v>162</x:v>
      </x:c>
      <x:c r="H142" s="7" t="s">
        <x:v>496</x:v>
      </x:c>
      <x:c r="I142" s="47">
        <x:v>3</x:v>
      </x:c>
      <x:c r="J142" s="47">
        <x:v>1</x:v>
      </x:c>
      <x:c r="K142" s="47" t="n">
        <x:f>J142*Parametros!$B$9</x:f>
        <x:v>0.7</x:v>
      </x:c>
      <x:c r="L142" s="7" t="s">
        <x:v>725</x:v>
      </x:c>
      <x:c r="M142" s="7" t="s">
        <x:v>726</x:v>
      </x:c>
      <x:c r="N142" s="7"/>
      <x:c r="O142" s="12" t="s">
        <x:v>103</x:v>
      </x:c>
    </x:row>
    <x:row r="143">
      <x:c r="A143" s="11" t="s">
        <x:v>41</x:v>
      </x:c>
      <x:c r="B143" s="7" t="s">
        <x:v>122</x:v>
      </x:c>
      <x:c r="C143" s="7" t="s">
        <x:v>123</x:v>
      </x:c>
      <x:c r="D143" s="7" t="s">
        <x:v>481</x:v>
      </x:c>
      <x:c r="E143" s="7" t="s">
        <x:v>727</x:v>
      </x:c>
      <x:c r="F143" s="7" t="s">
        <x:v>728</x:v>
      </x:c>
      <x:c r="G143" s="7" t="s">
        <x:v>162</x:v>
      </x:c>
      <x:c r="H143" s="7" t="s">
        <x:v>163</x:v>
      </x:c>
      <x:c r="I143" s="47">
        <x:v>1</x:v>
      </x:c>
      <x:c r="J143" s="47">
        <x:v>2</x:v>
      </x:c>
      <x:c r="K143" s="47" t="n">
        <x:f>J143*Parametros!$B$9</x:f>
        <x:v>1.4</x:v>
      </x:c>
      <x:c r="L143" s="7" t="s">
        <x:v>729</x:v>
      </x:c>
      <x:c r="M143" s="7"/>
      <x:c r="N143" s="7"/>
      <x:c r="O143" s="12" t="s">
        <x:v>103</x:v>
      </x:c>
    </x:row>
    <x:row r="144">
      <x:c r="A144" s="11" t="s">
        <x:v>41</x:v>
      </x:c>
      <x:c r="B144" s="7" t="s">
        <x:v>122</x:v>
      </x:c>
      <x:c r="C144" s="7" t="s">
        <x:v>123</x:v>
      </x:c>
      <x:c r="D144" s="7" t="s">
        <x:v>655</x:v>
      </x:c>
      <x:c r="E144" s="7" t="s">
        <x:v>730</x:v>
      </x:c>
      <x:c r="F144" s="7" t="s">
        <x:v>731</x:v>
      </x:c>
      <x:c r="G144" s="7" t="s">
        <x:v>184</x:v>
      </x:c>
      <x:c r="H144" s="7" t="s">
        <x:v>392</x:v>
      </x:c>
      <x:c r="I144" s="47">
        <x:v>3</x:v>
      </x:c>
      <x:c r="J144" s="47">
        <x:v>1.5</x:v>
      </x:c>
      <x:c r="K144" s="47" t="n">
        <x:f>J144*Parametros!$B$9</x:f>
        <x:v>1.0499999999999998</x:v>
      </x:c>
      <x:c r="L144" s="7" t="s">
        <x:v>732</x:v>
      </x:c>
      <x:c r="M144" s="7"/>
      <x:c r="N144" s="7"/>
      <x:c r="O144" s="12" t="s">
        <x:v>103</x:v>
      </x:c>
    </x:row>
    <x:row r="145">
      <x:c r="A145" s="11" t="s">
        <x:v>41</x:v>
      </x:c>
      <x:c r="B145" s="7" t="s">
        <x:v>122</x:v>
      </x:c>
      <x:c r="C145" s="7" t="s">
        <x:v>123</x:v>
      </x:c>
      <x:c r="D145" s="7" t="s">
        <x:v>655</x:v>
      </x:c>
      <x:c r="E145" s="7" t="s">
        <x:v>733</x:v>
      </x:c>
      <x:c r="F145" s="7" t="s">
        <x:v>734</x:v>
      </x:c>
      <x:c r="G145" s="7" t="s">
        <x:v>184</x:v>
      </x:c>
      <x:c r="H145" s="7" t="s">
        <x:v>358</x:v>
      </x:c>
      <x:c r="I145" s="47">
        <x:v>1</x:v>
      </x:c>
      <x:c r="J145" s="47">
        <x:v>1.5</x:v>
      </x:c>
      <x:c r="K145" s="47" t="n">
        <x:f>J145*Parametros!$B$9</x:f>
        <x:v>1.0499999999999998</x:v>
      </x:c>
      <x:c r="L145" s="7" t="s">
        <x:v>735</x:v>
      </x:c>
      <x:c r="M145" s="7"/>
      <x:c r="N145" s="7"/>
      <x:c r="O145" s="12" t="s">
        <x:v>103</x:v>
      </x:c>
    </x:row>
    <x:row r="146">
      <x:c r="A146" s="11" t="s">
        <x:v>41</x:v>
      </x:c>
      <x:c r="B146" s="7" t="s">
        <x:v>122</x:v>
      </x:c>
      <x:c r="C146" s="7" t="s">
        <x:v>123</x:v>
      </x:c>
      <x:c r="D146" s="7" t="s">
        <x:v>655</x:v>
      </x:c>
      <x:c r="E146" s="7" t="s">
        <x:v>736</x:v>
      </x:c>
      <x:c r="F146" s="7" t="s">
        <x:v>737</x:v>
      </x:c>
      <x:c r="G146" s="7" t="s">
        <x:v>194</x:v>
      </x:c>
      <x:c r="H146" s="7" t="s">
        <x:v>738</x:v>
      </x:c>
      <x:c r="I146" s="47">
        <x:v>1</x:v>
      </x:c>
      <x:c r="J146" s="47">
        <x:v>2</x:v>
      </x:c>
      <x:c r="K146" s="47" t="n">
        <x:f>J146*Parametros!$B$9</x:f>
        <x:v>1.4</x:v>
      </x:c>
      <x:c r="L146" s="7" t="s">
        <x:v>739</x:v>
      </x:c>
      <x:c r="M146" s="7"/>
      <x:c r="N146" s="7"/>
      <x:c r="O146" s="12" t="s">
        <x:v>103</x:v>
      </x:c>
    </x:row>
    <x:row r="147">
      <x:c r="A147" s="11" t="s">
        <x:v>41</x:v>
      </x:c>
      <x:c r="B147" s="7" t="s">
        <x:v>122</x:v>
      </x:c>
      <x:c r="C147" s="7" t="s">
        <x:v>123</x:v>
      </x:c>
      <x:c r="D147" s="7" t="s">
        <x:v>597</x:v>
      </x:c>
      <x:c r="E147" s="7" t="s">
        <x:v>740</x:v>
      </x:c>
      <x:c r="F147" s="7" t="s">
        <x:v>741</x:v>
      </x:c>
      <x:c r="G147" s="7" t="s">
        <x:v>162</x:v>
      </x:c>
      <x:c r="H147" s="7" t="s">
        <x:v>392</x:v>
      </x:c>
      <x:c r="I147" s="47">
        <x:v>3</x:v>
      </x:c>
      <x:c r="J147" s="47">
        <x:v>0.75</x:v>
      </x:c>
      <x:c r="K147" s="47" t="n">
        <x:f>J147*Parametros!$B$9</x:f>
        <x:v>0.5249999999999999</x:v>
      </x:c>
      <x:c r="L147" s="7" t="s">
        <x:v>742</x:v>
      </x:c>
      <x:c r="M147" s="7"/>
      <x:c r="N147" s="7"/>
      <x:c r="O147" s="12" t="s">
        <x:v>103</x:v>
      </x:c>
    </x:row>
    <x:row r="148">
      <x:c r="A148" s="11" t="s">
        <x:v>41</x:v>
      </x:c>
      <x:c r="B148" s="7" t="s">
        <x:v>122</x:v>
      </x:c>
      <x:c r="C148" s="7" t="s">
        <x:v>123</x:v>
      </x:c>
      <x:c r="D148" s="7" t="s">
        <x:v>743</x:v>
      </x:c>
      <x:c r="E148" s="7" t="s">
        <x:v>744</x:v>
      </x:c>
      <x:c r="F148" s="7" t="s">
        <x:v>745</x:v>
      </x:c>
      <x:c r="G148" s="7" t="s">
        <x:v>162</x:v>
      </x:c>
      <x:c r="H148" s="7" t="s">
        <x:v>721</x:v>
      </x:c>
      <x:c r="I148" s="47">
        <x:v>2</x:v>
      </x:c>
      <x:c r="J148" s="47">
        <x:v>2</x:v>
      </x:c>
      <x:c r="K148" s="47" t="n">
        <x:f>J148*Parametros!$B$9</x:f>
        <x:v>1.4</x:v>
      </x:c>
      <x:c r="L148" s="7" t="s">
        <x:v>746</x:v>
      </x:c>
      <x:c r="M148" s="7"/>
      <x:c r="N148" s="7"/>
      <x:c r="O148" s="12" t="s">
        <x:v>103</x:v>
      </x:c>
    </x:row>
    <x:row r="149">
      <x:c r="A149" s="11" t="s">
        <x:v>41</x:v>
      </x:c>
      <x:c r="B149" s="7" t="s">
        <x:v>122</x:v>
      </x:c>
      <x:c r="C149" s="7" t="s">
        <x:v>123</x:v>
      </x:c>
      <x:c r="D149" s="7" t="s">
        <x:v>673</x:v>
      </x:c>
      <x:c r="E149" s="7" t="s">
        <x:v>747</x:v>
      </x:c>
      <x:c r="F149" s="7" t="s">
        <x:v>748</x:v>
      </x:c>
      <x:c r="G149" s="7" t="s">
        <x:v>184</x:v>
      </x:c>
      <x:c r="H149" s="7" t="s">
        <x:v>335</x:v>
      </x:c>
      <x:c r="I149" s="47">
        <x:v>2</x:v>
      </x:c>
      <x:c r="J149" s="47">
        <x:v>0.75</x:v>
      </x:c>
      <x:c r="K149" s="47" t="n">
        <x:f>J149*Parametros!$B$9</x:f>
        <x:v>0.5249999999999999</x:v>
      </x:c>
      <x:c r="L149" s="7" t="s">
        <x:v>749</x:v>
      </x:c>
      <x:c r="M149" s="7"/>
      <x:c r="N149" s="7"/>
      <x:c r="O149" s="12" t="s">
        <x:v>103</x:v>
      </x:c>
    </x:row>
    <x:row r="150" ht="24">
      <x:c r="A150" s="11" t="s">
        <x:v>41</x:v>
      </x:c>
      <x:c r="B150" s="7" t="s">
        <x:v>122</x:v>
      </x:c>
      <x:c r="C150" s="7" t="s">
        <x:v>123</x:v>
      </x:c>
      <x:c r="D150" s="7" t="s">
        <x:v>640</x:v>
      </x:c>
      <x:c r="E150" s="7" t="s">
        <x:v>750</x:v>
      </x:c>
      <x:c r="F150" s="7" t="s">
        <x:v>751</x:v>
      </x:c>
      <x:c r="G150" s="7" t="s">
        <x:v>162</x:v>
      </x:c>
      <x:c r="H150" s="7" t="s">
        <x:v>643</x:v>
      </x:c>
      <x:c r="I150" s="47">
        <x:v>1</x:v>
      </x:c>
      <x:c r="J150" s="47">
        <x:v>2</x:v>
      </x:c>
      <x:c r="K150" s="47" t="n">
        <x:f>J150*Parametros!$B$9</x:f>
        <x:v>1.4</x:v>
      </x:c>
      <x:c r="L150" s="7" t="s">
        <x:v>752</x:v>
      </x:c>
      <x:c r="M150" s="7" t="s">
        <x:v>753</x:v>
      </x:c>
      <x:c r="N150" s="7"/>
      <x:c r="O150" s="12" t="s">
        <x:v>103</x:v>
      </x:c>
    </x:row>
    <x:row r="151">
      <x:c r="A151" s="11" t="s">
        <x:v>41</x:v>
      </x:c>
      <x:c r="B151" s="7" t="s">
        <x:v>124</x:v>
      </x:c>
      <x:c r="C151" s="7" t="s">
        <x:v>125</x:v>
      </x:c>
      <x:c r="D151" s="7" t="s">
        <x:v>473</x:v>
      </x:c>
      <x:c r="E151" s="7" t="s">
        <x:v>754</x:v>
      </x:c>
      <x:c r="F151" s="7" t="s">
        <x:v>755</x:v>
      </x:c>
      <x:c r="G151" s="7" t="s">
        <x:v>162</x:v>
      </x:c>
      <x:c r="H151" s="7" t="s">
        <x:v>756</x:v>
      </x:c>
      <x:c r="I151" s="47">
        <x:v>4</x:v>
      </x:c>
      <x:c r="J151" s="47">
        <x:v>1.25</x:v>
      </x:c>
      <x:c r="K151" s="47" t="n">
        <x:f>J151*Parametros!$B$9</x:f>
        <x:v>0.875</x:v>
      </x:c>
      <x:c r="L151" s="7" t="s">
        <x:v>757</x:v>
      </x:c>
      <x:c r="M151" s="7"/>
      <x:c r="N151" s="7"/>
      <x:c r="O151" s="12" t="s">
        <x:v>103</x:v>
      </x:c>
    </x:row>
    <x:row r="152">
      <x:c r="A152" s="11" t="s">
        <x:v>41</x:v>
      </x:c>
      <x:c r="B152" s="7" t="s">
        <x:v>124</x:v>
      </x:c>
      <x:c r="C152" s="7" t="s">
        <x:v>125</x:v>
      </x:c>
      <x:c r="D152" s="7" t="s">
        <x:v>473</x:v>
      </x:c>
      <x:c r="E152" s="7" t="s">
        <x:v>758</x:v>
      </x:c>
      <x:c r="F152" s="7" t="s">
        <x:v>759</x:v>
      </x:c>
      <x:c r="G152" s="7" t="s">
        <x:v>162</x:v>
      </x:c>
      <x:c r="H152" s="7" t="s">
        <x:v>496</x:v>
      </x:c>
      <x:c r="I152" s="47">
        <x:v>4</x:v>
      </x:c>
      <x:c r="J152" s="47">
        <x:v>0.75</x:v>
      </x:c>
      <x:c r="K152" s="47" t="n">
        <x:f>J152*Parametros!$B$9</x:f>
        <x:v>0.5249999999999999</x:v>
      </x:c>
      <x:c r="L152" s="7" t="s">
        <x:v>760</x:v>
      </x:c>
      <x:c r="M152" s="7"/>
      <x:c r="N152" s="7"/>
      <x:c r="O152" s="12" t="s">
        <x:v>103</x:v>
      </x:c>
    </x:row>
    <x:row r="153" ht="24">
      <x:c r="A153" s="11" t="s">
        <x:v>41</x:v>
      </x:c>
      <x:c r="B153" s="7" t="s">
        <x:v>124</x:v>
      </x:c>
      <x:c r="C153" s="7" t="s">
        <x:v>125</x:v>
      </x:c>
      <x:c r="D153" s="7" t="s">
        <x:v>761</x:v>
      </x:c>
      <x:c r="E153" s="7" t="s">
        <x:v>762</x:v>
      </x:c>
      <x:c r="F153" s="7" t="s">
        <x:v>763</x:v>
      </x:c>
      <x:c r="G153" s="7" t="s">
        <x:v>162</x:v>
      </x:c>
      <x:c r="H153" s="7" t="s">
        <x:v>496</x:v>
      </x:c>
      <x:c r="I153" s="47">
        <x:v>4</x:v>
      </x:c>
      <x:c r="J153" s="47">
        <x:v>1</x:v>
      </x:c>
      <x:c r="K153" s="47" t="n">
        <x:f>J153*Parametros!$B$9</x:f>
        <x:v>0.7</x:v>
      </x:c>
      <x:c r="L153" s="7" t="s">
        <x:v>764</x:v>
      </x:c>
      <x:c r="M153" s="7" t="s">
        <x:v>765</x:v>
      </x:c>
      <x:c r="N153" s="7"/>
      <x:c r="O153" s="12" t="s">
        <x:v>103</x:v>
      </x:c>
    </x:row>
    <x:row r="154">
      <x:c r="A154" s="11" t="s">
        <x:v>41</x:v>
      </x:c>
      <x:c r="B154" s="7" t="s">
        <x:v>124</x:v>
      </x:c>
      <x:c r="C154" s="7" t="s">
        <x:v>125</x:v>
      </x:c>
      <x:c r="D154" s="7" t="s">
        <x:v>766</x:v>
      </x:c>
      <x:c r="E154" s="7" t="s">
        <x:v>767</x:v>
      </x:c>
      <x:c r="F154" s="7" t="s">
        <x:v>768</x:v>
      </x:c>
      <x:c r="G154" s="7" t="s">
        <x:v>162</x:v>
      </x:c>
      <x:c r="H154" s="7" t="s">
        <x:v>496</x:v>
      </x:c>
      <x:c r="I154" s="47">
        <x:v>3</x:v>
      </x:c>
      <x:c r="J154" s="47">
        <x:v>2</x:v>
      </x:c>
      <x:c r="K154" s="47" t="n">
        <x:f>J154*Parametros!$B$9</x:f>
        <x:v>1.4</x:v>
      </x:c>
      <x:c r="L154" s="7" t="s">
        <x:v>769</x:v>
      </x:c>
      <x:c r="M154" s="7"/>
      <x:c r="N154" s="7"/>
      <x:c r="O154" s="12" t="s">
        <x:v>103</x:v>
      </x:c>
    </x:row>
    <x:row r="155" ht="24">
      <x:c r="A155" s="11" t="s">
        <x:v>41</x:v>
      </x:c>
      <x:c r="B155" s="7" t="s">
        <x:v>124</x:v>
      </x:c>
      <x:c r="C155" s="7" t="s">
        <x:v>125</x:v>
      </x:c>
      <x:c r="D155" s="7" t="s">
        <x:v>770</x:v>
      </x:c>
      <x:c r="E155" s="7" t="s">
        <x:v>771</x:v>
      </x:c>
      <x:c r="F155" s="7" t="s">
        <x:v>772</x:v>
      </x:c>
      <x:c r="G155" s="7" t="s">
        <x:v>184</x:v>
      </x:c>
      <x:c r="H155" s="7" t="s">
        <x:v>496</x:v>
      </x:c>
      <x:c r="I155" s="47">
        <x:v>3</x:v>
      </x:c>
      <x:c r="J155" s="47">
        <x:v>2.5</x:v>
      </x:c>
      <x:c r="K155" s="47" t="n">
        <x:f>J155*Parametros!$B$9</x:f>
        <x:v>1.75</x:v>
      </x:c>
      <x:c r="L155" s="7" t="s">
        <x:v>773</x:v>
      </x:c>
      <x:c r="M155" s="7" t="s">
        <x:v>774</x:v>
      </x:c>
      <x:c r="N155" s="7"/>
      <x:c r="O155" s="12" t="s">
        <x:v>103</x:v>
      </x:c>
    </x:row>
    <x:row r="156">
      <x:c r="A156" s="11" t="s">
        <x:v>41</x:v>
      </x:c>
      <x:c r="B156" s="7" t="s">
        <x:v>124</x:v>
      </x:c>
      <x:c r="C156" s="7" t="s">
        <x:v>125</x:v>
      </x:c>
      <x:c r="D156" s="7" t="s">
        <x:v>775</x:v>
      </x:c>
      <x:c r="E156" s="7" t="s">
        <x:v>776</x:v>
      </x:c>
      <x:c r="F156" s="7" t="s">
        <x:v>777</x:v>
      </x:c>
      <x:c r="G156" s="7" t="s">
        <x:v>162</x:v>
      </x:c>
      <x:c r="H156" s="7" t="s">
        <x:v>163</x:v>
      </x:c>
      <x:c r="I156" s="47">
        <x:v>1</x:v>
      </x:c>
      <x:c r="J156" s="47">
        <x:v>1.5</x:v>
      </x:c>
      <x:c r="K156" s="47" t="n">
        <x:f>J156*Parametros!$B$9</x:f>
        <x:v>1.0499999999999998</x:v>
      </x:c>
      <x:c r="L156" s="7" t="s">
        <x:v>778</x:v>
      </x:c>
      <x:c r="M156" s="7"/>
      <x:c r="N156" s="7"/>
      <x:c r="O156" s="12" t="s">
        <x:v>103</x:v>
      </x:c>
    </x:row>
    <x:row r="157">
      <x:c r="A157" s="11" t="s">
        <x:v>41</x:v>
      </x:c>
      <x:c r="B157" s="7" t="s">
        <x:v>124</x:v>
      </x:c>
      <x:c r="C157" s="7" t="s">
        <x:v>125</x:v>
      </x:c>
      <x:c r="D157" s="7" t="s">
        <x:v>779</x:v>
      </x:c>
      <x:c r="E157" s="7" t="s">
        <x:v>780</x:v>
      </x:c>
      <x:c r="F157" s="7" t="s">
        <x:v>781</x:v>
      </x:c>
      <x:c r="G157" s="7" t="s">
        <x:v>162</x:v>
      </x:c>
      <x:c r="H157" s="7" t="s">
        <x:v>782</x:v>
      </x:c>
      <x:c r="I157" s="47">
        <x:v>1</x:v>
      </x:c>
      <x:c r="J157" s="47">
        <x:v>2</x:v>
      </x:c>
      <x:c r="K157" s="47" t="n">
        <x:f>J157*Parametros!$B$9</x:f>
        <x:v>1.4</x:v>
      </x:c>
      <x:c r="L157" s="7" t="s">
        <x:v>783</x:v>
      </x:c>
      <x:c r="M157" s="7"/>
      <x:c r="N157" s="7"/>
      <x:c r="O157" s="12" t="s">
        <x:v>103</x:v>
      </x:c>
    </x:row>
    <x:row r="158">
      <x:c r="A158" s="11" t="s">
        <x:v>41</x:v>
      </x:c>
      <x:c r="B158" s="7" t="s">
        <x:v>124</x:v>
      </x:c>
      <x:c r="C158" s="7" t="s">
        <x:v>125</x:v>
      </x:c>
      <x:c r="D158" s="7" t="s">
        <x:v>779</x:v>
      </x:c>
      <x:c r="E158" s="7" t="s">
        <x:v>784</x:v>
      </x:c>
      <x:c r="F158" s="7" t="s">
        <x:v>785</x:v>
      </x:c>
      <x:c r="G158" s="7" t="s">
        <x:v>162</x:v>
      </x:c>
      <x:c r="H158" s="7" t="s">
        <x:v>786</x:v>
      </x:c>
      <x:c r="I158" s="47">
        <x:v>1</x:v>
      </x:c>
      <x:c r="J158" s="47">
        <x:v>4</x:v>
      </x:c>
      <x:c r="K158" s="47" t="n">
        <x:f>J158*Parametros!$B$9</x:f>
        <x:v>2.8</x:v>
      </x:c>
      <x:c r="L158" s="7" t="s">
        <x:v>787</x:v>
      </x:c>
      <x:c r="M158" s="7"/>
      <x:c r="N158" s="7"/>
      <x:c r="O158" s="12" t="s">
        <x:v>103</x:v>
      </x:c>
    </x:row>
    <x:row r="159">
      <x:c r="A159" s="11" t="s">
        <x:v>41</x:v>
      </x:c>
      <x:c r="B159" s="7" t="s">
        <x:v>124</x:v>
      </x:c>
      <x:c r="C159" s="7" t="s">
        <x:v>125</x:v>
      </x:c>
      <x:c r="D159" s="7" t="s">
        <x:v>788</x:v>
      </x:c>
      <x:c r="E159" s="7" t="s">
        <x:v>789</x:v>
      </x:c>
      <x:c r="F159" s="7" t="s">
        <x:v>790</x:v>
      </x:c>
      <x:c r="G159" s="7" t="s">
        <x:v>162</x:v>
      </x:c>
      <x:c r="H159" s="7" t="s">
        <x:v>163</x:v>
      </x:c>
      <x:c r="I159" s="47">
        <x:v>1</x:v>
      </x:c>
      <x:c r="J159" s="47">
        <x:v>2</x:v>
      </x:c>
      <x:c r="K159" s="47" t="n">
        <x:f>J159*Parametros!$B$9</x:f>
        <x:v>1.4</x:v>
      </x:c>
      <x:c r="L159" s="7" t="s">
        <x:v>791</x:v>
      </x:c>
      <x:c r="M159" s="7"/>
      <x:c r="N159" s="7"/>
      <x:c r="O159" s="12" t="s">
        <x:v>103</x:v>
      </x:c>
    </x:row>
    <x:row r="160">
      <x:c r="A160" s="11" t="s">
        <x:v>41</x:v>
      </x:c>
      <x:c r="B160" s="7" t="s">
        <x:v>124</x:v>
      </x:c>
      <x:c r="C160" s="7" t="s">
        <x:v>125</x:v>
      </x:c>
      <x:c r="D160" s="7" t="s">
        <x:v>640</x:v>
      </x:c>
      <x:c r="E160" s="7" t="s">
        <x:v>792</x:v>
      </x:c>
      <x:c r="F160" s="7" t="s">
        <x:v>793</x:v>
      </x:c>
      <x:c r="G160" s="7" t="s">
        <x:v>184</x:v>
      </x:c>
      <x:c r="H160" s="7" t="s">
        <x:v>163</x:v>
      </x:c>
      <x:c r="I160" s="47">
        <x:v>1</x:v>
      </x:c>
      <x:c r="J160" s="47">
        <x:v>1</x:v>
      </x:c>
      <x:c r="K160" s="47" t="n">
        <x:f>J160*Parametros!$B$9</x:f>
        <x:v>0.7</x:v>
      </x:c>
      <x:c r="L160" s="7" t="s">
        <x:v>794</x:v>
      </x:c>
      <x:c r="M160" s="7"/>
      <x:c r="N160" s="7"/>
      <x:c r="O160" s="12" t="s">
        <x:v>103</x:v>
      </x:c>
    </x:row>
    <x:row r="161">
      <x:c r="A161" s="11" t="s">
        <x:v>41</x:v>
      </x:c>
      <x:c r="B161" s="7" t="s">
        <x:v>126</x:v>
      </x:c>
      <x:c r="C161" s="7" t="s">
        <x:v>127</x:v>
      </x:c>
      <x:c r="D161" s="7" t="s">
        <x:v>424</x:v>
      </x:c>
      <x:c r="E161" s="7" t="s">
        <x:v>795</x:v>
      </x:c>
      <x:c r="F161" s="7" t="s">
        <x:v>796</x:v>
      </x:c>
      <x:c r="G161" s="7" t="s">
        <x:v>162</x:v>
      </x:c>
      <x:c r="H161" s="7" t="s">
        <x:v>650</x:v>
      </x:c>
      <x:c r="I161" s="47">
        <x:v>5</x:v>
      </x:c>
      <x:c r="J161" s="47">
        <x:v>0.75</x:v>
      </x:c>
      <x:c r="K161" s="47" t="n">
        <x:f>J161*Parametros!$B$9</x:f>
        <x:v>0.5249999999999999</x:v>
      </x:c>
      <x:c r="L161" s="7" t="s">
        <x:v>797</x:v>
      </x:c>
      <x:c r="M161" s="7"/>
      <x:c r="N161" s="7"/>
      <x:c r="O161" s="12" t="s">
        <x:v>103</x:v>
      </x:c>
    </x:row>
    <x:row r="162">
      <x:c r="A162" s="11" t="s">
        <x:v>41</x:v>
      </x:c>
      <x:c r="B162" s="7" t="s">
        <x:v>126</x:v>
      </x:c>
      <x:c r="C162" s="7" t="s">
        <x:v>127</x:v>
      </x:c>
      <x:c r="D162" s="7" t="s">
        <x:v>798</x:v>
      </x:c>
      <x:c r="E162" s="7" t="s">
        <x:v>799</x:v>
      </x:c>
      <x:c r="F162" s="7" t="s">
        <x:v>800</x:v>
      </x:c>
      <x:c r="G162" s="7" t="s">
        <x:v>162</x:v>
      </x:c>
      <x:c r="H162" s="7" t="s">
        <x:v>801</x:v>
      </x:c>
      <x:c r="I162" s="47">
        <x:v>4</x:v>
      </x:c>
      <x:c r="J162" s="47">
        <x:v>1</x:v>
      </x:c>
      <x:c r="K162" s="47" t="n">
        <x:f>J162*Parametros!$B$9</x:f>
        <x:v>0.7</x:v>
      </x:c>
      <x:c r="L162" s="7" t="s">
        <x:v>802</x:v>
      </x:c>
      <x:c r="M162" s="7"/>
      <x:c r="N162" s="7"/>
      <x:c r="O162" s="12" t="s">
        <x:v>103</x:v>
      </x:c>
    </x:row>
    <x:row r="163">
      <x:c r="A163" s="11" t="s">
        <x:v>41</x:v>
      </x:c>
      <x:c r="B163" s="7" t="s">
        <x:v>126</x:v>
      </x:c>
      <x:c r="C163" s="7" t="s">
        <x:v>127</x:v>
      </x:c>
      <x:c r="D163" s="7" t="s">
        <x:v>481</x:v>
      </x:c>
      <x:c r="E163" s="7" t="s">
        <x:v>803</x:v>
      </x:c>
      <x:c r="F163" s="7" t="s">
        <x:v>804</x:v>
      </x:c>
      <x:c r="G163" s="7" t="s">
        <x:v>162</x:v>
      </x:c>
      <x:c r="H163" s="7" t="s">
        <x:v>801</x:v>
      </x:c>
      <x:c r="I163" s="47">
        <x:v>4</x:v>
      </x:c>
      <x:c r="J163" s="47">
        <x:v>1</x:v>
      </x:c>
      <x:c r="K163" s="47" t="n">
        <x:f>J163*Parametros!$B$9</x:f>
        <x:v>0.7</x:v>
      </x:c>
      <x:c r="L163" s="7" t="s">
        <x:v>805</x:v>
      </x:c>
      <x:c r="M163" s="7"/>
      <x:c r="N163" s="7"/>
      <x:c r="O163" s="12" t="s">
        <x:v>103</x:v>
      </x:c>
    </x:row>
    <x:row r="164">
      <x:c r="A164" s="11" t="s">
        <x:v>41</x:v>
      </x:c>
      <x:c r="B164" s="7" t="s">
        <x:v>126</x:v>
      </x:c>
      <x:c r="C164" s="7" t="s">
        <x:v>127</x:v>
      </x:c>
      <x:c r="D164" s="7" t="s">
        <x:v>655</x:v>
      </x:c>
      <x:c r="E164" s="7" t="s">
        <x:v>806</x:v>
      </x:c>
      <x:c r="F164" s="7" t="s">
        <x:v>807</x:v>
      </x:c>
      <x:c r="G164" s="7" t="s">
        <x:v>184</x:v>
      </x:c>
      <x:c r="H164" s="7" t="s">
        <x:v>317</x:v>
      </x:c>
      <x:c r="I164" s="47">
        <x:v>2</x:v>
      </x:c>
      <x:c r="J164" s="47">
        <x:v>2</x:v>
      </x:c>
      <x:c r="K164" s="47" t="n">
        <x:f>J164*Parametros!$B$9</x:f>
        <x:v>1.4</x:v>
      </x:c>
      <x:c r="L164" s="7" t="s">
        <x:v>808</x:v>
      </x:c>
      <x:c r="M164" s="7"/>
      <x:c r="N164" s="7"/>
      <x:c r="O164" s="12" t="s">
        <x:v>103</x:v>
      </x:c>
    </x:row>
    <x:row r="165">
      <x:c r="A165" s="11" t="s">
        <x:v>41</x:v>
      </x:c>
      <x:c r="B165" s="7" t="s">
        <x:v>126</x:v>
      </x:c>
      <x:c r="C165" s="7" t="s">
        <x:v>127</x:v>
      </x:c>
      <x:c r="D165" s="7" t="s">
        <x:v>655</x:v>
      </x:c>
      <x:c r="E165" s="7" t="s">
        <x:v>809</x:v>
      </x:c>
      <x:c r="F165" s="7" t="s">
        <x:v>810</x:v>
      </x:c>
      <x:c r="G165" s="7" t="s">
        <x:v>194</x:v>
      </x:c>
      <x:c r="H165" s="7" t="s">
        <x:v>738</x:v>
      </x:c>
      <x:c r="I165" s="47">
        <x:v>1</x:v>
      </x:c>
      <x:c r="J165" s="47">
        <x:v>2</x:v>
      </x:c>
      <x:c r="K165" s="47" t="n">
        <x:f>J165*Parametros!$B$9</x:f>
        <x:v>1.4</x:v>
      </x:c>
      <x:c r="L165" s="7" t="s">
        <x:v>811</x:v>
      </x:c>
      <x:c r="M165" s="7"/>
      <x:c r="N165" s="7"/>
      <x:c r="O165" s="12" t="s">
        <x:v>103</x:v>
      </x:c>
    </x:row>
    <x:row r="166">
      <x:c r="A166" s="11" t="s">
        <x:v>41</x:v>
      </x:c>
      <x:c r="B166" s="7" t="s">
        <x:v>126</x:v>
      </x:c>
      <x:c r="C166" s="7" t="s">
        <x:v>127</x:v>
      </x:c>
      <x:c r="D166" s="7" t="s">
        <x:v>812</x:v>
      </x:c>
      <x:c r="E166" s="7" t="s">
        <x:v>813</x:v>
      </x:c>
      <x:c r="F166" s="7" t="s">
        <x:v>814</x:v>
      </x:c>
      <x:c r="G166" s="7" t="s">
        <x:v>184</x:v>
      </x:c>
      <x:c r="H166" s="7" t="s">
        <x:v>453</x:v>
      </x:c>
      <x:c r="I166" s="47">
        <x:v>3</x:v>
      </x:c>
      <x:c r="J166" s="47">
        <x:v>0.75</x:v>
      </x:c>
      <x:c r="K166" s="47" t="n">
        <x:f>J166*Parametros!$B$9</x:f>
        <x:v>0.5249999999999999</x:v>
      </x:c>
      <x:c r="L166" s="7" t="s">
        <x:v>815</x:v>
      </x:c>
      <x:c r="M166" s="7"/>
      <x:c r="N166" s="7"/>
      <x:c r="O166" s="12" t="s">
        <x:v>103</x:v>
      </x:c>
    </x:row>
    <x:row r="167">
      <x:c r="A167" s="11" t="s">
        <x:v>41</x:v>
      </x:c>
      <x:c r="B167" s="7" t="s">
        <x:v>126</x:v>
      </x:c>
      <x:c r="C167" s="7" t="s">
        <x:v>127</x:v>
      </x:c>
      <x:c r="D167" s="7" t="s">
        <x:v>597</x:v>
      </x:c>
      <x:c r="E167" s="7" t="s">
        <x:v>816</x:v>
      </x:c>
      <x:c r="F167" s="7" t="s">
        <x:v>817</x:v>
      </x:c>
      <x:c r="G167" s="7" t="s">
        <x:v>162</x:v>
      </x:c>
      <x:c r="H167" s="7" t="s">
        <x:v>453</x:v>
      </x:c>
      <x:c r="I167" s="47">
        <x:v>3</x:v>
      </x:c>
      <x:c r="J167" s="47">
        <x:v>1</x:v>
      </x:c>
      <x:c r="K167" s="47" t="n">
        <x:f>J167*Parametros!$B$9</x:f>
        <x:v>0.7</x:v>
      </x:c>
      <x:c r="L167" s="7" t="s">
        <x:v>818</x:v>
      </x:c>
      <x:c r="M167" s="7"/>
      <x:c r="N167" s="7"/>
      <x:c r="O167" s="12" t="s">
        <x:v>103</x:v>
      </x:c>
    </x:row>
    <x:row r="168">
      <x:c r="A168" s="11" t="s">
        <x:v>41</x:v>
      </x:c>
      <x:c r="B168" s="7" t="s">
        <x:v>126</x:v>
      </x:c>
      <x:c r="C168" s="7" t="s">
        <x:v>127</x:v>
      </x:c>
      <x:c r="D168" s="7" t="s">
        <x:v>819</x:v>
      </x:c>
      <x:c r="E168" s="7" t="s">
        <x:v>820</x:v>
      </x:c>
      <x:c r="F168" s="7" t="s">
        <x:v>821</x:v>
      </x:c>
      <x:c r="G168" s="7" t="s">
        <x:v>162</x:v>
      </x:c>
      <x:c r="H168" s="7" t="s">
        <x:v>163</x:v>
      </x:c>
      <x:c r="I168" s="47">
        <x:v>1</x:v>
      </x:c>
      <x:c r="J168" s="47">
        <x:v>1</x:v>
      </x:c>
      <x:c r="K168" s="47" t="n">
        <x:f>J168*Parametros!$B$9</x:f>
        <x:v>0.7</x:v>
      </x:c>
      <x:c r="L168" s="7" t="s">
        <x:v>822</x:v>
      </x:c>
      <x:c r="M168" s="7"/>
      <x:c r="N168" s="7"/>
      <x:c r="O168" s="12" t="s">
        <x:v>103</x:v>
      </x:c>
    </x:row>
    <x:row r="169">
      <x:c r="A169" s="11" t="s">
        <x:v>41</x:v>
      </x:c>
      <x:c r="B169" s="7" t="s">
        <x:v>126</x:v>
      </x:c>
      <x:c r="C169" s="7" t="s">
        <x:v>127</x:v>
      </x:c>
      <x:c r="D169" s="7" t="s">
        <x:v>361</x:v>
      </x:c>
      <x:c r="E169" s="7" t="s">
        <x:v>823</x:v>
      </x:c>
      <x:c r="F169" s="7" t="s">
        <x:v>824</x:v>
      </x:c>
      <x:c r="G169" s="7" t="s">
        <x:v>162</x:v>
      </x:c>
      <x:c r="H169" s="7" t="s">
        <x:v>163</x:v>
      </x:c>
      <x:c r="I169" s="47">
        <x:v>1</x:v>
      </x:c>
      <x:c r="J169" s="47">
        <x:v>1.5</x:v>
      </x:c>
      <x:c r="K169" s="47" t="n">
        <x:f>J169*Parametros!$B$9</x:f>
        <x:v>1.0499999999999998</x:v>
      </x:c>
      <x:c r="L169" s="7" t="s">
        <x:v>825</x:v>
      </x:c>
      <x:c r="M169" s="7"/>
      <x:c r="N169" s="7"/>
      <x:c r="O169" s="12" t="s">
        <x:v>103</x:v>
      </x:c>
    </x:row>
    <x:row r="170">
      <x:c r="A170" s="11" t="s">
        <x:v>46</x:v>
      </x:c>
      <x:c r="B170" s="7" t="s">
        <x:v>128</x:v>
      </x:c>
      <x:c r="C170" s="7" t="s">
        <x:v>129</x:v>
      </x:c>
      <x:c r="D170" s="7" t="s">
        <x:v>424</x:v>
      </x:c>
      <x:c r="E170" s="7" t="s">
        <x:v>826</x:v>
      </x:c>
      <x:c r="F170" s="7" t="s">
        <x:v>827</x:v>
      </x:c>
      <x:c r="G170" s="7" t="s">
        <x:v>162</x:v>
      </x:c>
      <x:c r="H170" s="7" t="s">
        <x:v>721</x:v>
      </x:c>
      <x:c r="I170" s="47">
        <x:v>4</x:v>
      </x:c>
      <x:c r="J170" s="47">
        <x:v>0.75</x:v>
      </x:c>
      <x:c r="K170" s="47" t="n">
        <x:f>J170*Parametros!$B$9</x:f>
        <x:v>0.5249999999999999</x:v>
      </x:c>
      <x:c r="L170" s="7" t="s">
        <x:v>828</x:v>
      </x:c>
      <x:c r="M170" s="7"/>
      <x:c r="N170" s="7"/>
      <x:c r="O170" s="12" t="s">
        <x:v>103</x:v>
      </x:c>
    </x:row>
    <x:row r="171">
      <x:c r="A171" s="11" t="s">
        <x:v>46</x:v>
      </x:c>
      <x:c r="B171" s="7" t="s">
        <x:v>128</x:v>
      </x:c>
      <x:c r="C171" s="7" t="s">
        <x:v>129</x:v>
      </x:c>
      <x:c r="D171" s="7" t="s">
        <x:v>424</x:v>
      </x:c>
      <x:c r="E171" s="7" t="s">
        <x:v>829</x:v>
      </x:c>
      <x:c r="F171" s="7" t="s">
        <x:v>830</x:v>
      </x:c>
      <x:c r="G171" s="7" t="s">
        <x:v>162</x:v>
      </x:c>
      <x:c r="H171" s="7" t="s">
        <x:v>358</x:v>
      </x:c>
      <x:c r="I171" s="47">
        <x:v>2</x:v>
      </x:c>
      <x:c r="J171" s="47">
        <x:v>1.5</x:v>
      </x:c>
      <x:c r="K171" s="47" t="n">
        <x:f>J171*Parametros!$B$9</x:f>
        <x:v>1.0499999999999998</x:v>
      </x:c>
      <x:c r="L171" s="7" t="s">
        <x:v>831</x:v>
      </x:c>
      <x:c r="M171" s="7"/>
      <x:c r="N171" s="7"/>
      <x:c r="O171" s="12" t="s">
        <x:v>103</x:v>
      </x:c>
    </x:row>
    <x:row r="172">
      <x:c r="A172" s="11" t="s">
        <x:v>46</x:v>
      </x:c>
      <x:c r="B172" s="7" t="s">
        <x:v>128</x:v>
      </x:c>
      <x:c r="C172" s="7" t="s">
        <x:v>129</x:v>
      </x:c>
      <x:c r="D172" s="7" t="s">
        <x:v>832</x:v>
      </x:c>
      <x:c r="E172" s="7" t="s">
        <x:v>833</x:v>
      </x:c>
      <x:c r="F172" s="7" t="s">
        <x:v>834</x:v>
      </x:c>
      <x:c r="G172" s="7" t="s">
        <x:v>162</x:v>
      </x:c>
      <x:c r="H172" s="7" t="s">
        <x:v>835</x:v>
      </x:c>
      <x:c r="I172" s="47">
        <x:v>8</x:v>
      </x:c>
      <x:c r="J172" s="47">
        <x:v>0.25</x:v>
      </x:c>
      <x:c r="K172" s="47" t="n">
        <x:f>J172*Parametros!$B$9</x:f>
        <x:v>0.175</x:v>
      </x:c>
      <x:c r="L172" s="7" t="s">
        <x:v>836</x:v>
      </x:c>
      <x:c r="M172" s="7"/>
      <x:c r="N172" s="7"/>
      <x:c r="O172" s="12" t="s">
        <x:v>103</x:v>
      </x:c>
    </x:row>
    <x:row r="173">
      <x:c r="A173" s="11" t="s">
        <x:v>46</x:v>
      </x:c>
      <x:c r="B173" s="7" t="s">
        <x:v>128</x:v>
      </x:c>
      <x:c r="C173" s="7" t="s">
        <x:v>129</x:v>
      </x:c>
      <x:c r="D173" s="7" t="s">
        <x:v>832</x:v>
      </x:c>
      <x:c r="E173" s="7" t="s">
        <x:v>837</x:v>
      </x:c>
      <x:c r="F173" s="7" t="s">
        <x:v>838</x:v>
      </x:c>
      <x:c r="G173" s="7" t="s">
        <x:v>184</x:v>
      </x:c>
      <x:c r="H173" s="7" t="s">
        <x:v>835</x:v>
      </x:c>
      <x:c r="I173" s="47">
        <x:v>4</x:v>
      </x:c>
      <x:c r="J173" s="47">
        <x:v>0.25</x:v>
      </x:c>
      <x:c r="K173" s="47" t="n">
        <x:f>J173*Parametros!$B$9</x:f>
        <x:v>0.175</x:v>
      </x:c>
      <x:c r="L173" s="7" t="s">
        <x:v>839</x:v>
      </x:c>
      <x:c r="M173" s="7"/>
      <x:c r="N173" s="7"/>
      <x:c r="O173" s="12" t="s">
        <x:v>103</x:v>
      </x:c>
    </x:row>
    <x:row r="174">
      <x:c r="A174" s="11" t="s">
        <x:v>46</x:v>
      </x:c>
      <x:c r="B174" s="7" t="s">
        <x:v>128</x:v>
      </x:c>
      <x:c r="C174" s="7" t="s">
        <x:v>129</x:v>
      </x:c>
      <x:c r="D174" s="7" t="s">
        <x:v>619</x:v>
      </x:c>
      <x:c r="E174" s="7" t="s">
        <x:v>840</x:v>
      </x:c>
      <x:c r="F174" s="7" t="s">
        <x:v>841</x:v>
      </x:c>
      <x:c r="G174" s="7" t="s">
        <x:v>184</x:v>
      </x:c>
      <x:c r="H174" s="7" t="s">
        <x:v>358</x:v>
      </x:c>
      <x:c r="I174" s="47">
        <x:v>1</x:v>
      </x:c>
      <x:c r="J174" s="47">
        <x:v>4</x:v>
      </x:c>
      <x:c r="K174" s="47" t="n">
        <x:f>J174*Parametros!$B$9</x:f>
        <x:v>2.8</x:v>
      </x:c>
      <x:c r="L174" s="7" t="s">
        <x:v>842</x:v>
      </x:c>
      <x:c r="M174" s="7"/>
      <x:c r="N174" s="7"/>
      <x:c r="O174" s="12" t="s">
        <x:v>103</x:v>
      </x:c>
    </x:row>
    <x:row r="175">
      <x:c r="A175" s="11" t="s">
        <x:v>46</x:v>
      </x:c>
      <x:c r="B175" s="7" t="s">
        <x:v>128</x:v>
      </x:c>
      <x:c r="C175" s="7" t="s">
        <x:v>129</x:v>
      </x:c>
      <x:c r="D175" s="7" t="s">
        <x:v>619</x:v>
      </x:c>
      <x:c r="E175" s="7" t="s">
        <x:v>843</x:v>
      </x:c>
      <x:c r="F175" s="7" t="s">
        <x:v>844</x:v>
      </x:c>
      <x:c r="G175" s="7" t="s">
        <x:v>194</x:v>
      </x:c>
      <x:c r="H175" s="7" t="s">
        <x:v>845</x:v>
      </x:c>
      <x:c r="I175" s="47">
        <x:v>1</x:v>
      </x:c>
      <x:c r="J175" s="47">
        <x:v>3</x:v>
      </x:c>
      <x:c r="K175" s="47" t="n">
        <x:f>J175*Parametros!$B$9</x:f>
        <x:v>2.0999999999999996</x:v>
      </x:c>
      <x:c r="L175" s="7" t="s">
        <x:v>846</x:v>
      </x:c>
      <x:c r="M175" s="7"/>
      <x:c r="N175" s="7"/>
      <x:c r="O175" s="12" t="s">
        <x:v>103</x:v>
      </x:c>
    </x:row>
    <x:row r="176">
      <x:c r="A176" s="11" t="s">
        <x:v>46</x:v>
      </x:c>
      <x:c r="B176" s="7" t="s">
        <x:v>128</x:v>
      </x:c>
      <x:c r="C176" s="7" t="s">
        <x:v>129</x:v>
      </x:c>
      <x:c r="D176" s="7" t="s">
        <x:v>619</x:v>
      </x:c>
      <x:c r="E176" s="7" t="s">
        <x:v>847</x:v>
      </x:c>
      <x:c r="F176" s="7" t="s">
        <x:v>848</x:v>
      </x:c>
      <x:c r="G176" s="7" t="s">
        <x:v>194</x:v>
      </x:c>
      <x:c r="H176" s="7" t="s">
        <x:v>849</x:v>
      </x:c>
      <x:c r="I176" s="47">
        <x:v>1</x:v>
      </x:c>
      <x:c r="J176" s="47">
        <x:v>3</x:v>
      </x:c>
      <x:c r="K176" s="47" t="n">
        <x:f>J176*Parametros!$B$9</x:f>
        <x:v>2.0999999999999996</x:v>
      </x:c>
      <x:c r="L176" s="7" t="s">
        <x:v>850</x:v>
      </x:c>
      <x:c r="M176" s="7"/>
      <x:c r="N176" s="7"/>
      <x:c r="O176" s="12" t="s">
        <x:v>103</x:v>
      </x:c>
    </x:row>
    <x:row r="177">
      <x:c r="A177" s="11" t="s">
        <x:v>46</x:v>
      </x:c>
      <x:c r="B177" s="7" t="s">
        <x:v>128</x:v>
      </x:c>
      <x:c r="C177" s="7" t="s">
        <x:v>129</x:v>
      </x:c>
      <x:c r="D177" s="7" t="s">
        <x:v>851</x:v>
      </x:c>
      <x:c r="E177" s="7" t="s">
        <x:v>852</x:v>
      </x:c>
      <x:c r="F177" s="7" t="s">
        <x:v>853</x:v>
      </x:c>
      <x:c r="G177" s="7" t="s">
        <x:v>184</x:v>
      </x:c>
      <x:c r="H177" s="7" t="s">
        <x:v>358</x:v>
      </x:c>
      <x:c r="I177" s="47">
        <x:v>1</x:v>
      </x:c>
      <x:c r="J177" s="47">
        <x:v>1.5</x:v>
      </x:c>
      <x:c r="K177" s="47" t="n">
        <x:f>J177*Parametros!$B$9</x:f>
        <x:v>1.0499999999999998</x:v>
      </x:c>
      <x:c r="L177" s="7" t="s">
        <x:v>854</x:v>
      </x:c>
      <x:c r="M177" s="7"/>
      <x:c r="N177" s="7"/>
      <x:c r="O177" s="12" t="s">
        <x:v>103</x:v>
      </x:c>
    </x:row>
    <x:row r="178">
      <x:c r="A178" s="11" t="s">
        <x:v>46</x:v>
      </x:c>
      <x:c r="B178" s="7" t="s">
        <x:v>128</x:v>
      </x:c>
      <x:c r="C178" s="7" t="s">
        <x:v>129</x:v>
      </x:c>
      <x:c r="D178" s="7" t="s">
        <x:v>855</x:v>
      </x:c>
      <x:c r="E178" s="7" t="s">
        <x:v>856</x:v>
      </x:c>
      <x:c r="F178" s="7" t="s">
        <x:v>857</x:v>
      </x:c>
      <x:c r="G178" s="7" t="s">
        <x:v>184</x:v>
      </x:c>
      <x:c r="H178" s="7" t="s">
        <x:v>358</x:v>
      </x:c>
      <x:c r="I178" s="47">
        <x:v>1</x:v>
      </x:c>
      <x:c r="J178" s="47">
        <x:v>1.5</x:v>
      </x:c>
      <x:c r="K178" s="47" t="n">
        <x:f>J178*Parametros!$B$9</x:f>
        <x:v>1.0499999999999998</x:v>
      </x:c>
      <x:c r="L178" s="7" t="s">
        <x:v>858</x:v>
      </x:c>
      <x:c r="M178" s="7"/>
      <x:c r="N178" s="7"/>
      <x:c r="O178" s="12" t="s">
        <x:v>103</x:v>
      </x:c>
    </x:row>
    <x:row r="179">
      <x:c r="A179" s="11" t="s">
        <x:v>46</x:v>
      </x:c>
      <x:c r="B179" s="7" t="s">
        <x:v>128</x:v>
      </x:c>
      <x:c r="C179" s="7" t="s">
        <x:v>129</x:v>
      </x:c>
      <x:c r="D179" s="7" t="s">
        <x:v>519</x:v>
      </x:c>
      <x:c r="E179" s="7" t="s">
        <x:v>859</x:v>
      </x:c>
      <x:c r="F179" s="7" t="s">
        <x:v>860</x:v>
      </x:c>
      <x:c r="G179" s="7" t="s">
        <x:v>184</x:v>
      </x:c>
      <x:c r="H179" s="7" t="s">
        <x:v>358</x:v>
      </x:c>
      <x:c r="I179" s="47">
        <x:v>1</x:v>
      </x:c>
      <x:c r="J179" s="47">
        <x:v>1.5</x:v>
      </x:c>
      <x:c r="K179" s="47" t="n">
        <x:f>J179*Parametros!$B$9</x:f>
        <x:v>1.0499999999999998</x:v>
      </x:c>
      <x:c r="L179" s="7" t="s">
        <x:v>861</x:v>
      </x:c>
      <x:c r="M179" s="7"/>
      <x:c r="N179" s="7"/>
      <x:c r="O179" s="12" t="s">
        <x:v>103</x:v>
      </x:c>
    </x:row>
    <x:row r="180">
      <x:c r="A180" s="11" t="s">
        <x:v>46</x:v>
      </x:c>
      <x:c r="B180" s="7" t="s">
        <x:v>128</x:v>
      </x:c>
      <x:c r="C180" s="7" t="s">
        <x:v>129</x:v>
      </x:c>
      <x:c r="D180" s="7" t="s">
        <x:v>597</x:v>
      </x:c>
      <x:c r="E180" s="7" t="s">
        <x:v>862</x:v>
      </x:c>
      <x:c r="F180" s="7" t="s">
        <x:v>863</x:v>
      </x:c>
      <x:c r="G180" s="7" t="s">
        <x:v>162</x:v>
      </x:c>
      <x:c r="H180" s="7" t="s">
        <x:v>358</x:v>
      </x:c>
      <x:c r="I180" s="47">
        <x:v>2</x:v>
      </x:c>
      <x:c r="J180" s="47">
        <x:v>1</x:v>
      </x:c>
      <x:c r="K180" s="47" t="n">
        <x:f>J180*Parametros!$B$9</x:f>
        <x:v>0.7</x:v>
      </x:c>
      <x:c r="L180" s="7" t="s">
        <x:v>864</x:v>
      </x:c>
      <x:c r="M180" s="7"/>
      <x:c r="N180" s="7"/>
      <x:c r="O180" s="12" t="s">
        <x:v>103</x:v>
      </x:c>
    </x:row>
    <x:row r="181">
      <x:c r="A181" s="11" t="s">
        <x:v>46</x:v>
      </x:c>
      <x:c r="B181" s="7" t="s">
        <x:v>128</x:v>
      </x:c>
      <x:c r="C181" s="7" t="s">
        <x:v>129</x:v>
      </x:c>
      <x:c r="D181" s="7" t="s">
        <x:v>240</x:v>
      </x:c>
      <x:c r="E181" s="7" t="s">
        <x:v>865</x:v>
      </x:c>
      <x:c r="F181" s="7" t="s">
        <x:v>866</x:v>
      </x:c>
      <x:c r="G181" s="7" t="s">
        <x:v>162</x:v>
      </x:c>
      <x:c r="H181" s="7" t="s">
        <x:v>453</x:v>
      </x:c>
      <x:c r="I181" s="47">
        <x:v>4</x:v>
      </x:c>
      <x:c r="J181" s="47">
        <x:v>0.5</x:v>
      </x:c>
      <x:c r="K181" s="47" t="n">
        <x:f>J181*Parametros!$B$9</x:f>
        <x:v>0.35</x:v>
      </x:c>
      <x:c r="L181" s="7" t="s">
        <x:v>867</x:v>
      </x:c>
      <x:c r="M181" s="7"/>
      <x:c r="N181" s="7"/>
      <x:c r="O181" s="12" t="s">
        <x:v>103</x:v>
      </x:c>
    </x:row>
    <x:row r="182">
      <x:c r="A182" s="11" t="s">
        <x:v>46</x:v>
      </x:c>
      <x:c r="B182" s="7" t="s">
        <x:v>128</x:v>
      </x:c>
      <x:c r="C182" s="7" t="s">
        <x:v>129</x:v>
      </x:c>
      <x:c r="D182" s="7" t="s">
        <x:v>361</x:v>
      </x:c>
      <x:c r="E182" s="7" t="s">
        <x:v>868</x:v>
      </x:c>
      <x:c r="F182" s="7" t="s">
        <x:v>869</x:v>
      </x:c>
      <x:c r="G182" s="7" t="s">
        <x:v>162</x:v>
      </x:c>
      <x:c r="H182" s="7" t="s">
        <x:v>163</x:v>
      </x:c>
      <x:c r="I182" s="47">
        <x:v>1</x:v>
      </x:c>
      <x:c r="J182" s="47">
        <x:v>2</x:v>
      </x:c>
      <x:c r="K182" s="47" t="n">
        <x:f>J182*Parametros!$B$9</x:f>
        <x:v>1.4</x:v>
      </x:c>
      <x:c r="L182" s="7" t="s">
        <x:v>870</x:v>
      </x:c>
      <x:c r="M182" s="7"/>
      <x:c r="N182" s="7"/>
      <x:c r="O182" s="12" t="s">
        <x:v>103</x:v>
      </x:c>
    </x:row>
    <x:row r="183">
      <x:c r="A183" s="11" t="s">
        <x:v>46</x:v>
      </x:c>
      <x:c r="B183" s="7" t="s">
        <x:v>130</x:v>
      </x:c>
      <x:c r="C183" s="7" t="s">
        <x:v>131</x:v>
      </x:c>
      <x:c r="D183" s="7" t="s">
        <x:v>477</x:v>
      </x:c>
      <x:c r="E183" s="7" t="s">
        <x:v>871</x:v>
      </x:c>
      <x:c r="F183" s="7" t="s">
        <x:v>872</x:v>
      </x:c>
      <x:c r="G183" s="7" t="s">
        <x:v>162</x:v>
      </x:c>
      <x:c r="H183" s="7" t="s">
        <x:v>721</x:v>
      </x:c>
      <x:c r="I183" s="47">
        <x:v>6</x:v>
      </x:c>
      <x:c r="J183" s="47">
        <x:v>0.5</x:v>
      </x:c>
      <x:c r="K183" s="47" t="n">
        <x:f>J183*Parametros!$B$9</x:f>
        <x:v>0.35</x:v>
      </x:c>
      <x:c r="L183" s="7" t="s">
        <x:v>873</x:v>
      </x:c>
      <x:c r="M183" s="7"/>
      <x:c r="N183" s="7"/>
      <x:c r="O183" s="12" t="s">
        <x:v>103</x:v>
      </x:c>
    </x:row>
    <x:row r="184">
      <x:c r="A184" s="11" t="s">
        <x:v>46</x:v>
      </x:c>
      <x:c r="B184" s="7" t="s">
        <x:v>130</x:v>
      </x:c>
      <x:c r="C184" s="7" t="s">
        <x:v>131</x:v>
      </x:c>
      <x:c r="D184" s="7" t="s">
        <x:v>166</x:v>
      </x:c>
      <x:c r="E184" s="7" t="s">
        <x:v>874</x:v>
      </x:c>
      <x:c r="F184" s="7" t="s">
        <x:v>875</x:v>
      </x:c>
      <x:c r="G184" s="7" t="s">
        <x:v>162</x:v>
      </x:c>
      <x:c r="H184" s="7" t="s">
        <x:v>358</x:v>
      </x:c>
      <x:c r="I184" s="47">
        <x:v>2</x:v>
      </x:c>
      <x:c r="J184" s="47">
        <x:v>0.75</x:v>
      </x:c>
      <x:c r="K184" s="47" t="n">
        <x:f>J184*Parametros!$B$9</x:f>
        <x:v>0.5249999999999999</x:v>
      </x:c>
      <x:c r="L184" s="7" t="s">
        <x:v>876</x:v>
      </x:c>
      <x:c r="M184" s="7"/>
      <x:c r="N184" s="7"/>
      <x:c r="O184" s="12" t="s">
        <x:v>103</x:v>
      </x:c>
    </x:row>
    <x:row r="185">
      <x:c r="A185" s="11" t="s">
        <x:v>46</x:v>
      </x:c>
      <x:c r="B185" s="7" t="s">
        <x:v>130</x:v>
      </x:c>
      <x:c r="C185" s="7" t="s">
        <x:v>131</x:v>
      </x:c>
      <x:c r="D185" s="7" t="s">
        <x:v>877</x:v>
      </x:c>
      <x:c r="E185" s="7" t="s">
        <x:v>878</x:v>
      </x:c>
      <x:c r="F185" s="7" t="s">
        <x:v>879</x:v>
      </x:c>
      <x:c r="G185" s="7" t="s">
        <x:v>184</x:v>
      </x:c>
      <x:c r="H185" s="7" t="s">
        <x:v>358</x:v>
      </x:c>
      <x:c r="I185" s="47">
        <x:v>2</x:v>
      </x:c>
      <x:c r="J185" s="47">
        <x:v>2</x:v>
      </x:c>
      <x:c r="K185" s="47" t="n">
        <x:f>J185*Parametros!$B$9</x:f>
        <x:v>1.4</x:v>
      </x:c>
      <x:c r="L185" s="7" t="s">
        <x:v>880</x:v>
      </x:c>
      <x:c r="M185" s="7"/>
      <x:c r="N185" s="7"/>
      <x:c r="O185" s="12" t="s">
        <x:v>103</x:v>
      </x:c>
    </x:row>
    <x:row r="186">
      <x:c r="A186" s="11" t="s">
        <x:v>46</x:v>
      </x:c>
      <x:c r="B186" s="7" t="s">
        <x:v>130</x:v>
      </x:c>
      <x:c r="C186" s="7" t="s">
        <x:v>131</x:v>
      </x:c>
      <x:c r="D186" s="7" t="s">
        <x:v>473</x:v>
      </x:c>
      <x:c r="E186" s="7" t="s">
        <x:v>881</x:v>
      </x:c>
      <x:c r="F186" s="7" t="s">
        <x:v>882</x:v>
      </x:c>
      <x:c r="G186" s="7" t="s">
        <x:v>162</x:v>
      </x:c>
      <x:c r="H186" s="7" t="s">
        <x:v>550</x:v>
      </x:c>
      <x:c r="I186" s="47">
        <x:v>10</x:v>
      </x:c>
      <x:c r="J186" s="47">
        <x:v>0.2</x:v>
      </x:c>
      <x:c r="K186" s="47" t="n">
        <x:f>J186*Parametros!$B$9</x:f>
        <x:v>0.13999999999999999</x:v>
      </x:c>
      <x:c r="L186" s="7" t="s">
        <x:v>883</x:v>
      </x:c>
      <x:c r="M186" s="7"/>
      <x:c r="N186" s="7"/>
      <x:c r="O186" s="12" t="s">
        <x:v>103</x:v>
      </x:c>
    </x:row>
    <x:row r="187">
      <x:c r="A187" s="11" t="s">
        <x:v>46</x:v>
      </x:c>
      <x:c r="B187" s="7" t="s">
        <x:v>130</x:v>
      </x:c>
      <x:c r="C187" s="7" t="s">
        <x:v>131</x:v>
      </x:c>
      <x:c r="D187" s="7" t="s">
        <x:v>884</x:v>
      </x:c>
      <x:c r="E187" s="7" t="s">
        <x:v>885</x:v>
      </x:c>
      <x:c r="F187" s="7" t="s">
        <x:v>886</x:v>
      </x:c>
      <x:c r="G187" s="7" t="s">
        <x:v>162</x:v>
      </x:c>
      <x:c r="H187" s="7" t="s">
        <x:v>550</x:v>
      </x:c>
      <x:c r="I187" s="47">
        <x:v>10</x:v>
      </x:c>
      <x:c r="J187" s="47">
        <x:v>0.2</x:v>
      </x:c>
      <x:c r="K187" s="47" t="n">
        <x:f>J187*Parametros!$B$9</x:f>
        <x:v>0.13999999999999999</x:v>
      </x:c>
      <x:c r="L187" s="7" t="s">
        <x:v>887</x:v>
      </x:c>
      <x:c r="M187" s="7"/>
      <x:c r="N187" s="7"/>
      <x:c r="O187" s="12" t="s">
        <x:v>103</x:v>
      </x:c>
    </x:row>
    <x:row r="188">
      <x:c r="A188" s="11" t="s">
        <x:v>46</x:v>
      </x:c>
      <x:c r="B188" s="7" t="s">
        <x:v>130</x:v>
      </x:c>
      <x:c r="C188" s="7" t="s">
        <x:v>131</x:v>
      </x:c>
      <x:c r="D188" s="7" t="s">
        <x:v>159</x:v>
      </x:c>
      <x:c r="E188" s="7" t="s">
        <x:v>888</x:v>
      </x:c>
      <x:c r="F188" s="7" t="s">
        <x:v>889</x:v>
      </x:c>
      <x:c r="G188" s="7" t="s">
        <x:v>162</x:v>
      </x:c>
      <x:c r="H188" s="7" t="s">
        <x:v>163</x:v>
      </x:c>
      <x:c r="I188" s="47">
        <x:v>1</x:v>
      </x:c>
      <x:c r="J188" s="47">
        <x:v>2</x:v>
      </x:c>
      <x:c r="K188" s="47" t="n">
        <x:f>J188*Parametros!$B$9</x:f>
        <x:v>1.4</x:v>
      </x:c>
      <x:c r="L188" s="7" t="s">
        <x:v>890</x:v>
      </x:c>
      <x:c r="M188" s="7"/>
      <x:c r="N188" s="7"/>
      <x:c r="O188" s="12" t="s">
        <x:v>103</x:v>
      </x:c>
    </x:row>
    <x:row r="189">
      <x:c r="A189" s="11" t="s">
        <x:v>46</x:v>
      </x:c>
      <x:c r="B189" s="7" t="s">
        <x:v>130</x:v>
      </x:c>
      <x:c r="C189" s="7" t="s">
        <x:v>131</x:v>
      </x:c>
      <x:c r="D189" s="7" t="s">
        <x:v>891</x:v>
      </x:c>
      <x:c r="E189" s="7" t="s">
        <x:v>892</x:v>
      </x:c>
      <x:c r="F189" s="7" t="s">
        <x:v>893</x:v>
      </x:c>
      <x:c r="G189" s="7" t="s">
        <x:v>184</x:v>
      </x:c>
      <x:c r="H189" s="7" t="s">
        <x:v>721</x:v>
      </x:c>
      <x:c r="I189" s="47">
        <x:v>4</x:v>
      </x:c>
      <x:c r="J189" s="47">
        <x:v>1</x:v>
      </x:c>
      <x:c r="K189" s="47" t="n">
        <x:f>J189*Parametros!$B$9</x:f>
        <x:v>0.7</x:v>
      </x:c>
      <x:c r="L189" s="7" t="s">
        <x:v>894</x:v>
      </x:c>
      <x:c r="M189" s="7"/>
      <x:c r="N189" s="7"/>
      <x:c r="O189" s="12" t="s">
        <x:v>103</x:v>
      </x:c>
    </x:row>
    <x:row r="190">
      <x:c r="A190" s="11" t="s">
        <x:v>46</x:v>
      </x:c>
      <x:c r="B190" s="7" t="s">
        <x:v>130</x:v>
      </x:c>
      <x:c r="C190" s="7" t="s">
        <x:v>131</x:v>
      </x:c>
      <x:c r="D190" s="7" t="s">
        <x:v>891</x:v>
      </x:c>
      <x:c r="E190" s="7" t="s">
        <x:v>895</x:v>
      </x:c>
      <x:c r="F190" s="7" t="s">
        <x:v>896</x:v>
      </x:c>
      <x:c r="G190" s="7" t="s">
        <x:v>194</x:v>
      </x:c>
      <x:c r="H190" s="7" t="s">
        <x:v>550</x:v>
      </x:c>
      <x:c r="I190" s="47">
        <x:v>3</x:v>
      </x:c>
      <x:c r="J190" s="47">
        <x:v>1</x:v>
      </x:c>
      <x:c r="K190" s="47" t="n">
        <x:f>J190*Parametros!$B$9</x:f>
        <x:v>0.7</x:v>
      </x:c>
      <x:c r="L190" s="7" t="s">
        <x:v>897</x:v>
      </x:c>
      <x:c r="M190" s="7"/>
      <x:c r="N190" s="7"/>
      <x:c r="O190" s="12" t="s">
        <x:v>103</x:v>
      </x:c>
    </x:row>
    <x:row r="191">
      <x:c r="A191" s="11" t="s">
        <x:v>46</x:v>
      </x:c>
      <x:c r="B191" s="7" t="s">
        <x:v>130</x:v>
      </x:c>
      <x:c r="C191" s="7" t="s">
        <x:v>131</x:v>
      </x:c>
      <x:c r="D191" s="7" t="s">
        <x:v>240</x:v>
      </x:c>
      <x:c r="E191" s="7" t="s">
        <x:v>898</x:v>
      </x:c>
      <x:c r="F191" s="7" t="s">
        <x:v>899</x:v>
      </x:c>
      <x:c r="G191" s="7" t="s">
        <x:v>162</x:v>
      </x:c>
      <x:c r="H191" s="7" t="s">
        <x:v>721</x:v>
      </x:c>
      <x:c r="I191" s="47">
        <x:v>4</x:v>
      </x:c>
      <x:c r="J191" s="47">
        <x:v>0.5</x:v>
      </x:c>
      <x:c r="K191" s="47" t="n">
        <x:f>J191*Parametros!$B$9</x:f>
        <x:v>0.35</x:v>
      </x:c>
      <x:c r="L191" s="7" t="s">
        <x:v>900</x:v>
      </x:c>
      <x:c r="M191" s="7"/>
      <x:c r="N191" s="7"/>
      <x:c r="O191" s="12" t="s">
        <x:v>103</x:v>
      </x:c>
    </x:row>
    <x:row r="192">
      <x:c r="A192" s="11" t="s">
        <x:v>46</x:v>
      </x:c>
      <x:c r="B192" s="7" t="s">
        <x:v>130</x:v>
      </x:c>
      <x:c r="C192" s="7" t="s">
        <x:v>131</x:v>
      </x:c>
      <x:c r="D192" s="7" t="s">
        <x:v>901</x:v>
      </x:c>
      <x:c r="E192" s="7" t="s">
        <x:v>902</x:v>
      </x:c>
      <x:c r="F192" s="7" t="s">
        <x:v>903</x:v>
      </x:c>
      <x:c r="G192" s="7" t="s">
        <x:v>162</x:v>
      </x:c>
      <x:c r="H192" s="7" t="s">
        <x:v>358</x:v>
      </x:c>
      <x:c r="I192" s="47">
        <x:v>2</x:v>
      </x:c>
      <x:c r="J192" s="47">
        <x:v>1.5</x:v>
      </x:c>
      <x:c r="K192" s="47" t="n">
        <x:f>J192*Parametros!$B$9</x:f>
        <x:v>1.0499999999999998</x:v>
      </x:c>
      <x:c r="L192" s="7" t="s">
        <x:v>904</x:v>
      </x:c>
      <x:c r="M192" s="7"/>
      <x:c r="N192" s="7"/>
      <x:c r="O192" s="12" t="s">
        <x:v>103</x:v>
      </x:c>
    </x:row>
    <x:row r="193">
      <x:c r="A193" s="11" t="s">
        <x:v>46</x:v>
      </x:c>
      <x:c r="B193" s="7" t="s">
        <x:v>130</x:v>
      </x:c>
      <x:c r="C193" s="7" t="s">
        <x:v>131</x:v>
      </x:c>
      <x:c r="D193" s="7" t="s">
        <x:v>361</x:v>
      </x:c>
      <x:c r="E193" s="7" t="s">
        <x:v>905</x:v>
      </x:c>
      <x:c r="F193" s="7" t="s">
        <x:v>906</x:v>
      </x:c>
      <x:c r="G193" s="7" t="s">
        <x:v>162</x:v>
      </x:c>
      <x:c r="H193" s="7" t="s">
        <x:v>163</x:v>
      </x:c>
      <x:c r="I193" s="47">
        <x:v>1</x:v>
      </x:c>
      <x:c r="J193" s="47">
        <x:v>2</x:v>
      </x:c>
      <x:c r="K193" s="47" t="n">
        <x:f>J193*Parametros!$B$9</x:f>
        <x:v>1.4</x:v>
      </x:c>
      <x:c r="L193" s="7" t="s">
        <x:v>907</x:v>
      </x:c>
      <x:c r="M193" s="7"/>
      <x:c r="N193" s="7"/>
      <x:c r="O193" s="12" t="s">
        <x:v>103</x:v>
      </x:c>
    </x:row>
    <x:row r="194">
      <x:c r="A194" s="11" t="s">
        <x:v>46</x:v>
      </x:c>
      <x:c r="B194" s="7" t="s">
        <x:v>132</x:v>
      </x:c>
      <x:c r="C194" s="7" t="s">
        <x:v>133</x:v>
      </x:c>
      <x:c r="D194" s="7" t="s">
        <x:v>424</x:v>
      </x:c>
      <x:c r="E194" s="7" t="s">
        <x:v>908</x:v>
      </x:c>
      <x:c r="F194" s="7" t="s">
        <x:v>909</x:v>
      </x:c>
      <x:c r="G194" s="7" t="s">
        <x:v>162</x:v>
      </x:c>
      <x:c r="H194" s="7" t="s">
        <x:v>317</x:v>
      </x:c>
      <x:c r="I194" s="47">
        <x:v>2</x:v>
      </x:c>
      <x:c r="J194" s="47">
        <x:v>1.5</x:v>
      </x:c>
      <x:c r="K194" s="47" t="n">
        <x:f>J194*Parametros!$B$9</x:f>
        <x:v>1.0499999999999998</x:v>
      </x:c>
      <x:c r="L194" s="7" t="s">
        <x:v>910</x:v>
      </x:c>
      <x:c r="M194" s="7"/>
      <x:c r="N194" s="7"/>
      <x:c r="O194" s="12" t="s">
        <x:v>103</x:v>
      </x:c>
    </x:row>
    <x:row r="195">
      <x:c r="A195" s="11" t="s">
        <x:v>46</x:v>
      </x:c>
      <x:c r="B195" s="7" t="s">
        <x:v>132</x:v>
      </x:c>
      <x:c r="C195" s="7" t="s">
        <x:v>133</x:v>
      </x:c>
      <x:c r="D195" s="7" t="s">
        <x:v>481</x:v>
      </x:c>
      <x:c r="E195" s="7" t="s">
        <x:v>911</x:v>
      </x:c>
      <x:c r="F195" s="7" t="s">
        <x:v>912</x:v>
      </x:c>
      <x:c r="G195" s="7" t="s">
        <x:v>162</x:v>
      </x:c>
      <x:c r="H195" s="7" t="s">
        <x:v>280</x:v>
      </x:c>
      <x:c r="I195" s="47">
        <x:v>4</x:v>
      </x:c>
      <x:c r="J195" s="47">
        <x:v>1</x:v>
      </x:c>
      <x:c r="K195" s="47" t="n">
        <x:f>J195*Parametros!$B$9</x:f>
        <x:v>0.7</x:v>
      </x:c>
      <x:c r="L195" s="7" t="s">
        <x:v>913</x:v>
      </x:c>
      <x:c r="M195" s="7"/>
      <x:c r="N195" s="7"/>
      <x:c r="O195" s="12" t="s">
        <x:v>103</x:v>
      </x:c>
    </x:row>
    <x:row r="196">
      <x:c r="A196" s="11" t="s">
        <x:v>46</x:v>
      </x:c>
      <x:c r="B196" s="7" t="s">
        <x:v>132</x:v>
      </x:c>
      <x:c r="C196" s="7" t="s">
        <x:v>133</x:v>
      </x:c>
      <x:c r="D196" s="7" t="s">
        <x:v>481</x:v>
      </x:c>
      <x:c r="E196" s="7" t="s">
        <x:v>914</x:v>
      </x:c>
      <x:c r="F196" s="7" t="s">
        <x:v>915</x:v>
      </x:c>
      <x:c r="G196" s="7" t="s">
        <x:v>162</x:v>
      </x:c>
      <x:c r="H196" s="7" t="s">
        <x:v>280</x:v>
      </x:c>
      <x:c r="I196" s="47">
        <x:v>4</x:v>
      </x:c>
      <x:c r="J196" s="47">
        <x:v>1</x:v>
      </x:c>
      <x:c r="K196" s="47" t="n">
        <x:f>J196*Parametros!$B$9</x:f>
        <x:v>0.7</x:v>
      </x:c>
      <x:c r="L196" s="7" t="s">
        <x:v>916</x:v>
      </x:c>
      <x:c r="M196" s="7"/>
      <x:c r="N196" s="7"/>
      <x:c r="O196" s="12" t="s">
        <x:v>103</x:v>
      </x:c>
    </x:row>
    <x:row r="197">
      <x:c r="A197" s="11" t="s">
        <x:v>46</x:v>
      </x:c>
      <x:c r="B197" s="7" t="s">
        <x:v>132</x:v>
      </x:c>
      <x:c r="C197" s="7" t="s">
        <x:v>133</x:v>
      </x:c>
      <x:c r="D197" s="7" t="s">
        <x:v>917</x:v>
      </x:c>
      <x:c r="E197" s="7" t="s">
        <x:v>918</x:v>
      </x:c>
      <x:c r="F197" s="7" t="s">
        <x:v>919</x:v>
      </x:c>
      <x:c r="G197" s="7" t="s">
        <x:v>184</x:v>
      </x:c>
      <x:c r="H197" s="7" t="s">
        <x:v>317</x:v>
      </x:c>
      <x:c r="I197" s="47">
        <x:v>1</x:v>
      </x:c>
      <x:c r="J197" s="47">
        <x:v>3</x:v>
      </x:c>
      <x:c r="K197" s="47" t="n">
        <x:f>J197*Parametros!$B$9</x:f>
        <x:v>2.0999999999999996</x:v>
      </x:c>
      <x:c r="L197" s="7" t="s">
        <x:v>920</x:v>
      </x:c>
      <x:c r="M197" s="7"/>
      <x:c r="N197" s="7"/>
      <x:c r="O197" s="12" t="s">
        <x:v>103</x:v>
      </x:c>
    </x:row>
    <x:row r="198">
      <x:c r="A198" s="11" t="s">
        <x:v>46</x:v>
      </x:c>
      <x:c r="B198" s="7" t="s">
        <x:v>132</x:v>
      </x:c>
      <x:c r="C198" s="7" t="s">
        <x:v>133</x:v>
      </x:c>
      <x:c r="D198" s="7" t="s">
        <x:v>917</x:v>
      </x:c>
      <x:c r="E198" s="7" t="s">
        <x:v>921</x:v>
      </x:c>
      <x:c r="F198" s="7" t="s">
        <x:v>922</x:v>
      </x:c>
      <x:c r="G198" s="7" t="s">
        <x:v>184</x:v>
      </x:c>
      <x:c r="H198" s="7" t="s">
        <x:v>317</x:v>
      </x:c>
      <x:c r="I198" s="47">
        <x:v>1</x:v>
      </x:c>
      <x:c r="J198" s="47">
        <x:v>1.5</x:v>
      </x:c>
      <x:c r="K198" s="47" t="n">
        <x:f>J198*Parametros!$B$9</x:f>
        <x:v>1.0499999999999998</x:v>
      </x:c>
      <x:c r="L198" s="7" t="s">
        <x:v>923</x:v>
      </x:c>
      <x:c r="M198" s="7"/>
      <x:c r="N198" s="7"/>
      <x:c r="O198" s="12" t="s">
        <x:v>103</x:v>
      </x:c>
    </x:row>
    <x:row r="199">
      <x:c r="A199" s="11" t="s">
        <x:v>46</x:v>
      </x:c>
      <x:c r="B199" s="7" t="s">
        <x:v>132</x:v>
      </x:c>
      <x:c r="C199" s="7" t="s">
        <x:v>133</x:v>
      </x:c>
      <x:c r="D199" s="7" t="s">
        <x:v>924</x:v>
      </x:c>
      <x:c r="E199" s="7" t="s">
        <x:v>925</x:v>
      </x:c>
      <x:c r="F199" s="7" t="s">
        <x:v>926</x:v>
      </x:c>
      <x:c r="G199" s="7" t="s">
        <x:v>184</x:v>
      </x:c>
      <x:c r="H199" s="7" t="s">
        <x:v>280</x:v>
      </x:c>
      <x:c r="I199" s="47">
        <x:v>4</x:v>
      </x:c>
      <x:c r="J199" s="47">
        <x:v>1</x:v>
      </x:c>
      <x:c r="K199" s="47" t="n">
        <x:f>J199*Parametros!$B$9</x:f>
        <x:v>0.7</x:v>
      </x:c>
      <x:c r="L199" s="7" t="s">
        <x:v>927</x:v>
      </x:c>
      <x:c r="M199" s="7"/>
      <x:c r="N199" s="7"/>
      <x:c r="O199" s="12" t="s">
        <x:v>103</x:v>
      </x:c>
    </x:row>
    <x:row r="200">
      <x:c r="A200" s="11" t="s">
        <x:v>46</x:v>
      </x:c>
      <x:c r="B200" s="7" t="s">
        <x:v>132</x:v>
      </x:c>
      <x:c r="C200" s="7" t="s">
        <x:v>133</x:v>
      </x:c>
      <x:c r="D200" s="7" t="s">
        <x:v>928</x:v>
      </x:c>
      <x:c r="E200" s="7" t="s">
        <x:v>929</x:v>
      </x:c>
      <x:c r="F200" s="7" t="s">
        <x:v>930</x:v>
      </x:c>
      <x:c r="G200" s="7" t="s">
        <x:v>162</x:v>
      </x:c>
      <x:c r="H200" s="7" t="s">
        <x:v>756</x:v>
      </x:c>
      <x:c r="I200" s="47">
        <x:v>1</x:v>
      </x:c>
      <x:c r="J200" s="47">
        <x:v>2</x:v>
      </x:c>
      <x:c r="K200" s="47" t="n">
        <x:f>J200*Parametros!$B$9</x:f>
        <x:v>1.4</x:v>
      </x:c>
      <x:c r="L200" s="7" t="s">
        <x:v>931</x:v>
      </x:c>
      <x:c r="M200" s="7"/>
      <x:c r="N200" s="7"/>
      <x:c r="O200" s="12" t="s">
        <x:v>103</x:v>
      </x:c>
    </x:row>
    <x:row r="201">
      <x:c r="A201" s="11" t="s">
        <x:v>46</x:v>
      </x:c>
      <x:c r="B201" s="7" t="s">
        <x:v>132</x:v>
      </x:c>
      <x:c r="C201" s="7" t="s">
        <x:v>133</x:v>
      </x:c>
      <x:c r="D201" s="7" t="s">
        <x:v>932</x:v>
      </x:c>
      <x:c r="E201" s="7" t="s">
        <x:v>933</x:v>
      </x:c>
      <x:c r="F201" s="7" t="s">
        <x:v>934</x:v>
      </x:c>
      <x:c r="G201" s="7" t="s">
        <x:v>194</x:v>
      </x:c>
      <x:c r="H201" s="7" t="s">
        <x:v>835</x:v>
      </x:c>
      <x:c r="I201" s="47">
        <x:v>4</x:v>
      </x:c>
      <x:c r="J201" s="47">
        <x:v>0.5</x:v>
      </x:c>
      <x:c r="K201" s="47" t="n">
        <x:f>J201*Parametros!$B$9</x:f>
        <x:v>0.35</x:v>
      </x:c>
      <x:c r="L201" s="7" t="s">
        <x:v>935</x:v>
      </x:c>
      <x:c r="M201" s="7"/>
      <x:c r="N201" s="7"/>
      <x:c r="O201" s="12" t="s">
        <x:v>103</x:v>
      </x:c>
    </x:row>
    <x:row r="202">
      <x:c r="A202" s="11" t="s">
        <x:v>46</x:v>
      </x:c>
      <x:c r="B202" s="7" t="s">
        <x:v>132</x:v>
      </x:c>
      <x:c r="C202" s="7" t="s">
        <x:v>133</x:v>
      </x:c>
      <x:c r="D202" s="7" t="s">
        <x:v>519</x:v>
      </x:c>
      <x:c r="E202" s="7" t="s">
        <x:v>936</x:v>
      </x:c>
      <x:c r="F202" s="7" t="s">
        <x:v>937</x:v>
      </x:c>
      <x:c r="G202" s="7" t="s">
        <x:v>184</x:v>
      </x:c>
      <x:c r="H202" s="7" t="s">
        <x:v>317</x:v>
      </x:c>
      <x:c r="I202" s="47">
        <x:v>1</x:v>
      </x:c>
      <x:c r="J202" s="47">
        <x:v>1.5</x:v>
      </x:c>
      <x:c r="K202" s="47" t="n">
        <x:f>J202*Parametros!$B$9</x:f>
        <x:v>1.0499999999999998</x:v>
      </x:c>
      <x:c r="L202" s="7" t="s">
        <x:v>938</x:v>
      </x:c>
      <x:c r="M202" s="7"/>
      <x:c r="N202" s="7"/>
      <x:c r="O202" s="12" t="s">
        <x:v>103</x:v>
      </x:c>
    </x:row>
    <x:row r="203">
      <x:c r="A203" s="11" t="s">
        <x:v>46</x:v>
      </x:c>
      <x:c r="B203" s="7" t="s">
        <x:v>132</x:v>
      </x:c>
      <x:c r="C203" s="7" t="s">
        <x:v>133</x:v>
      </x:c>
      <x:c r="D203" s="7" t="s">
        <x:v>240</x:v>
      </x:c>
      <x:c r="E203" s="7" t="s">
        <x:v>939</x:v>
      </x:c>
      <x:c r="F203" s="7" t="s">
        <x:v>940</x:v>
      </x:c>
      <x:c r="G203" s="7" t="s">
        <x:v>162</x:v>
      </x:c>
      <x:c r="H203" s="7" t="s">
        <x:v>453</x:v>
      </x:c>
      <x:c r="I203" s="47">
        <x:v>8</x:v>
      </x:c>
      <x:c r="J203" s="47">
        <x:v>0.5</x:v>
      </x:c>
      <x:c r="K203" s="47" t="n">
        <x:f>J203*Parametros!$B$9</x:f>
        <x:v>0.35</x:v>
      </x:c>
      <x:c r="L203" s="7" t="s">
        <x:v>941</x:v>
      </x:c>
      <x:c r="M203" s="7"/>
      <x:c r="N203" s="7"/>
      <x:c r="O203" s="12" t="s">
        <x:v>103</x:v>
      </x:c>
    </x:row>
    <x:row r="204">
      <x:c r="A204" s="11" t="s">
        <x:v>46</x:v>
      </x:c>
      <x:c r="B204" s="7" t="s">
        <x:v>132</x:v>
      </x:c>
      <x:c r="C204" s="7" t="s">
        <x:v>133</x:v>
      </x:c>
      <x:c r="D204" s="7" t="s">
        <x:v>361</x:v>
      </x:c>
      <x:c r="E204" s="7" t="s">
        <x:v>942</x:v>
      </x:c>
      <x:c r="F204" s="7" t="s">
        <x:v>717</x:v>
      </x:c>
      <x:c r="G204" s="7" t="s">
        <x:v>162</x:v>
      </x:c>
      <x:c r="H204" s="7" t="s">
        <x:v>163</x:v>
      </x:c>
      <x:c r="I204" s="47">
        <x:v>1</x:v>
      </x:c>
      <x:c r="J204" s="47">
        <x:v>2</x:v>
      </x:c>
      <x:c r="K204" s="47" t="n">
        <x:f>J204*Parametros!$B$9</x:f>
        <x:v>1.4</x:v>
      </x:c>
      <x:c r="L204" s="7" t="s">
        <x:v>943</x:v>
      </x:c>
      <x:c r="M204" s="7"/>
      <x:c r="N204" s="7"/>
      <x:c r="O204" s="12" t="s">
        <x:v>103</x:v>
      </x:c>
    </x:row>
    <x:row r="205">
      <x:c r="A205" s="11" t="s">
        <x:v>46</x:v>
      </x:c>
      <x:c r="B205" s="7" t="s">
        <x:v>134</x:v>
      </x:c>
      <x:c r="C205" s="7" t="s">
        <x:v>135</x:v>
      </x:c>
      <x:c r="D205" s="7" t="s">
        <x:v>944</x:v>
      </x:c>
      <x:c r="E205" s="7" t="s">
        <x:v>945</x:v>
      </x:c>
      <x:c r="F205" s="7" t="s">
        <x:v>946</x:v>
      </x:c>
      <x:c r="G205" s="7" t="s">
        <x:v>162</x:v>
      </x:c>
      <x:c r="H205" s="7" t="s">
        <x:v>782</x:v>
      </x:c>
      <x:c r="I205" s="47">
        <x:v>4</x:v>
      </x:c>
      <x:c r="J205" s="47">
        <x:v>0.75</x:v>
      </x:c>
      <x:c r="K205" s="47" t="n">
        <x:f>J205*Parametros!$B$9</x:f>
        <x:v>0.5249999999999999</x:v>
      </x:c>
      <x:c r="L205" s="7" t="s">
        <x:v>947</x:v>
      </x:c>
      <x:c r="M205" s="7"/>
      <x:c r="N205" s="7"/>
      <x:c r="O205" s="12" t="s">
        <x:v>103</x:v>
      </x:c>
    </x:row>
    <x:row r="206">
      <x:c r="A206" s="11" t="s">
        <x:v>46</x:v>
      </x:c>
      <x:c r="B206" s="7" t="s">
        <x:v>134</x:v>
      </x:c>
      <x:c r="C206" s="7" t="s">
        <x:v>135</x:v>
      </x:c>
      <x:c r="D206" s="7" t="s">
        <x:v>948</x:v>
      </x:c>
      <x:c r="E206" s="7" t="s">
        <x:v>949</x:v>
      </x:c>
      <x:c r="F206" s="7" t="s">
        <x:v>950</x:v>
      </x:c>
      <x:c r="G206" s="7" t="s">
        <x:v>162</x:v>
      </x:c>
      <x:c r="H206" s="7" t="s">
        <x:v>163</x:v>
      </x:c>
      <x:c r="I206" s="47">
        <x:v>1</x:v>
      </x:c>
      <x:c r="J206" s="47">
        <x:v>1.5</x:v>
      </x:c>
      <x:c r="K206" s="47" t="n">
        <x:f>J206*Parametros!$B$9</x:f>
        <x:v>1.0499999999999998</x:v>
      </x:c>
      <x:c r="L206" s="7" t="s">
        <x:v>951</x:v>
      </x:c>
      <x:c r="M206" s="7"/>
      <x:c r="N206" s="7"/>
      <x:c r="O206" s="12" t="s">
        <x:v>103</x:v>
      </x:c>
    </x:row>
    <x:row r="207">
      <x:c r="A207" s="11" t="s">
        <x:v>46</x:v>
      </x:c>
      <x:c r="B207" s="7" t="s">
        <x:v>134</x:v>
      </x:c>
      <x:c r="C207" s="7" t="s">
        <x:v>135</x:v>
      </x:c>
      <x:c r="D207" s="7" t="s">
        <x:v>952</x:v>
      </x:c>
      <x:c r="E207" s="7" t="s">
        <x:v>953</x:v>
      </x:c>
      <x:c r="F207" s="7" t="s">
        <x:v>954</x:v>
      </x:c>
      <x:c r="G207" s="7" t="s">
        <x:v>162</x:v>
      </x:c>
      <x:c r="H207" s="7" t="s">
        <x:v>280</x:v>
      </x:c>
      <x:c r="I207" s="47">
        <x:v>5</x:v>
      </x:c>
      <x:c r="J207" s="47">
        <x:v>0.5</x:v>
      </x:c>
      <x:c r="K207" s="47" t="n">
        <x:f>J207*Parametros!$B$9</x:f>
        <x:v>0.35</x:v>
      </x:c>
      <x:c r="L207" s="7" t="s">
        <x:v>955</x:v>
      </x:c>
      <x:c r="M207" s="7"/>
      <x:c r="N207" s="7"/>
      <x:c r="O207" s="12" t="s">
        <x:v>103</x:v>
      </x:c>
    </x:row>
    <x:row r="208">
      <x:c r="A208" s="11" t="s">
        <x:v>46</x:v>
      </x:c>
      <x:c r="B208" s="7" t="s">
        <x:v>134</x:v>
      </x:c>
      <x:c r="C208" s="7" t="s">
        <x:v>135</x:v>
      </x:c>
      <x:c r="D208" s="7" t="s">
        <x:v>770</x:v>
      </x:c>
      <x:c r="E208" s="7" t="s">
        <x:v>956</x:v>
      </x:c>
      <x:c r="F208" s="7" t="s">
        <x:v>957</x:v>
      </x:c>
      <x:c r="G208" s="7" t="s">
        <x:v>184</x:v>
      </x:c>
      <x:c r="H208" s="7" t="s">
        <x:v>782</x:v>
      </x:c>
      <x:c r="I208" s="47">
        <x:v>2</x:v>
      </x:c>
      <x:c r="J208" s="47">
        <x:v>1.5</x:v>
      </x:c>
      <x:c r="K208" s="47" t="n">
        <x:f>J208*Parametros!$B$9</x:f>
        <x:v>1.0499999999999998</x:v>
      </x:c>
      <x:c r="L208" s="7" t="s">
        <x:v>958</x:v>
      </x:c>
      <x:c r="M208" s="7"/>
      <x:c r="N208" s="7"/>
      <x:c r="O208" s="12" t="s">
        <x:v>103</x:v>
      </x:c>
    </x:row>
    <x:row r="209">
      <x:c r="A209" s="11" t="s">
        <x:v>46</x:v>
      </x:c>
      <x:c r="B209" s="7" t="s">
        <x:v>134</x:v>
      </x:c>
      <x:c r="C209" s="7" t="s">
        <x:v>135</x:v>
      </x:c>
      <x:c r="D209" s="7" t="s">
        <x:v>770</x:v>
      </x:c>
      <x:c r="E209" s="7" t="s">
        <x:v>959</x:v>
      </x:c>
      <x:c r="F209" s="7" t="s">
        <x:v>960</x:v>
      </x:c>
      <x:c r="G209" s="7" t="s">
        <x:v>184</x:v>
      </x:c>
      <x:c r="H209" s="7" t="s">
        <x:v>782</x:v>
      </x:c>
      <x:c r="I209" s="47">
        <x:v>2</x:v>
      </x:c>
      <x:c r="J209" s="47">
        <x:v>2</x:v>
      </x:c>
      <x:c r="K209" s="47" t="n">
        <x:f>J209*Parametros!$B$9</x:f>
        <x:v>1.4</x:v>
      </x:c>
      <x:c r="L209" s="7" t="s">
        <x:v>961</x:v>
      </x:c>
      <x:c r="M209" s="7"/>
      <x:c r="N209" s="7"/>
      <x:c r="O209" s="12" t="s">
        <x:v>103</x:v>
      </x:c>
    </x:row>
    <x:row r="210">
      <x:c r="A210" s="11" t="s">
        <x:v>46</x:v>
      </x:c>
      <x:c r="B210" s="7" t="s">
        <x:v>134</x:v>
      </x:c>
      <x:c r="C210" s="7" t="s">
        <x:v>135</x:v>
      </x:c>
      <x:c r="D210" s="7" t="s">
        <x:v>770</x:v>
      </x:c>
      <x:c r="E210" s="7" t="s">
        <x:v>962</x:v>
      </x:c>
      <x:c r="F210" s="7" t="s">
        <x:v>963</x:v>
      </x:c>
      <x:c r="G210" s="7" t="s">
        <x:v>184</x:v>
      </x:c>
      <x:c r="H210" s="7" t="s">
        <x:v>782</x:v>
      </x:c>
      <x:c r="I210" s="47">
        <x:v>2</x:v>
      </x:c>
      <x:c r="J210" s="47">
        <x:v>1.5</x:v>
      </x:c>
      <x:c r="K210" s="47" t="n">
        <x:f>J210*Parametros!$B$9</x:f>
        <x:v>1.0499999999999998</x:v>
      </x:c>
      <x:c r="L210" s="7" t="s">
        <x:v>964</x:v>
      </x:c>
      <x:c r="M210" s="7"/>
      <x:c r="N210" s="7"/>
      <x:c r="O210" s="12" t="s">
        <x:v>103</x:v>
      </x:c>
    </x:row>
    <x:row r="211">
      <x:c r="A211" s="11" t="s">
        <x:v>46</x:v>
      </x:c>
      <x:c r="B211" s="7" t="s">
        <x:v>134</x:v>
      </x:c>
      <x:c r="C211" s="7" t="s">
        <x:v>135</x:v>
      </x:c>
      <x:c r="D211" s="7" t="s">
        <x:v>775</x:v>
      </x:c>
      <x:c r="E211" s="7" t="s">
        <x:v>965</x:v>
      </x:c>
      <x:c r="F211" s="7" t="s">
        <x:v>966</x:v>
      </x:c>
      <x:c r="G211" s="7" t="s">
        <x:v>162</x:v>
      </x:c>
      <x:c r="H211" s="7" t="s">
        <x:v>163</x:v>
      </x:c>
      <x:c r="I211" s="47">
        <x:v>1</x:v>
      </x:c>
      <x:c r="J211" s="47">
        <x:v>1.5</x:v>
      </x:c>
      <x:c r="K211" s="47" t="n">
        <x:f>J211*Parametros!$B$9</x:f>
        <x:v>1.0499999999999998</x:v>
      </x:c>
      <x:c r="L211" s="7" t="s">
        <x:v>967</x:v>
      </x:c>
      <x:c r="M211" s="7"/>
      <x:c r="N211" s="7"/>
      <x:c r="O211" s="12" t="s">
        <x:v>103</x:v>
      </x:c>
    </x:row>
    <x:row r="212">
      <x:c r="A212" s="11" t="s">
        <x:v>46</x:v>
      </x:c>
      <x:c r="B212" s="7" t="s">
        <x:v>134</x:v>
      </x:c>
      <x:c r="C212" s="7" t="s">
        <x:v>135</x:v>
      </x:c>
      <x:c r="D212" s="7" t="s">
        <x:v>968</x:v>
      </x:c>
      <x:c r="E212" s="7" t="s">
        <x:v>969</x:v>
      </x:c>
      <x:c r="F212" s="7" t="s">
        <x:v>970</x:v>
      </x:c>
      <x:c r="G212" s="7" t="s">
        <x:v>184</x:v>
      </x:c>
      <x:c r="H212" s="7" t="s">
        <x:v>650</x:v>
      </x:c>
      <x:c r="I212" s="47">
        <x:v>4</x:v>
      </x:c>
      <x:c r="J212" s="47">
        <x:v>0.75</x:v>
      </x:c>
      <x:c r="K212" s="47" t="n">
        <x:f>J212*Parametros!$B$9</x:f>
        <x:v>0.5249999999999999</x:v>
      </x:c>
      <x:c r="L212" s="7" t="s">
        <x:v>971</x:v>
      </x:c>
      <x:c r="M212" s="7"/>
      <x:c r="N212" s="7"/>
      <x:c r="O212" s="12" t="s">
        <x:v>103</x:v>
      </x:c>
    </x:row>
    <x:row r="213">
      <x:c r="A213" s="11" t="s">
        <x:v>46</x:v>
      </x:c>
      <x:c r="B213" s="7" t="s">
        <x:v>134</x:v>
      </x:c>
      <x:c r="C213" s="7" t="s">
        <x:v>135</x:v>
      </x:c>
      <x:c r="D213" s="7" t="s">
        <x:v>972</x:v>
      </x:c>
      <x:c r="E213" s="7" t="s">
        <x:v>973</x:v>
      </x:c>
      <x:c r="F213" s="7" t="s">
        <x:v>974</x:v>
      </x:c>
      <x:c r="G213" s="7" t="s">
        <x:v>162</x:v>
      </x:c>
      <x:c r="H213" s="7" t="s">
        <x:v>786</x:v>
      </x:c>
      <x:c r="I213" s="47">
        <x:v>1</x:v>
      </x:c>
      <x:c r="J213" s="47">
        <x:v>2</x:v>
      </x:c>
      <x:c r="K213" s="47" t="n">
        <x:f>J213*Parametros!$B$9</x:f>
        <x:v>1.4</x:v>
      </x:c>
      <x:c r="L213" s="7" t="s">
        <x:v>975</x:v>
      </x:c>
      <x:c r="M213" s="7"/>
      <x:c r="N213" s="7"/>
      <x:c r="O213" s="12" t="s">
        <x:v>103</x:v>
      </x:c>
    </x:row>
    <x:row r="214">
      <x:c r="A214" s="11" t="s">
        <x:v>46</x:v>
      </x:c>
      <x:c r="B214" s="7" t="s">
        <x:v>134</x:v>
      </x:c>
      <x:c r="C214" s="7" t="s">
        <x:v>135</x:v>
      </x:c>
      <x:c r="D214" s="7" t="s">
        <x:v>972</x:v>
      </x:c>
      <x:c r="E214" s="7" t="s">
        <x:v>976</x:v>
      </x:c>
      <x:c r="F214" s="7" t="s">
        <x:v>977</x:v>
      </x:c>
      <x:c r="G214" s="7" t="s">
        <x:v>162</x:v>
      </x:c>
      <x:c r="H214" s="7" t="s">
        <x:v>786</x:v>
      </x:c>
      <x:c r="I214" s="47">
        <x:v>1</x:v>
      </x:c>
      <x:c r="J214" s="47">
        <x:v>3</x:v>
      </x:c>
      <x:c r="K214" s="47" t="n">
        <x:f>J214*Parametros!$B$9</x:f>
        <x:v>2.0999999999999996</x:v>
      </x:c>
      <x:c r="L214" s="7" t="s">
        <x:v>978</x:v>
      </x:c>
      <x:c r="M214" s="7"/>
      <x:c r="N214" s="7"/>
      <x:c r="O214" s="12" t="s">
        <x:v>103</x:v>
      </x:c>
    </x:row>
    <x:row r="215">
      <x:c r="A215" s="11" t="s">
        <x:v>46</x:v>
      </x:c>
      <x:c r="B215" s="7" t="s">
        <x:v>134</x:v>
      </x:c>
      <x:c r="C215" s="7" t="s">
        <x:v>135</x:v>
      </x:c>
      <x:c r="D215" s="7" t="s">
        <x:v>788</x:v>
      </x:c>
      <x:c r="E215" s="7" t="s">
        <x:v>979</x:v>
      </x:c>
      <x:c r="F215" s="7" t="s">
        <x:v>790</x:v>
      </x:c>
      <x:c r="G215" s="7" t="s">
        <x:v>162</x:v>
      </x:c>
      <x:c r="H215" s="7" t="s">
        <x:v>163</x:v>
      </x:c>
      <x:c r="I215" s="47">
        <x:v>1</x:v>
      </x:c>
      <x:c r="J215" s="47">
        <x:v>2</x:v>
      </x:c>
      <x:c r="K215" s="47" t="n">
        <x:f>J215*Parametros!$B$9</x:f>
        <x:v>1.4</x:v>
      </x:c>
      <x:c r="L215" s="7" t="s">
        <x:v>980</x:v>
      </x:c>
      <x:c r="M215" s="7"/>
      <x:c r="N215" s="7"/>
      <x:c r="O215" s="12" t="s">
        <x:v>103</x:v>
      </x:c>
    </x:row>
    <x:row r="216">
      <x:c r="A216" s="11" t="s">
        <x:v>48</x:v>
      </x:c>
      <x:c r="B216" s="7" t="s">
        <x:v>136</x:v>
      </x:c>
      <x:c r="C216" s="7" t="s">
        <x:v>137</x:v>
      </x:c>
      <x:c r="D216" s="7" t="s">
        <x:v>481</x:v>
      </x:c>
      <x:c r="E216" s="7" t="s">
        <x:v>981</x:v>
      </x:c>
      <x:c r="F216" s="7" t="s">
        <x:v>982</x:v>
      </x:c>
      <x:c r="G216" s="7" t="s">
        <x:v>162</x:v>
      </x:c>
      <x:c r="H216" s="7" t="s">
        <x:v>496</x:v>
      </x:c>
      <x:c r="I216" s="47">
        <x:v>6</x:v>
      </x:c>
      <x:c r="J216" s="47">
        <x:v>0.5</x:v>
      </x:c>
      <x:c r="K216" s="47" t="n">
        <x:f>J216*Parametros!$B$9</x:f>
        <x:v>0.35</x:v>
      </x:c>
      <x:c r="L216" s="7" t="s">
        <x:v>983</x:v>
      </x:c>
      <x:c r="M216" s="7"/>
      <x:c r="N216" s="7"/>
      <x:c r="O216" s="12" t="s">
        <x:v>103</x:v>
      </x:c>
    </x:row>
    <x:row r="217">
      <x:c r="A217" s="11" t="s">
        <x:v>48</x:v>
      </x:c>
      <x:c r="B217" s="7" t="s">
        <x:v>136</x:v>
      </x:c>
      <x:c r="C217" s="7" t="s">
        <x:v>137</x:v>
      </x:c>
      <x:c r="D217" s="7" t="s">
        <x:v>481</x:v>
      </x:c>
      <x:c r="E217" s="7" t="s">
        <x:v>984</x:v>
      </x:c>
      <x:c r="F217" s="7" t="s">
        <x:v>985</x:v>
      </x:c>
      <x:c r="G217" s="7" t="s">
        <x:v>162</x:v>
      </x:c>
      <x:c r="H217" s="7" t="s">
        <x:v>335</x:v>
      </x:c>
      <x:c r="I217" s="47">
        <x:v>2</x:v>
      </x:c>
      <x:c r="J217" s="47">
        <x:v>0.75</x:v>
      </x:c>
      <x:c r="K217" s="47" t="n">
        <x:f>J217*Parametros!$B$9</x:f>
        <x:v>0.5249999999999999</x:v>
      </x:c>
      <x:c r="L217" s="7" t="s">
        <x:v>986</x:v>
      </x:c>
      <x:c r="M217" s="7"/>
      <x:c r="N217" s="7"/>
      <x:c r="O217" s="12" t="s">
        <x:v>103</x:v>
      </x:c>
    </x:row>
    <x:row r="218" ht="24">
      <x:c r="A218" s="11" t="s">
        <x:v>48</x:v>
      </x:c>
      <x:c r="B218" s="7" t="s">
        <x:v>136</x:v>
      </x:c>
      <x:c r="C218" s="7" t="s">
        <x:v>137</x:v>
      </x:c>
      <x:c r="D218" s="7" t="s">
        <x:v>756</x:v>
      </x:c>
      <x:c r="E218" s="7" t="s">
        <x:v>987</x:v>
      </x:c>
      <x:c r="F218" s="7" t="s">
        <x:v>988</x:v>
      </x:c>
      <x:c r="G218" s="7" t="s">
        <x:v>162</x:v>
      </x:c>
      <x:c r="H218" s="7" t="s">
        <x:v>163</x:v>
      </x:c>
      <x:c r="I218" s="47">
        <x:v>1</x:v>
      </x:c>
      <x:c r="J218" s="47">
        <x:v>2.5</x:v>
      </x:c>
      <x:c r="K218" s="47" t="n">
        <x:f>J218*Parametros!$B$9</x:f>
        <x:v>1.75</x:v>
      </x:c>
      <x:c r="L218" s="7" t="s">
        <x:v>989</x:v>
      </x:c>
      <x:c r="M218" s="7" t="s">
        <x:v>990</x:v>
      </x:c>
      <x:c r="N218" s="7"/>
      <x:c r="O218" s="12" t="s">
        <x:v>103</x:v>
      </x:c>
    </x:row>
    <x:row r="219">
      <x:c r="A219" s="11" t="s">
        <x:v>48</x:v>
      </x:c>
      <x:c r="B219" s="7" t="s">
        <x:v>136</x:v>
      </x:c>
      <x:c r="C219" s="7" t="s">
        <x:v>137</x:v>
      </x:c>
      <x:c r="D219" s="7" t="s">
        <x:v>756</x:v>
      </x:c>
      <x:c r="E219" s="7" t="s">
        <x:v>991</x:v>
      </x:c>
      <x:c r="F219" s="7" t="s">
        <x:v>992</x:v>
      </x:c>
      <x:c r="G219" s="7" t="s">
        <x:v>162</x:v>
      </x:c>
      <x:c r="H219" s="7" t="s">
        <x:v>993</x:v>
      </x:c>
      <x:c r="I219" s="47">
        <x:v>4</x:v>
      </x:c>
      <x:c r="J219" s="47">
        <x:v>0.5</x:v>
      </x:c>
      <x:c r="K219" s="47" t="n">
        <x:f>J219*Parametros!$B$9</x:f>
        <x:v>0.35</x:v>
      </x:c>
      <x:c r="L219" s="7" t="s">
        <x:v>994</x:v>
      </x:c>
      <x:c r="M219" s="7" t="s">
        <x:v>995</x:v>
      </x:c>
      <x:c r="N219" s="7"/>
      <x:c r="O219" s="12" t="s">
        <x:v>103</x:v>
      </x:c>
    </x:row>
    <x:row r="220">
      <x:c r="A220" s="11" t="s">
        <x:v>48</x:v>
      </x:c>
      <x:c r="B220" s="7" t="s">
        <x:v>136</x:v>
      </x:c>
      <x:c r="C220" s="7" t="s">
        <x:v>137</x:v>
      </x:c>
      <x:c r="D220" s="7" t="s">
        <x:v>996</x:v>
      </x:c>
      <x:c r="E220" s="7" t="s">
        <x:v>997</x:v>
      </x:c>
      <x:c r="F220" s="7" t="s">
        <x:v>998</x:v>
      </x:c>
      <x:c r="G220" s="7" t="s">
        <x:v>162</x:v>
      </x:c>
      <x:c r="H220" s="7" t="s">
        <x:v>496</x:v>
      </x:c>
      <x:c r="I220" s="47">
        <x:v>6</x:v>
      </x:c>
      <x:c r="J220" s="47">
        <x:v>0.5</x:v>
      </x:c>
      <x:c r="K220" s="47" t="n">
        <x:f>J220*Parametros!$B$9</x:f>
        <x:v>0.35</x:v>
      </x:c>
      <x:c r="L220" s="7" t="s">
        <x:v>999</x:v>
      </x:c>
      <x:c r="M220" s="7" t="s">
        <x:v>1000</x:v>
      </x:c>
      <x:c r="N220" s="7"/>
      <x:c r="O220" s="12" t="s">
        <x:v>103</x:v>
      </x:c>
    </x:row>
    <x:row r="221">
      <x:c r="A221" s="11" t="s">
        <x:v>48</x:v>
      </x:c>
      <x:c r="B221" s="7" t="s">
        <x:v>136</x:v>
      </x:c>
      <x:c r="C221" s="7" t="s">
        <x:v>137</x:v>
      </x:c>
      <x:c r="D221" s="7" t="s">
        <x:v>619</x:v>
      </x:c>
      <x:c r="E221" s="7" t="s">
        <x:v>1001</x:v>
      </x:c>
      <x:c r="F221" s="7" t="s">
        <x:v>1002</x:v>
      </x:c>
      <x:c r="G221" s="7" t="s">
        <x:v>184</x:v>
      </x:c>
      <x:c r="H221" s="7" t="s">
        <x:v>208</x:v>
      </x:c>
      <x:c r="I221" s="47">
        <x:v>3</x:v>
      </x:c>
      <x:c r="J221" s="47">
        <x:v>1</x:v>
      </x:c>
      <x:c r="K221" s="47" t="n">
        <x:f>J221*Parametros!$B$9</x:f>
        <x:v>0.7</x:v>
      </x:c>
      <x:c r="L221" s="7" t="s">
        <x:v>1003</x:v>
      </x:c>
      <x:c r="M221" s="7"/>
      <x:c r="N221" s="7"/>
      <x:c r="O221" s="12" t="s">
        <x:v>103</x:v>
      </x:c>
    </x:row>
    <x:row r="222">
      <x:c r="A222" s="11" t="s">
        <x:v>48</x:v>
      </x:c>
      <x:c r="B222" s="7" t="s">
        <x:v>136</x:v>
      </x:c>
      <x:c r="C222" s="7" t="s">
        <x:v>137</x:v>
      </x:c>
      <x:c r="D222" s="7" t="s">
        <x:v>619</x:v>
      </x:c>
      <x:c r="E222" s="7" t="s">
        <x:v>1004</x:v>
      </x:c>
      <x:c r="F222" s="7" t="s">
        <x:v>1005</x:v>
      </x:c>
      <x:c r="G222" s="7" t="s">
        <x:v>184</x:v>
      </x:c>
      <x:c r="H222" s="7" t="s">
        <x:v>329</x:v>
      </x:c>
      <x:c r="I222" s="47">
        <x:v>2</x:v>
      </x:c>
      <x:c r="J222" s="47">
        <x:v>1.5</x:v>
      </x:c>
      <x:c r="K222" s="47" t="n">
        <x:f>J222*Parametros!$B$9</x:f>
        <x:v>1.0499999999999998</x:v>
      </x:c>
      <x:c r="L222" s="7" t="s">
        <x:v>1006</x:v>
      </x:c>
      <x:c r="M222" s="7"/>
      <x:c r="N222" s="7"/>
      <x:c r="O222" s="12" t="s">
        <x:v>103</x:v>
      </x:c>
    </x:row>
    <x:row r="223">
      <x:c r="A223" s="11" t="s">
        <x:v>48</x:v>
      </x:c>
      <x:c r="B223" s="7" t="s">
        <x:v>136</x:v>
      </x:c>
      <x:c r="C223" s="7" t="s">
        <x:v>137</x:v>
      </x:c>
      <x:c r="D223" s="7" t="s">
        <x:v>619</x:v>
      </x:c>
      <x:c r="E223" s="7" t="s">
        <x:v>1007</x:v>
      </x:c>
      <x:c r="F223" s="7" t="s">
        <x:v>1008</x:v>
      </x:c>
      <x:c r="G223" s="7" t="s">
        <x:v>184</x:v>
      </x:c>
      <x:c r="H223" s="7" t="s">
        <x:v>280</x:v>
      </x:c>
      <x:c r="I223" s="47">
        <x:v>3</x:v>
      </x:c>
      <x:c r="J223" s="47">
        <x:v>0.75</x:v>
      </x:c>
      <x:c r="K223" s="47" t="n">
        <x:f>J223*Parametros!$B$9</x:f>
        <x:v>0.5249999999999999</x:v>
      </x:c>
      <x:c r="L223" s="7" t="s">
        <x:v>1009</x:v>
      </x:c>
      <x:c r="M223" s="7"/>
      <x:c r="N223" s="7"/>
      <x:c r="O223" s="12" t="s">
        <x:v>103</x:v>
      </x:c>
    </x:row>
    <x:row r="224">
      <x:c r="A224" s="11" t="s">
        <x:v>48</x:v>
      </x:c>
      <x:c r="B224" s="7" t="s">
        <x:v>136</x:v>
      </x:c>
      <x:c r="C224" s="7" t="s">
        <x:v>137</x:v>
      </x:c>
      <x:c r="D224" s="7" t="s">
        <x:v>775</x:v>
      </x:c>
      <x:c r="E224" s="7" t="s">
        <x:v>1010</x:v>
      </x:c>
      <x:c r="F224" s="7" t="s">
        <x:v>1011</x:v>
      </x:c>
      <x:c r="G224" s="7" t="s">
        <x:v>184</x:v>
      </x:c>
      <x:c r="H224" s="7" t="s">
        <x:v>1012</x:v>
      </x:c>
      <x:c r="I224" s="47">
        <x:v>5</x:v>
      </x:c>
      <x:c r="J224" s="47">
        <x:v>0.5</x:v>
      </x:c>
      <x:c r="K224" s="47" t="n">
        <x:f>J224*Parametros!$B$9</x:f>
        <x:v>0.35</x:v>
      </x:c>
      <x:c r="L224" s="7" t="s">
        <x:v>1013</x:v>
      </x:c>
      <x:c r="M224" s="7"/>
      <x:c r="N224" s="7"/>
      <x:c r="O224" s="12" t="s">
        <x:v>103</x:v>
      </x:c>
    </x:row>
    <x:row r="225">
      <x:c r="A225" s="11" t="s">
        <x:v>48</x:v>
      </x:c>
      <x:c r="B225" s="7" t="s">
        <x:v>136</x:v>
      </x:c>
      <x:c r="C225" s="7" t="s">
        <x:v>137</x:v>
      </x:c>
      <x:c r="D225" s="7" t="s">
        <x:v>338</x:v>
      </x:c>
      <x:c r="E225" s="7" t="s">
        <x:v>1014</x:v>
      </x:c>
      <x:c r="F225" s="7" t="s">
        <x:v>1015</x:v>
      </x:c>
      <x:c r="G225" s="7" t="s">
        <x:v>184</x:v>
      </x:c>
      <x:c r="H225" s="7" t="s">
        <x:v>635</x:v>
      </x:c>
      <x:c r="I225" s="47">
        <x:v>1</x:v>
      </x:c>
      <x:c r="J225" s="47">
        <x:v>2</x:v>
      </x:c>
      <x:c r="K225" s="47" t="n">
        <x:f>J225*Parametros!$B$9</x:f>
        <x:v>1.4</x:v>
      </x:c>
      <x:c r="L225" s="7" t="s">
        <x:v>1016</x:v>
      </x:c>
      <x:c r="M225" s="7" t="s">
        <x:v>1017</x:v>
      </x:c>
      <x:c r="N225" s="7"/>
      <x:c r="O225" s="12" t="s">
        <x:v>103</x:v>
      </x:c>
    </x:row>
    <x:row r="226">
      <x:c r="A226" s="11" t="s">
        <x:v>48</x:v>
      </x:c>
      <x:c r="B226" s="7" t="s">
        <x:v>136</x:v>
      </x:c>
      <x:c r="C226" s="7" t="s">
        <x:v>137</x:v>
      </x:c>
      <x:c r="D226" s="7" t="s">
        <x:v>240</x:v>
      </x:c>
      <x:c r="E226" s="7" t="s">
        <x:v>1018</x:v>
      </x:c>
      <x:c r="F226" s="7" t="s">
        <x:v>1019</x:v>
      </x:c>
      <x:c r="G226" s="7" t="s">
        <x:v>162</x:v>
      </x:c>
      <x:c r="H226" s="7" t="s">
        <x:v>453</x:v>
      </x:c>
      <x:c r="I226" s="47">
        <x:v>6</x:v>
      </x:c>
      <x:c r="J226" s="47">
        <x:v>0.5</x:v>
      </x:c>
      <x:c r="K226" s="47" t="n">
        <x:f>J226*Parametros!$B$9</x:f>
        <x:v>0.35</x:v>
      </x:c>
      <x:c r="L226" s="7" t="s">
        <x:v>1020</x:v>
      </x:c>
      <x:c r="M226" s="7"/>
      <x:c r="N226" s="7"/>
      <x:c r="O226" s="12" t="s">
        <x:v>103</x:v>
      </x:c>
    </x:row>
    <x:row r="227">
      <x:c r="A227" s="11" t="s">
        <x:v>48</x:v>
      </x:c>
      <x:c r="B227" s="7" t="s">
        <x:v>136</x:v>
      </x:c>
      <x:c r="C227" s="7" t="s">
        <x:v>137</x:v>
      </x:c>
      <x:c r="D227" s="7" t="s">
        <x:v>1021</x:v>
      </x:c>
      <x:c r="E227" s="7" t="s">
        <x:v>1022</x:v>
      </x:c>
      <x:c r="F227" s="7" t="s">
        <x:v>1023</x:v>
      </x:c>
      <x:c r="G227" s="7" t="s">
        <x:v>162</x:v>
      </x:c>
      <x:c r="H227" s="7" t="s">
        <x:v>1024</x:v>
      </x:c>
      <x:c r="I227" s="47">
        <x:v>1</x:v>
      </x:c>
      <x:c r="J227" s="47">
        <x:v>2</x:v>
      </x:c>
      <x:c r="K227" s="47" t="n">
        <x:f>J227*Parametros!$B$9</x:f>
        <x:v>1.4</x:v>
      </x:c>
      <x:c r="L227" s="7" t="s">
        <x:v>1025</x:v>
      </x:c>
      <x:c r="M227" s="7"/>
      <x:c r="N227" s="7"/>
      <x:c r="O227" s="12" t="s">
        <x:v>103</x:v>
      </x:c>
    </x:row>
    <x:row r="228">
      <x:c r="A228" s="11" t="s">
        <x:v>48</x:v>
      </x:c>
      <x:c r="B228" s="7" t="s">
        <x:v>138</x:v>
      </x:c>
      <x:c r="C228" s="7" t="s">
        <x:v>139</x:v>
      </x:c>
      <x:c r="D228" s="7" t="s">
        <x:v>819</x:v>
      </x:c>
      <x:c r="E228" s="7" t="s">
        <x:v>1026</x:v>
      </x:c>
      <x:c r="F228" s="7" t="s">
        <x:v>1027</x:v>
      </x:c>
      <x:c r="G228" s="7" t="s">
        <x:v>162</x:v>
      </x:c>
      <x:c r="H228" s="7" t="s">
        <x:v>756</x:v>
      </x:c>
      <x:c r="I228" s="47">
        <x:v>4</x:v>
      </x:c>
      <x:c r="J228" s="47">
        <x:v>0.75</x:v>
      </x:c>
      <x:c r="K228" s="47" t="n">
        <x:f>J228*Parametros!$B$9</x:f>
        <x:v>0.5249999999999999</x:v>
      </x:c>
      <x:c r="L228" s="7" t="s">
        <x:v>1028</x:v>
      </x:c>
      <x:c r="M228" s="7"/>
      <x:c r="N228" s="7"/>
      <x:c r="O228" s="12" t="s">
        <x:v>103</x:v>
      </x:c>
    </x:row>
    <x:row r="229">
      <x:c r="A229" s="11" t="s">
        <x:v>48</x:v>
      </x:c>
      <x:c r="B229" s="7" t="s">
        <x:v>138</x:v>
      </x:c>
      <x:c r="C229" s="7" t="s">
        <x:v>139</x:v>
      </x:c>
      <x:c r="D229" s="7" t="s">
        <x:v>756</x:v>
      </x:c>
      <x:c r="E229" s="7" t="s">
        <x:v>1029</x:v>
      </x:c>
      <x:c r="F229" s="7" t="s">
        <x:v>1030</x:v>
      </x:c>
      <x:c r="G229" s="7" t="s">
        <x:v>162</x:v>
      </x:c>
      <x:c r="H229" s="7" t="s">
        <x:v>756</x:v>
      </x:c>
      <x:c r="I229" s="47">
        <x:v>1</x:v>
      </x:c>
      <x:c r="J229" s="47">
        <x:v>2</x:v>
      </x:c>
      <x:c r="K229" s="47" t="n">
        <x:f>J229*Parametros!$B$9</x:f>
        <x:v>1.4</x:v>
      </x:c>
      <x:c r="L229" s="7" t="s">
        <x:v>1031</x:v>
      </x:c>
      <x:c r="M229" s="7"/>
      <x:c r="N229" s="7"/>
      <x:c r="O229" s="12" t="s">
        <x:v>103</x:v>
      </x:c>
    </x:row>
    <x:row r="230">
      <x:c r="A230" s="11" t="s">
        <x:v>48</x:v>
      </x:c>
      <x:c r="B230" s="7" t="s">
        <x:v>138</x:v>
      </x:c>
      <x:c r="C230" s="7" t="s">
        <x:v>139</x:v>
      </x:c>
      <x:c r="D230" s="7" t="s">
        <x:v>756</x:v>
      </x:c>
      <x:c r="E230" s="7" t="s">
        <x:v>1032</x:v>
      </x:c>
      <x:c r="F230" s="7" t="s">
        <x:v>1033</x:v>
      </x:c>
      <x:c r="G230" s="7" t="s">
        <x:v>162</x:v>
      </x:c>
      <x:c r="H230" s="7" t="s">
        <x:v>756</x:v>
      </x:c>
      <x:c r="I230" s="47">
        <x:v>1</x:v>
      </x:c>
      <x:c r="J230" s="47">
        <x:v>1.5</x:v>
      </x:c>
      <x:c r="K230" s="47" t="n">
        <x:f>J230*Parametros!$B$9</x:f>
        <x:v>1.0499999999999998</x:v>
      </x:c>
      <x:c r="L230" s="7" t="s">
        <x:v>1034</x:v>
      </x:c>
      <x:c r="M230" s="7"/>
      <x:c r="N230" s="7"/>
      <x:c r="O230" s="12" t="s">
        <x:v>103</x:v>
      </x:c>
    </x:row>
    <x:row r="231">
      <x:c r="A231" s="11" t="s">
        <x:v>48</x:v>
      </x:c>
      <x:c r="B231" s="7" t="s">
        <x:v>138</x:v>
      </x:c>
      <x:c r="C231" s="7" t="s">
        <x:v>139</x:v>
      </x:c>
      <x:c r="D231" s="7" t="s">
        <x:v>756</x:v>
      </x:c>
      <x:c r="E231" s="7" t="s">
        <x:v>1035</x:v>
      </x:c>
      <x:c r="F231" s="7" t="s">
        <x:v>1036</x:v>
      </x:c>
      <x:c r="G231" s="7" t="s">
        <x:v>162</x:v>
      </x:c>
      <x:c r="H231" s="7" t="s">
        <x:v>756</x:v>
      </x:c>
      <x:c r="I231" s="47">
        <x:v>1</x:v>
      </x:c>
      <x:c r="J231" s="47">
        <x:v>2</x:v>
      </x:c>
      <x:c r="K231" s="47" t="n">
        <x:f>J231*Parametros!$B$9</x:f>
        <x:v>1.4</x:v>
      </x:c>
      <x:c r="L231" s="7" t="s">
        <x:v>1037</x:v>
      </x:c>
      <x:c r="M231" s="7"/>
      <x:c r="N231" s="7"/>
      <x:c r="O231" s="12" t="s">
        <x:v>103</x:v>
      </x:c>
    </x:row>
    <x:row r="232">
      <x:c r="A232" s="11" t="s">
        <x:v>48</x:v>
      </x:c>
      <x:c r="B232" s="7" t="s">
        <x:v>138</x:v>
      </x:c>
      <x:c r="C232" s="7" t="s">
        <x:v>139</x:v>
      </x:c>
      <x:c r="D232" s="7" t="s">
        <x:v>756</x:v>
      </x:c>
      <x:c r="E232" s="7" t="s">
        <x:v>1038</x:v>
      </x:c>
      <x:c r="F232" s="7" t="s">
        <x:v>1039</x:v>
      </x:c>
      <x:c r="G232" s="7" t="s">
        <x:v>194</x:v>
      </x:c>
      <x:c r="H232" s="7" t="s">
        <x:v>756</x:v>
      </x:c>
      <x:c r="I232" s="47">
        <x:v>1</x:v>
      </x:c>
      <x:c r="J232" s="47">
        <x:v>1.5</x:v>
      </x:c>
      <x:c r="K232" s="47" t="n">
        <x:f>J232*Parametros!$B$9</x:f>
        <x:v>1.0499999999999998</x:v>
      </x:c>
      <x:c r="L232" s="7" t="s">
        <x:v>1040</x:v>
      </x:c>
      <x:c r="M232" s="7"/>
      <x:c r="N232" s="7"/>
      <x:c r="O232" s="12" t="s">
        <x:v>103</x:v>
      </x:c>
    </x:row>
    <x:row r="233">
      <x:c r="A233" s="11" t="s">
        <x:v>48</x:v>
      </x:c>
      <x:c r="B233" s="7" t="s">
        <x:v>138</x:v>
      </x:c>
      <x:c r="C233" s="7" t="s">
        <x:v>139</x:v>
      </x:c>
      <x:c r="D233" s="7" t="s">
        <x:v>1041</x:v>
      </x:c>
      <x:c r="E233" s="7" t="s">
        <x:v>1042</x:v>
      </x:c>
      <x:c r="F233" s="7" t="s">
        <x:v>1043</x:v>
      </x:c>
      <x:c r="G233" s="7" t="s">
        <x:v>162</x:v>
      </x:c>
      <x:c r="H233" s="7" t="s">
        <x:v>280</x:v>
      </x:c>
      <x:c r="I233" s="47">
        <x:v>5</x:v>
      </x:c>
      <x:c r="J233" s="47">
        <x:v>0.5</x:v>
      </x:c>
      <x:c r="K233" s="47" t="n">
        <x:f>J233*Parametros!$B$9</x:f>
        <x:v>0.35</x:v>
      </x:c>
      <x:c r="L233" s="7" t="s">
        <x:v>1044</x:v>
      </x:c>
      <x:c r="M233" s="7"/>
      <x:c r="N233" s="7"/>
      <x:c r="O233" s="12" t="s">
        <x:v>103</x:v>
      </x:c>
    </x:row>
    <x:row r="234">
      <x:c r="A234" s="11" t="s">
        <x:v>48</x:v>
      </x:c>
      <x:c r="B234" s="7" t="s">
        <x:v>138</x:v>
      </x:c>
      <x:c r="C234" s="7" t="s">
        <x:v>139</x:v>
      </x:c>
      <x:c r="D234" s="7" t="s">
        <x:v>1045</x:v>
      </x:c>
      <x:c r="E234" s="7" t="s">
        <x:v>1046</x:v>
      </x:c>
      <x:c r="F234" s="7" t="s">
        <x:v>1047</x:v>
      </x:c>
      <x:c r="G234" s="7" t="s">
        <x:v>184</x:v>
      </x:c>
      <x:c r="H234" s="7" t="s">
        <x:v>756</x:v>
      </x:c>
      <x:c r="I234" s="47">
        <x:v>4</x:v>
      </x:c>
      <x:c r="J234" s="47">
        <x:v>1.5</x:v>
      </x:c>
      <x:c r="K234" s="47" t="n">
        <x:f>J234*Parametros!$B$9</x:f>
        <x:v>1.0499999999999998</x:v>
      </x:c>
      <x:c r="L234" s="7" t="s">
        <x:v>1048</x:v>
      </x:c>
      <x:c r="M234" s="7"/>
      <x:c r="N234" s="7"/>
      <x:c r="O234" s="12" t="s">
        <x:v>103</x:v>
      </x:c>
    </x:row>
    <x:row r="235">
      <x:c r="A235" s="11" t="s">
        <x:v>48</x:v>
      </x:c>
      <x:c r="B235" s="7" t="s">
        <x:v>138</x:v>
      </x:c>
      <x:c r="C235" s="7" t="s">
        <x:v>139</x:v>
      </x:c>
      <x:c r="D235" s="7" t="s">
        <x:v>389</x:v>
      </x:c>
      <x:c r="E235" s="7" t="s">
        <x:v>1049</x:v>
      </x:c>
      <x:c r="F235" s="7" t="s">
        <x:v>1050</x:v>
      </x:c>
      <x:c r="G235" s="7" t="s">
        <x:v>194</x:v>
      </x:c>
      <x:c r="H235" s="7" t="s">
        <x:v>397</x:v>
      </x:c>
      <x:c r="I235" s="47">
        <x:v>5</x:v>
      </x:c>
      <x:c r="J235" s="47">
        <x:v>0.75</x:v>
      </x:c>
      <x:c r="K235" s="47" t="n">
        <x:f>J235*Parametros!$B$9</x:f>
        <x:v>0.5249999999999999</x:v>
      </x:c>
      <x:c r="L235" s="7" t="s">
        <x:v>1051</x:v>
      </x:c>
      <x:c r="M235" s="7"/>
      <x:c r="N235" s="7"/>
      <x:c r="O235" s="12" t="s">
        <x:v>103</x:v>
      </x:c>
    </x:row>
    <x:row r="236">
      <x:c r="A236" s="11" t="s">
        <x:v>48</x:v>
      </x:c>
      <x:c r="B236" s="7" t="s">
        <x:v>138</x:v>
      </x:c>
      <x:c r="C236" s="7" t="s">
        <x:v>139</x:v>
      </x:c>
      <x:c r="D236" s="7" t="s">
        <x:v>1052</x:v>
      </x:c>
      <x:c r="E236" s="7" t="s">
        <x:v>1053</x:v>
      </x:c>
      <x:c r="F236" s="7" t="s">
        <x:v>1054</x:v>
      </x:c>
      <x:c r="G236" s="7" t="s">
        <x:v>162</x:v>
      </x:c>
      <x:c r="H236" s="7" t="s">
        <x:v>1055</x:v>
      </x:c>
      <x:c r="I236" s="47">
        <x:v>6</x:v>
      </x:c>
      <x:c r="J236" s="47">
        <x:v>0.5</x:v>
      </x:c>
      <x:c r="K236" s="47" t="n">
        <x:f>J236*Parametros!$B$9</x:f>
        <x:v>0.35</x:v>
      </x:c>
      <x:c r="L236" s="7" t="s">
        <x:v>1056</x:v>
      </x:c>
      <x:c r="M236" s="7"/>
      <x:c r="N236" s="7"/>
      <x:c r="O236" s="12" t="s">
        <x:v>103</x:v>
      </x:c>
    </x:row>
    <x:row r="237" ht="24">
      <x:c r="A237" s="11" t="s">
        <x:v>48</x:v>
      </x:c>
      <x:c r="B237" s="7" t="s">
        <x:v>138</x:v>
      </x:c>
      <x:c r="C237" s="7" t="s">
        <x:v>139</x:v>
      </x:c>
      <x:c r="D237" s="7" t="s">
        <x:v>338</x:v>
      </x:c>
      <x:c r="E237" s="7" t="s">
        <x:v>1057</x:v>
      </x:c>
      <x:c r="F237" s="7" t="s">
        <x:v>1058</x:v>
      </x:c>
      <x:c r="G237" s="7" t="s">
        <x:v>184</x:v>
      </x:c>
      <x:c r="H237" s="7" t="s">
        <x:v>635</x:v>
      </x:c>
      <x:c r="I237" s="47">
        <x:v>2</x:v>
      </x:c>
      <x:c r="J237" s="47">
        <x:v>1.5</x:v>
      </x:c>
      <x:c r="K237" s="47" t="n">
        <x:f>J237*Parametros!$B$9</x:f>
        <x:v>1.0499999999999998</x:v>
      </x:c>
      <x:c r="L237" s="7" t="s">
        <x:v>1059</x:v>
      </x:c>
      <x:c r="M237" s="7" t="s">
        <x:v>1060</x:v>
      </x:c>
      <x:c r="N237" s="7"/>
      <x:c r="O237" s="12" t="s">
        <x:v>103</x:v>
      </x:c>
    </x:row>
    <x:row r="238">
      <x:c r="A238" s="11" t="s">
        <x:v>48</x:v>
      </x:c>
      <x:c r="B238" s="7" t="s">
        <x:v>138</x:v>
      </x:c>
      <x:c r="C238" s="7" t="s">
        <x:v>139</x:v>
      </x:c>
      <x:c r="D238" s="7" t="s">
        <x:v>1061</x:v>
      </x:c>
      <x:c r="E238" s="7" t="s">
        <x:v>1062</x:v>
      </x:c>
      <x:c r="F238" s="7" t="s">
        <x:v>1063</x:v>
      </x:c>
      <x:c r="G238" s="7" t="s">
        <x:v>162</x:v>
      </x:c>
      <x:c r="H238" s="7" t="s">
        <x:v>453</x:v>
      </x:c>
      <x:c r="I238" s="47">
        <x:v>8</x:v>
      </x:c>
      <x:c r="J238" s="47">
        <x:v>0.5</x:v>
      </x:c>
      <x:c r="K238" s="47" t="n">
        <x:f>J238*Parametros!$B$9</x:f>
        <x:v>0.35</x:v>
      </x:c>
      <x:c r="L238" s="7" t="s">
        <x:v>1064</x:v>
      </x:c>
      <x:c r="M238" s="7"/>
      <x:c r="N238" s="7"/>
      <x:c r="O238" s="12" t="s">
        <x:v>103</x:v>
      </x:c>
    </x:row>
    <x:row r="239">
      <x:c r="A239" s="11" t="s">
        <x:v>48</x:v>
      </x:c>
      <x:c r="B239" s="7" t="s">
        <x:v>138</x:v>
      </x:c>
      <x:c r="C239" s="7" t="s">
        <x:v>139</x:v>
      </x:c>
      <x:c r="D239" s="7" t="s">
        <x:v>361</x:v>
      </x:c>
      <x:c r="E239" s="7" t="s">
        <x:v>1065</x:v>
      </x:c>
      <x:c r="F239" s="7" t="s">
        <x:v>1066</x:v>
      </x:c>
      <x:c r="G239" s="7" t="s">
        <x:v>162</x:v>
      </x:c>
      <x:c r="H239" s="7" t="s">
        <x:v>163</x:v>
      </x:c>
      <x:c r="I239" s="47">
        <x:v>1</x:v>
      </x:c>
      <x:c r="J239" s="47">
        <x:v>2</x:v>
      </x:c>
      <x:c r="K239" s="47" t="n">
        <x:f>J239*Parametros!$B$9</x:f>
        <x:v>1.4</x:v>
      </x:c>
      <x:c r="L239" s="7" t="s">
        <x:v>1067</x:v>
      </x:c>
      <x:c r="M239" s="7"/>
      <x:c r="N239" s="7"/>
      <x:c r="O239" s="12" t="s">
        <x:v>103</x:v>
      </x:c>
    </x:row>
    <x:row r="240">
      <x:c r="A240" s="11" t="s">
        <x:v>48</x:v>
      </x:c>
      <x:c r="B240" s="7" t="s">
        <x:v>140</x:v>
      </x:c>
      <x:c r="C240" s="7" t="s">
        <x:v>141</x:v>
      </x:c>
      <x:c r="D240" s="7" t="s">
        <x:v>1068</x:v>
      </x:c>
      <x:c r="E240" s="7" t="s">
        <x:v>1069</x:v>
      </x:c>
      <x:c r="F240" s="7" t="s">
        <x:v>1070</x:v>
      </x:c>
      <x:c r="G240" s="7" t="s">
        <x:v>162</x:v>
      </x:c>
      <x:c r="H240" s="7" t="s">
        <x:v>1024</x:v>
      </x:c>
      <x:c r="I240" s="47">
        <x:v>4</x:v>
      </x:c>
      <x:c r="J240" s="47">
        <x:v>0.5</x:v>
      </x:c>
      <x:c r="K240" s="47" t="n">
        <x:f>J240*Parametros!$B$9</x:f>
        <x:v>0.35</x:v>
      </x:c>
      <x:c r="L240" s="7" t="s">
        <x:v>1071</x:v>
      </x:c>
      <x:c r="M240" s="7"/>
      <x:c r="N240" s="7"/>
      <x:c r="O240" s="12" t="s">
        <x:v>103</x:v>
      </x:c>
    </x:row>
    <x:row r="241">
      <x:c r="A241" s="11" t="s">
        <x:v>48</x:v>
      </x:c>
      <x:c r="B241" s="7" t="s">
        <x:v>140</x:v>
      </x:c>
      <x:c r="C241" s="7" t="s">
        <x:v>141</x:v>
      </x:c>
      <x:c r="D241" s="7" t="s">
        <x:v>1068</x:v>
      </x:c>
      <x:c r="E241" s="7" t="s">
        <x:v>1072</x:v>
      </x:c>
      <x:c r="F241" s="7" t="s">
        <x:v>1073</x:v>
      </x:c>
      <x:c r="G241" s="7" t="s">
        <x:v>162</x:v>
      </x:c>
      <x:c r="H241" s="7" t="s">
        <x:v>1074</x:v>
      </x:c>
      <x:c r="I241" s="47">
        <x:v>8</x:v>
      </x:c>
      <x:c r="J241" s="47">
        <x:v>0.25</x:v>
      </x:c>
      <x:c r="K241" s="47" t="n">
        <x:f>J241*Parametros!$B$9</x:f>
        <x:v>0.175</x:v>
      </x:c>
      <x:c r="L241" s="7" t="s">
        <x:v>1075</x:v>
      </x:c>
      <x:c r="M241" s="7"/>
      <x:c r="N241" s="7"/>
      <x:c r="O241" s="12" t="s">
        <x:v>103</x:v>
      </x:c>
    </x:row>
    <x:row r="242">
      <x:c r="A242" s="11" t="s">
        <x:v>48</x:v>
      </x:c>
      <x:c r="B242" s="7" t="s">
        <x:v>140</x:v>
      </x:c>
      <x:c r="C242" s="7" t="s">
        <x:v>141</x:v>
      </x:c>
      <x:c r="D242" s="7" t="s">
        <x:v>1076</x:v>
      </x:c>
      <x:c r="E242" s="7" t="s">
        <x:v>1077</x:v>
      </x:c>
      <x:c r="F242" s="7" t="s">
        <x:v>1078</x:v>
      </x:c>
      <x:c r="G242" s="7" t="s">
        <x:v>184</x:v>
      </x:c>
      <x:c r="H242" s="7" t="s">
        <x:v>1074</x:v>
      </x:c>
      <x:c r="I242" s="47">
        <x:v>4</x:v>
      </x:c>
      <x:c r="J242" s="47">
        <x:v>1.5</x:v>
      </x:c>
      <x:c r="K242" s="47" t="n">
        <x:f>J242*Parametros!$B$9</x:f>
        <x:v>1.0499999999999998</x:v>
      </x:c>
      <x:c r="L242" s="7" t="s">
        <x:v>1079</x:v>
      </x:c>
      <x:c r="M242" s="7"/>
      <x:c r="N242" s="7"/>
      <x:c r="O242" s="12" t="s">
        <x:v>103</x:v>
      </x:c>
    </x:row>
    <x:row r="243">
      <x:c r="A243" s="11" t="s">
        <x:v>48</x:v>
      </x:c>
      <x:c r="B243" s="7" t="s">
        <x:v>140</x:v>
      </x:c>
      <x:c r="C243" s="7" t="s">
        <x:v>141</x:v>
      </x:c>
      <x:c r="D243" s="7" t="s">
        <x:v>1076</x:v>
      </x:c>
      <x:c r="E243" s="7" t="s">
        <x:v>1080</x:v>
      </x:c>
      <x:c r="F243" s="7" t="s">
        <x:v>1081</x:v>
      </x:c>
      <x:c r="G243" s="7" t="s">
        <x:v>184</x:v>
      </x:c>
      <x:c r="H243" s="7" t="s">
        <x:v>1074</x:v>
      </x:c>
      <x:c r="I243" s="47">
        <x:v>4</x:v>
      </x:c>
      <x:c r="J243" s="47">
        <x:v>1</x:v>
      </x:c>
      <x:c r="K243" s="47" t="n">
        <x:f>J243*Parametros!$B$9</x:f>
        <x:v>0.7</x:v>
      </x:c>
      <x:c r="L243" s="7" t="s">
        <x:v>1082</x:v>
      </x:c>
      <x:c r="M243" s="7"/>
      <x:c r="N243" s="7"/>
      <x:c r="O243" s="12" t="s">
        <x:v>103</x:v>
      </x:c>
    </x:row>
    <x:row r="244">
      <x:c r="A244" s="11" t="s">
        <x:v>48</x:v>
      </x:c>
      <x:c r="B244" s="7" t="s">
        <x:v>140</x:v>
      </x:c>
      <x:c r="C244" s="7" t="s">
        <x:v>141</x:v>
      </x:c>
      <x:c r="D244" s="7" t="s">
        <x:v>1083</x:v>
      </x:c>
      <x:c r="E244" s="7" t="s">
        <x:v>1084</x:v>
      </x:c>
      <x:c r="F244" s="7" t="s">
        <x:v>1085</x:v>
      </x:c>
      <x:c r="G244" s="7" t="s">
        <x:v>184</x:v>
      </x:c>
      <x:c r="H244" s="7" t="s">
        <x:v>436</x:v>
      </x:c>
      <x:c r="I244" s="47">
        <x:v>2</x:v>
      </x:c>
      <x:c r="J244" s="47">
        <x:v>2</x:v>
      </x:c>
      <x:c r="K244" s="47" t="n">
        <x:f>J244*Parametros!$B$9</x:f>
        <x:v>1.4</x:v>
      </x:c>
      <x:c r="L244" s="7" t="s">
        <x:v>1086</x:v>
      </x:c>
      <x:c r="M244" s="7"/>
      <x:c r="N244" s="7"/>
      <x:c r="O244" s="12" t="s">
        <x:v>103</x:v>
      </x:c>
    </x:row>
    <x:row r="245">
      <x:c r="A245" s="11" t="s">
        <x:v>48</x:v>
      </x:c>
      <x:c r="B245" s="7" t="s">
        <x:v>140</x:v>
      </x:c>
      <x:c r="C245" s="7" t="s">
        <x:v>141</x:v>
      </x:c>
      <x:c r="D245" s="7" t="s">
        <x:v>1087</x:v>
      </x:c>
      <x:c r="E245" s="7" t="s">
        <x:v>1088</x:v>
      </x:c>
      <x:c r="F245" s="7" t="s">
        <x:v>1089</x:v>
      </x:c>
      <x:c r="G245" s="7" t="s">
        <x:v>194</x:v>
      </x:c>
      <x:c r="H245" s="7" t="s">
        <x:v>1024</x:v>
      </x:c>
      <x:c r="I245" s="47">
        <x:v>4</x:v>
      </x:c>
      <x:c r="J245" s="47">
        <x:v>0.5</x:v>
      </x:c>
      <x:c r="K245" s="47" t="n">
        <x:f>J245*Parametros!$B$9</x:f>
        <x:v>0.35</x:v>
      </x:c>
      <x:c r="L245" s="7" t="s">
        <x:v>1090</x:v>
      </x:c>
      <x:c r="M245" s="7"/>
      <x:c r="N245" s="7"/>
      <x:c r="O245" s="12" t="s">
        <x:v>103</x:v>
      </x:c>
    </x:row>
    <x:row r="246">
      <x:c r="A246" s="11" t="s">
        <x:v>48</x:v>
      </x:c>
      <x:c r="B246" s="7" t="s">
        <x:v>140</x:v>
      </x:c>
      <x:c r="C246" s="7" t="s">
        <x:v>141</x:v>
      </x:c>
      <x:c r="D246" s="7" t="s">
        <x:v>1091</x:v>
      </x:c>
      <x:c r="E246" s="7" t="s">
        <x:v>1092</x:v>
      </x:c>
      <x:c r="F246" s="7" t="s">
        <x:v>1093</x:v>
      </x:c>
      <x:c r="G246" s="7" t="s">
        <x:v>184</x:v>
      </x:c>
      <x:c r="H246" s="7" t="s">
        <x:v>643</x:v>
      </x:c>
      <x:c r="I246" s="47">
        <x:v>1</x:v>
      </x:c>
      <x:c r="J246" s="47">
        <x:v>1</x:v>
      </x:c>
      <x:c r="K246" s="47" t="n">
        <x:f>J246*Parametros!$B$9</x:f>
        <x:v>0.7</x:v>
      </x:c>
      <x:c r="L246" s="7" t="s">
        <x:v>1094</x:v>
      </x:c>
      <x:c r="M246" s="7"/>
      <x:c r="N246" s="7"/>
      <x:c r="O246" s="12" t="s">
        <x:v>103</x:v>
      </x:c>
    </x:row>
    <x:row r="247">
      <x:c r="A247" s="11" t="s">
        <x:v>48</x:v>
      </x:c>
      <x:c r="B247" s="7" t="s">
        <x:v>140</x:v>
      </x:c>
      <x:c r="C247" s="7" t="s">
        <x:v>141</x:v>
      </x:c>
      <x:c r="D247" s="7" t="s">
        <x:v>635</x:v>
      </x:c>
      <x:c r="E247" s="7" t="s">
        <x:v>1095</x:v>
      </x:c>
      <x:c r="F247" s="7" t="s">
        <x:v>1096</x:v>
      </x:c>
      <x:c r="G247" s="7" t="s">
        <x:v>162</x:v>
      </x:c>
      <x:c r="H247" s="7" t="s">
        <x:v>635</x:v>
      </x:c>
      <x:c r="I247" s="47">
        <x:v>1</x:v>
      </x:c>
      <x:c r="J247" s="47">
        <x:v>1.5</x:v>
      </x:c>
      <x:c r="K247" s="47" t="n">
        <x:f>J247*Parametros!$B$9</x:f>
        <x:v>1.0499999999999998</x:v>
      </x:c>
      <x:c r="L247" s="7" t="s">
        <x:v>1097</x:v>
      </x:c>
      <x:c r="M247" s="7"/>
      <x:c r="N247" s="7"/>
      <x:c r="O247" s="12" t="s">
        <x:v>103</x:v>
      </x:c>
    </x:row>
    <x:row r="248">
      <x:c r="A248" s="11" t="s">
        <x:v>48</x:v>
      </x:c>
      <x:c r="B248" s="7" t="s">
        <x:v>140</x:v>
      </x:c>
      <x:c r="C248" s="7" t="s">
        <x:v>141</x:v>
      </x:c>
      <x:c r="D248" s="7" t="s">
        <x:v>1098</x:v>
      </x:c>
      <x:c r="E248" s="7" t="s">
        <x:v>1099</x:v>
      </x:c>
      <x:c r="F248" s="7" t="s">
        <x:v>1100</x:v>
      </x:c>
      <x:c r="G248" s="7" t="s">
        <x:v>184</x:v>
      </x:c>
      <x:c r="H248" s="7" t="s">
        <x:v>1101</x:v>
      </x:c>
      <x:c r="I248" s="47">
        <x:v>2</x:v>
      </x:c>
      <x:c r="J248" s="47">
        <x:v>1</x:v>
      </x:c>
      <x:c r="K248" s="47" t="n">
        <x:f>J248*Parametros!$B$9</x:f>
        <x:v>0.7</x:v>
      </x:c>
      <x:c r="L248" s="7" t="s">
        <x:v>1102</x:v>
      </x:c>
      <x:c r="M248" s="7"/>
      <x:c r="N248" s="7"/>
      <x:c r="O248" s="12" t="s">
        <x:v>103</x:v>
      </x:c>
    </x:row>
    <x:row r="249">
      <x:c r="A249" s="11" t="s">
        <x:v>48</x:v>
      </x:c>
      <x:c r="B249" s="7" t="s">
        <x:v>142</x:v>
      </x:c>
      <x:c r="C249" s="7" t="s">
        <x:v>143</x:v>
      </x:c>
      <x:c r="D249" s="7" t="s">
        <x:v>1103</x:v>
      </x:c>
      <x:c r="E249" s="7" t="s">
        <x:v>1104</x:v>
      </x:c>
      <x:c r="F249" s="7" t="s">
        <x:v>1105</x:v>
      </x:c>
      <x:c r="G249" s="7" t="s">
        <x:v>162</x:v>
      </x:c>
      <x:c r="H249" s="7" t="s">
        <x:v>650</x:v>
      </x:c>
      <x:c r="I249" s="47">
        <x:v>6</x:v>
      </x:c>
      <x:c r="J249" s="47">
        <x:v>0.5</x:v>
      </x:c>
      <x:c r="K249" s="47" t="n">
        <x:f>J249*Parametros!$B$9</x:f>
        <x:v>0.35</x:v>
      </x:c>
      <x:c r="L249" s="7" t="s">
        <x:v>1106</x:v>
      </x:c>
      <x:c r="M249" s="7"/>
      <x:c r="N249" s="7"/>
      <x:c r="O249" s="12" t="s">
        <x:v>103</x:v>
      </x:c>
    </x:row>
    <x:row r="250">
      <x:c r="A250" s="11" t="s">
        <x:v>48</x:v>
      </x:c>
      <x:c r="B250" s="7" t="s">
        <x:v>142</x:v>
      </x:c>
      <x:c r="C250" s="7" t="s">
        <x:v>143</x:v>
      </x:c>
      <x:c r="D250" s="7" t="s">
        <x:v>481</x:v>
      </x:c>
      <x:c r="E250" s="7" t="s">
        <x:v>1107</x:v>
      </x:c>
      <x:c r="F250" s="7" t="s">
        <x:v>1108</x:v>
      </x:c>
      <x:c r="G250" s="7" t="s">
        <x:v>162</x:v>
      </x:c>
      <x:c r="H250" s="7" t="s">
        <x:v>163</x:v>
      </x:c>
      <x:c r="I250" s="47">
        <x:v>1</x:v>
      </x:c>
      <x:c r="J250" s="47">
        <x:v>1.5</x:v>
      </x:c>
      <x:c r="K250" s="47" t="n">
        <x:f>J250*Parametros!$B$9</x:f>
        <x:v>1.0499999999999998</x:v>
      </x:c>
      <x:c r="L250" s="7" t="s">
        <x:v>1109</x:v>
      </x:c>
      <x:c r="M250" s="7"/>
      <x:c r="N250" s="7"/>
      <x:c r="O250" s="12" t="s">
        <x:v>103</x:v>
      </x:c>
    </x:row>
    <x:row r="251">
      <x:c r="A251" s="11" t="s">
        <x:v>48</x:v>
      </x:c>
      <x:c r="B251" s="7" t="s">
        <x:v>142</x:v>
      </x:c>
      <x:c r="C251" s="7" t="s">
        <x:v>143</x:v>
      </x:c>
      <x:c r="D251" s="7" t="s">
        <x:v>819</x:v>
      </x:c>
      <x:c r="E251" s="7" t="s">
        <x:v>1110</x:v>
      </x:c>
      <x:c r="F251" s="7" t="s">
        <x:v>1111</x:v>
      </x:c>
      <x:c r="G251" s="7" t="s">
        <x:v>162</x:v>
      </x:c>
      <x:c r="H251" s="7" t="s">
        <x:v>163</x:v>
      </x:c>
      <x:c r="I251" s="47">
        <x:v>1</x:v>
      </x:c>
      <x:c r="J251" s="47">
        <x:v>1.5</x:v>
      </x:c>
      <x:c r="K251" s="47" t="n">
        <x:f>J251*Parametros!$B$9</x:f>
        <x:v>1.0499999999999998</x:v>
      </x:c>
      <x:c r="L251" s="7" t="s">
        <x:v>1112</x:v>
      </x:c>
      <x:c r="M251" s="7"/>
      <x:c r="N251" s="7"/>
      <x:c r="O251" s="12" t="s">
        <x:v>103</x:v>
      </x:c>
    </x:row>
    <x:row r="252">
      <x:c r="A252" s="11" t="s">
        <x:v>48</x:v>
      </x:c>
      <x:c r="B252" s="7" t="s">
        <x:v>142</x:v>
      </x:c>
      <x:c r="C252" s="7" t="s">
        <x:v>143</x:v>
      </x:c>
      <x:c r="D252" s="7" t="s">
        <x:v>1091</x:v>
      </x:c>
      <x:c r="E252" s="7" t="s">
        <x:v>1113</x:v>
      </x:c>
      <x:c r="F252" s="7" t="s">
        <x:v>1114</x:v>
      </x:c>
      <x:c r="G252" s="7" t="s">
        <x:v>184</x:v>
      </x:c>
      <x:c r="H252" s="7" t="s">
        <x:v>643</x:v>
      </x:c>
      <x:c r="I252" s="47">
        <x:v>1</x:v>
      </x:c>
      <x:c r="J252" s="47">
        <x:v>4</x:v>
      </x:c>
      <x:c r="K252" s="47" t="n">
        <x:f>J252*Parametros!$B$9</x:f>
        <x:v>2.8</x:v>
      </x:c>
      <x:c r="L252" s="7" t="s">
        <x:v>1115</x:v>
      </x:c>
      <x:c r="M252" s="7"/>
      <x:c r="N252" s="7"/>
      <x:c r="O252" s="12" t="s">
        <x:v>103</x:v>
      </x:c>
    </x:row>
    <x:row r="253">
      <x:c r="A253" s="11" t="s">
        <x:v>48</x:v>
      </x:c>
      <x:c r="B253" s="7" t="s">
        <x:v>142</x:v>
      </x:c>
      <x:c r="C253" s="7" t="s">
        <x:v>143</x:v>
      </x:c>
      <x:c r="D253" s="7" t="s">
        <x:v>1091</x:v>
      </x:c>
      <x:c r="E253" s="7" t="s">
        <x:v>1116</x:v>
      </x:c>
      <x:c r="F253" s="7" t="s">
        <x:v>1117</x:v>
      </x:c>
      <x:c r="G253" s="7" t="s">
        <x:v>194</x:v>
      </x:c>
      <x:c r="H253" s="7" t="s">
        <x:v>643</x:v>
      </x:c>
      <x:c r="I253" s="47">
        <x:v>1</x:v>
      </x:c>
      <x:c r="J253" s="47">
        <x:v>4</x:v>
      </x:c>
      <x:c r="K253" s="47" t="n">
        <x:f>J253*Parametros!$B$9</x:f>
        <x:v>2.8</x:v>
      </x:c>
      <x:c r="L253" s="7" t="s">
        <x:v>1118</x:v>
      </x:c>
      <x:c r="M253" s="7"/>
      <x:c r="N253" s="7"/>
      <x:c r="O253" s="12" t="s">
        <x:v>103</x:v>
      </x:c>
    </x:row>
    <x:row r="254">
      <x:c r="A254" s="11" t="s">
        <x:v>48</x:v>
      </x:c>
      <x:c r="B254" s="7" t="s">
        <x:v>142</x:v>
      </x:c>
      <x:c r="C254" s="7" t="s">
        <x:v>143</x:v>
      </x:c>
      <x:c r="D254" s="7" t="s">
        <x:v>1091</x:v>
      </x:c>
      <x:c r="E254" s="7" t="s">
        <x:v>1119</x:v>
      </x:c>
      <x:c r="F254" s="7" t="s">
        <x:v>1120</x:v>
      </x:c>
      <x:c r="G254" s="7" t="s">
        <x:v>184</x:v>
      </x:c>
      <x:c r="H254" s="7" t="s">
        <x:v>643</x:v>
      </x:c>
      <x:c r="I254" s="47">
        <x:v>3</x:v>
      </x:c>
      <x:c r="J254" s="47">
        <x:v>2</x:v>
      </x:c>
      <x:c r="K254" s="47" t="n">
        <x:f>J254*Parametros!$B$9</x:f>
        <x:v>1.4</x:v>
      </x:c>
      <x:c r="L254" s="7" t="s">
        <x:v>1121</x:v>
      </x:c>
      <x:c r="M254" s="7"/>
      <x:c r="N254" s="7"/>
      <x:c r="O254" s="12" t="s">
        <x:v>103</x:v>
      </x:c>
    </x:row>
    <x:row r="255">
      <x:c r="A255" s="11" t="s">
        <x:v>48</x:v>
      </x:c>
      <x:c r="B255" s="7" t="s">
        <x:v>142</x:v>
      </x:c>
      <x:c r="C255" s="7" t="s">
        <x:v>143</x:v>
      </x:c>
      <x:c r="D255" s="7" t="s">
        <x:v>1091</x:v>
      </x:c>
      <x:c r="E255" s="7" t="s">
        <x:v>1122</x:v>
      </x:c>
      <x:c r="F255" s="7" t="s">
        <x:v>1123</x:v>
      </x:c>
      <x:c r="G255" s="7" t="s">
        <x:v>184</x:v>
      </x:c>
      <x:c r="H255" s="7" t="s">
        <x:v>643</x:v>
      </x:c>
      <x:c r="I255" s="47">
        <x:v>2</x:v>
      </x:c>
      <x:c r="J255" s="47">
        <x:v>2.5</x:v>
      </x:c>
      <x:c r="K255" s="47" t="n">
        <x:f>J255*Parametros!$B$9</x:f>
        <x:v>1.75</x:v>
      </x:c>
      <x:c r="L255" s="7" t="s">
        <x:v>1124</x:v>
      </x:c>
      <x:c r="M255" s="7"/>
      <x:c r="N255" s="7"/>
      <x:c r="O255" s="12" t="s">
        <x:v>103</x:v>
      </x:c>
    </x:row>
    <x:row r="256">
      <x:c r="A256" s="11" t="s">
        <x:v>48</x:v>
      </x:c>
      <x:c r="B256" s="7" t="s">
        <x:v>142</x:v>
      </x:c>
      <x:c r="C256" s="7" t="s">
        <x:v>143</x:v>
      </x:c>
      <x:c r="D256" s="7" t="s">
        <x:v>235</x:v>
      </x:c>
      <x:c r="E256" s="7" t="s">
        <x:v>1125</x:v>
      </x:c>
      <x:c r="F256" s="7" t="s">
        <x:v>1126</x:v>
      </x:c>
      <x:c r="G256" s="7" t="s">
        <x:v>184</x:v>
      </x:c>
      <x:c r="H256" s="7" t="s">
        <x:v>1127</x:v>
      </x:c>
      <x:c r="I256" s="47">
        <x:v>5</x:v>
      </x:c>
      <x:c r="J256" s="47">
        <x:v>0.75</x:v>
      </x:c>
      <x:c r="K256" s="47" t="n">
        <x:f>J256*Parametros!$B$9</x:f>
        <x:v>0.5249999999999999</x:v>
      </x:c>
      <x:c r="L256" s="7" t="s">
        <x:v>1128</x:v>
      </x:c>
      <x:c r="M256" s="7"/>
      <x:c r="N256" s="7"/>
      <x:c r="O256" s="12" t="s">
        <x:v>103</x:v>
      </x:c>
    </x:row>
    <x:row r="257">
      <x:c r="A257" s="11" t="s">
        <x:v>48</x:v>
      </x:c>
      <x:c r="B257" s="7" t="s">
        <x:v>142</x:v>
      </x:c>
      <x:c r="C257" s="7" t="s">
        <x:v>143</x:v>
      </x:c>
      <x:c r="D257" s="7" t="s">
        <x:v>266</x:v>
      </x:c>
      <x:c r="E257" s="7" t="s">
        <x:v>1129</x:v>
      </x:c>
      <x:c r="F257" s="7" t="s">
        <x:v>1130</x:v>
      </x:c>
      <x:c r="G257" s="7" t="s">
        <x:v>194</x:v>
      </x:c>
      <x:c r="H257" s="7" t="s">
        <x:v>358</x:v>
      </x:c>
      <x:c r="I257" s="47">
        <x:v>1</x:v>
      </x:c>
      <x:c r="J257" s="47">
        <x:v>2</x:v>
      </x:c>
      <x:c r="K257" s="47" t="n">
        <x:f>J257*Parametros!$B$9</x:f>
        <x:v>1.4</x:v>
      </x:c>
      <x:c r="L257" s="7" t="s">
        <x:v>1131</x:v>
      </x:c>
      <x:c r="M257" s="7"/>
      <x:c r="N257" s="7"/>
      <x:c r="O257" s="12" t="s">
        <x:v>103</x:v>
      </x:c>
    </x:row>
    <x:row r="258">
      <x:c r="A258" s="11" t="s">
        <x:v>48</x:v>
      </x:c>
      <x:c r="B258" s="7" t="s">
        <x:v>142</x:v>
      </x:c>
      <x:c r="C258" s="7" t="s">
        <x:v>143</x:v>
      </x:c>
      <x:c r="D258" s="7" t="s">
        <x:v>240</x:v>
      </x:c>
      <x:c r="E258" s="7" t="s">
        <x:v>1132</x:v>
      </x:c>
      <x:c r="F258" s="7" t="s">
        <x:v>1133</x:v>
      </x:c>
      <x:c r="G258" s="7" t="s">
        <x:v>162</x:v>
      </x:c>
      <x:c r="H258" s="7" t="s">
        <x:v>643</x:v>
      </x:c>
      <x:c r="I258" s="47">
        <x:v>5</x:v>
      </x:c>
      <x:c r="J258" s="47">
        <x:v>0.5</x:v>
      </x:c>
      <x:c r="K258" s="47" t="n">
        <x:f>J258*Parametros!$B$9</x:f>
        <x:v>0.35</x:v>
      </x:c>
      <x:c r="L258" s="7" t="s">
        <x:v>1134</x:v>
      </x:c>
      <x:c r="M258" s="7"/>
      <x:c r="N258" s="7"/>
      <x:c r="O258" s="12" t="s">
        <x:v>103</x:v>
      </x:c>
    </x:row>
    <x:row r="259">
      <x:c r="A259" s="13" t="s">
        <x:v>48</x:v>
      </x:c>
      <x:c r="B259" s="14" t="s">
        <x:v>142</x:v>
      </x:c>
      <x:c r="C259" s="14" t="s">
        <x:v>143</x:v>
      </x:c>
      <x:c r="D259" s="14" t="s">
        <x:v>1021</x:v>
      </x:c>
      <x:c r="E259" s="14" t="s">
        <x:v>1135</x:v>
      </x:c>
      <x:c r="F259" s="14" t="s">
        <x:v>1136</x:v>
      </x:c>
      <x:c r="G259" s="14" t="s">
        <x:v>162</x:v>
      </x:c>
      <x:c r="H259" s="14" t="s">
        <x:v>1024</x:v>
      </x:c>
      <x:c r="I259" s="48">
        <x:v>1</x:v>
      </x:c>
      <x:c r="J259" s="48">
        <x:v>1.5</x:v>
      </x:c>
      <x:c r="K259" s="48" t="n">
        <x:f>J259*Parametros!$B$9</x:f>
        <x:v>1.0499999999999998</x:v>
      </x:c>
      <x:c r="L259" s="14" t="s">
        <x:v>1137</x:v>
      </x:c>
      <x:c r="M259" s="14"/>
      <x:c r="N259" s="14"/>
      <x:c r="O259" s="15" t="s">
        <x:v>103</x:v>
      </x:c>
    </x:row>
    <x:row r="260">
      <x:c r="A260" t="str">
        <x:v>Desarrollo e Implementación</x:v>
      </x:c>
      <x:c r="B260" t="str">
        <x:v>WEB-01</x:v>
      </x:c>
      <x:c r="C260" t="str">
        <x:v>Sitio web profesional</x:v>
      </x:c>
      <x:c r="D260" t="str">
        <x:v>Publicación</x:v>
      </x:c>
      <x:c r="E260" t="str">
        <x:v>WEB-035</x:v>
      </x:c>
      <x:c r="F260" t="str">
        <x:v>Configuración, actualización o migración de dominio/DNS</x:v>
      </x:c>
      <x:c r="G260" t="str">
        <x:v>Opcional</x:v>
      </x:c>
      <x:c r="H260" t="str">
        <x:v>Proyecto</x:v>
      </x:c>
      <x:c r="I260" t="n">
        <x:v>1</x:v>
      </x:c>
      <x:c r="J260" t="n">
        <x:v>0.4</x:v>
      </x:c>
      <x:c r="K260" t="n">
        <x:f>J260*Parametros!$B$9</x:f>
        <x:v>0.27999999999999997</x:v>
      </x:c>
      <x:c r="L260" t="str">
        <x:v>Incluye: conexión de dominio existente, ajustes DNS necesarios para la publicación o migración simple entre proveedores, validación de propagación y vinculación al hosting.</x:v>
      </x:c>
      <x:c r="M260" t="str">
        <x:v>No incluye compra o renovación del dominio, recuperación de cuentas, migración compleja de correo ni incidencias avanzadas con registradores o proveedores.</x:v>
      </x:c>
      <x:c r="N260" t="str">
        <x:v>WEB-030</x:v>
      </x:c>
      <x:c r="O260" t="str">
        <x:v>Preliminar</x:v>
      </x:c>
    </x:row>
  </x:sheetData>
  <x:mergeCells>
    <x:mergeCell ref="A1:O1"/>
    <x:mergeCell ref="A3:O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42" customWidth="1"/>
    <x:col min="3" max="3" width="18" customWidth="1"/>
    <x:col min="4" max="4" width="48" customWidth="1"/>
    <x:col min="5" max="5" width="18" customWidth="1"/>
    <x:col min="6" max="7" width="16" customWidth="1"/>
    <x:col min="8" max="8" width="62" customWidth="1"/>
    <x:col min="9" max="9" width="52" customWidth="1"/>
  </x:cols>
  <x:sheetData>
    <x:row r="1" ht="33.95000076293945" customHeight="1">
      <x:c r="A1" s="36" t="s">
        <x:v>1138</x:v>
      </x:c>
      <x:c r="B1" s="36"/>
      <x:c r="C1" s="36"/>
      <x:c r="D1" s="36"/>
      <x:c r="E1" s="36"/>
      <x:c r="F1" s="36"/>
      <x:c r="G1" s="36"/>
      <x:c r="H1" s="36"/>
      <x:c r="I1" s="36"/>
    </x:row>
    <x:row r="3" ht="33.95000076293945" customHeight="1">
      <x:c r="A3" s="37" t="s">
        <x:v>1139</x:v>
      </x:c>
      <x:c r="B3" s="37"/>
      <x:c r="C3" s="37"/>
      <x:c r="D3" s="37"/>
      <x:c r="E3" s="37"/>
      <x:c r="F3" s="37"/>
      <x:c r="G3" s="37"/>
      <x:c r="H3" s="37"/>
      <x:c r="I3" s="37"/>
    </x:row>
    <x:row r="5" ht="27.950000762939453" customHeight="1">
      <x:c r="A5" s="6" t="s">
        <x:v>95</x:v>
      </x:c>
      <x:c r="B5" s="6" t="s">
        <x:v>496</x:v>
      </x:c>
      <x:c r="C5" s="6" t="s">
        <x:v>149</x:v>
      </x:c>
      <x:c r="D5" s="6" t="s">
        <x:v>151</x:v>
      </x:c>
      <x:c r="E5" s="6" t="s">
        <x:v>152</x:v>
      </x:c>
      <x:c r="F5" s="6" t="s">
        <x:v>1140</x:v>
      </x:c>
      <x:c r="G5" s="6" t="s">
        <x:v>99</x:v>
      </x:c>
      <x:c r="H5" s="6" t="s">
        <x:v>156</x:v>
      </x:c>
      <x:c r="I5" s="6" t="s">
        <x:v>157</x:v>
      </x:c>
    </x:row>
    <x:row r="6" ht="36">
      <x:c r="A6" s="8" t="str">
        <x:f>'Catalogo Maestro'!E6</x:f>
        <x:v>WEB-001</x:v>
      </x:c>
      <x:c r="B6" s="9" t="str">
        <x:f>'Catalogo Maestro'!C6</x:f>
        <x:v>Sitio web profesional</x:v>
      </x:c>
      <x:c r="C6" s="9" t="str">
        <x:f>'Catalogo Maestro'!D6</x:f>
        <x:v>Planificación</x:v>
      </x:c>
      <x:c r="D6" s="9" t="str">
        <x:f>'Catalogo Maestro'!F6</x:f>
        <x:v>Levantamiento y planificación inicial</x:v>
      </x:c>
      <x:c r="E6" s="9" t="str">
        <x:f>'Catalogo Maestro'!G6</x:f>
        <x:v>Base obligatorio</x:v>
      </x:c>
      <x:c r="F6" s="21" t="n">
        <x:f>'Catalogo Maestro'!J6</x:f>
        <x:v>1.5</x:v>
      </x:c>
      <x:c r="G6" s="21" t="n">
        <x:f>'Catalogo Maestro'!K6</x:f>
        <x:v>1.0499999999999998</x:v>
      </x:c>
      <x:c r="H6" s="9" t="str">
        <x:f>'Catalogo Maestro'!L6</x:f>
        <x:v>Incluye: objetivos y público objetivo; inventario de contenidos; propuesta de valor y CTA principal; mapa de navegación; orden de secciones; flujo general; wireframe base de la página principal.</x:v>
      </x:c>
      <x:c r="I6" s="10" t="str">
        <x:f>'Catalogo Maestro'!M6</x:f>
        <x:v>No incluye redacción profesional completa, investigación de mercado extensa ni prototipo de alta fidelidad.</x:v>
      </x:c>
    </x:row>
    <x:row r="7" ht="24">
      <x:c r="A7" s="11" t="str">
        <x:f>'Catalogo Maestro'!E7</x:f>
        <x:v>WEB-005</x:v>
      </x:c>
      <x:c r="B7" s="7" t="str">
        <x:f>'Catalogo Maestro'!C7</x:f>
        <x:v>Sitio web profesional</x:v>
      </x:c>
      <x:c r="C7" s="7" t="str">
        <x:f>'Catalogo Maestro'!D7</x:f>
        <x:v>Preparación</x:v>
      </x:c>
      <x:c r="D7" s="7" t="str">
        <x:f>'Catalogo Maestro'!F7</x:f>
        <x:v>Preparación técnica y sistema visual base</x:v>
      </x:c>
      <x:c r="E7" s="7" t="str">
        <x:f>'Catalogo Maestro'!G7</x:f>
        <x:v>Base obligatorio</x:v>
      </x:c>
      <x:c r="F7" s="16" t="n">
        <x:f>'Catalogo Maestro'!J7</x:f>
        <x:v>2</x:v>
      </x:c>
      <x:c r="G7" s="16" t="n">
        <x:f>'Catalogo Maestro'!K7</x:f>
        <x:v>1.4</x:v>
      </x:c>
      <x:c r="H7" s="7" t="str">
        <x:f>'Catalogo Maestro'!L7</x:f>
        <x:v>Incluye: creación/ajuste de repositorio; estructura del proyecto; configuración inicial; colores, tipografías, espaciados, botones y componentes base reutilizables.</x:v>
      </x:c>
      <x:c r="I7" s="12" t="str">
        <x:f>'Catalogo Maestro'!M7</x:f>
        <x:v>No incluye branding completo ni diseño de identidad corporativa desde cero.</x:v>
      </x:c>
    </x:row>
    <x:row r="8" ht="24">
      <x:c r="A8" s="11" t="str">
        <x:f>'Catalogo Maestro'!E8</x:f>
        <x:v>WEB-007</x:v>
      </x:c>
      <x:c r="B8" s="7" t="str">
        <x:f>'Catalogo Maestro'!C8</x:f>
        <x:v>Sitio web profesional</x:v>
      </x:c>
      <x:c r="C8" s="7" t="str">
        <x:f>'Catalogo Maestro'!D8</x:f>
        <x:v>Interfaz</x:v>
      </x:c>
      <x:c r="D8" s="7" t="str">
        <x:f>'Catalogo Maestro'!F8</x:f>
        <x:v>Navbar, navegación principal y menú móvil</x:v>
      </x:c>
      <x:c r="E8" s="7" t="str">
        <x:f>'Catalogo Maestro'!G8</x:f>
        <x:v>Base obligatorio</x:v>
      </x:c>
      <x:c r="F8" s="16" t="n">
        <x:f>'Catalogo Maestro'!J8</x:f>
        <x:v>1.2</x:v>
      </x:c>
      <x:c r="G8" s="16" t="n">
        <x:f>'Catalogo Maestro'!K8</x:f>
        <x:v>0.84</x:v>
      </x:c>
      <x:c r="H8" s="7" t="str">
        <x:f>'Catalogo Maestro'!L8</x:f>
        <x:v>Incluye: logo, enlaces, CTA de navegación cuando corresponda, estados activos y comportamiento móvil.</x:v>
      </x:c>
      <x:c r="I8" s="12" t="str">
        <x:f>'Catalogo Maestro'!M8</x:f>
        <x:v>No incluye megamenús complejos ni navegación dinámica por permisos.</x:v>
      </x:c>
    </x:row>
    <x:row r="9" ht="24">
      <x:c r="A9" s="11" t="str">
        <x:f>'Catalogo Maestro'!E9</x:f>
        <x:v>WEB-008</x:v>
      </x:c>
      <x:c r="B9" s="7" t="str">
        <x:f>'Catalogo Maestro'!C9</x:f>
        <x:v>Sitio web profesional</x:v>
      </x:c>
      <x:c r="C9" s="7" t="str">
        <x:f>'Catalogo Maestro'!D9</x:f>
        <x:v>Interfaz</x:v>
      </x:c>
      <x:c r="D9" s="7" t="str">
        <x:f>'Catalogo Maestro'!F9</x:f>
        <x:v>Hero principal y llamada a la acción</x:v>
      </x:c>
      <x:c r="E9" s="7" t="str">
        <x:f>'Catalogo Maestro'!G9</x:f>
        <x:v>Base obligatorio</x:v>
      </x:c>
      <x:c r="F9" s="16" t="n">
        <x:f>'Catalogo Maestro'!J9</x:f>
        <x:v>1.8</x:v>
      </x:c>
      <x:c r="G9" s="16" t="n">
        <x:f>'Catalogo Maestro'!K9</x:f>
        <x:v>1.26</x:v>
      </x:c>
      <x:c r="H9" s="7" t="str">
        <x:f>'Catalogo Maestro'!L9</x:f>
        <x:v>Incluye: titular, subtítulo, CTA, recurso visual entregado/disponible, composición y adaptación responsive.</x:v>
      </x:c>
      <x:c r="I9" s="12" t="str">
        <x:f>'Catalogo Maestro'!M9</x:f>
        <x:v>No incluye sesión fotográfica, producción audiovisual ni ilustración compleja a medida.</x:v>
      </x:c>
    </x:row>
    <x:row r="10" ht="24">
      <x:c r="A10" s="11" t="str">
        <x:f>'Catalogo Maestro'!E10</x:f>
        <x:v>WEB-009</x:v>
      </x:c>
      <x:c r="B10" s="7" t="str">
        <x:f>'Catalogo Maestro'!C10</x:f>
        <x:v>Sitio web profesional</x:v>
      </x:c>
      <x:c r="C10" s="7" t="str">
        <x:f>'Catalogo Maestro'!D10</x:f>
        <x:v>Interfaz</x:v>
      </x:c>
      <x:c r="D10" s="7" t="str">
        <x:f>'Catalogo Maestro'!F10</x:f>
        <x:v>Sección estándar de contenido</x:v>
      </x:c>
      <x:c r="E10" s="7" t="str">
        <x:f>'Catalogo Maestro'!G10</x:f>
        <x:v>Base incluido</x:v>
      </x:c>
      <x:c r="F10" s="16" t="n">
        <x:f>'Catalogo Maestro'!J10</x:f>
        <x:v>1</x:v>
      </x:c>
      <x:c r="G10" s="16" t="n">
        <x:f>'Catalogo Maestro'!K10</x:f>
        <x:v>0.7</x:v>
      </x:c>
      <x:c r="H10" s="7" t="str">
        <x:f>'Catalogo Maestro'!L10</x:f>
        <x:v>Incluye por unidad: título, texto, imagen/icono, tarjetas simples o bloque informativo y adaptación responsive.</x:v>
      </x:c>
      <x:c r="I10" s="12" t="str">
        <x:f>'Catalogo Maestro'!M10</x:f>
        <x:v>No incluye lógica avanzada, filtros ni contenido dinámico.</x:v>
      </x:c>
    </x:row>
    <x:row r="11" ht="24">
      <x:c r="A11" s="11" t="str">
        <x:f>'Catalogo Maestro'!E11</x:f>
        <x:v>WEB-010</x:v>
      </x:c>
      <x:c r="B11" s="7" t="str">
        <x:f>'Catalogo Maestro'!C11</x:f>
        <x:v>Sitio web profesional</x:v>
      </x:c>
      <x:c r="C11" s="7" t="str">
        <x:f>'Catalogo Maestro'!D11</x:f>
        <x:v>Interfaz</x:v>
      </x:c>
      <x:c r="D11" s="7" t="str">
        <x:f>'Catalogo Maestro'!F11</x:f>
        <x:v>Sección de servicios con tarjetas</x:v>
      </x:c>
      <x:c r="E11" s="7" t="str">
        <x:f>'Catalogo Maestro'!G11</x:f>
        <x:v>Base incluido</x:v>
      </x:c>
      <x:c r="F11" s="16" t="n">
        <x:f>'Catalogo Maestro'!J11</x:f>
        <x:v>1</x:v>
      </x:c>
      <x:c r="G11" s="16" t="n">
        <x:f>'Catalogo Maestro'!K11</x:f>
        <x:v>0.7</x:v>
      </x:c>
      <x:c r="H11" s="7" t="str">
        <x:f>'Catalogo Maestro'!L11</x:f>
        <x:v>Incluye: tarjetas de servicios, iconos o imágenes, descripciones breves y CTA relacionado.</x:v>
      </x:c>
      <x:c r="I11" s="12" t="str">
        <x:f>'Catalogo Maestro'!M11</x:f>
        <x:v>No incluye catálogo transaccional, reservas ni cálculo dinámico de precios.</x:v>
      </x:c>
    </x:row>
    <x:row r="12" ht="24">
      <x:c r="A12" s="11" t="str">
        <x:f>'Catalogo Maestro'!E12</x:f>
        <x:v>WEB-011</x:v>
      </x:c>
      <x:c r="B12" s="7" t="str">
        <x:f>'Catalogo Maestro'!C12</x:f>
        <x:v>Sitio web profesional</x:v>
      </x:c>
      <x:c r="C12" s="7" t="str">
        <x:f>'Catalogo Maestro'!D12</x:f>
        <x:v>Interfaz</x:v>
      </x:c>
      <x:c r="D12" s="7" t="str">
        <x:f>'Catalogo Maestro'!F12</x:f>
        <x:v>Galería o portafolio</x:v>
      </x:c>
      <x:c r="E12" s="7" t="str">
        <x:f>'Catalogo Maestro'!G12</x:f>
        <x:v>Opcional</x:v>
      </x:c>
      <x:c r="F12" s="16" t="n">
        <x:f>'Catalogo Maestro'!J12</x:f>
        <x:v>1.5</x:v>
      </x:c>
      <x:c r="G12" s="16" t="n">
        <x:f>'Catalogo Maestro'!K12</x:f>
        <x:v>1.0499999999999998</x:v>
      </x:c>
      <x:c r="H12" s="7" t="str">
        <x:f>'Catalogo Maestro'!L12</x:f>
        <x:v>Incluye: grilla/slider, visualización de proyectos o trabajos, modal o navegación simple según alcance.</x:v>
      </x:c>
      <x:c r="I12" s="12" t="str">
        <x:f>'Catalogo Maestro'!M12</x:f>
        <x:v>No incluye carga masiva, edición de imágenes ni CMS complejo.</x:v>
      </x:c>
    </x:row>
    <x:row r="13">
      <x:c r="A13" s="11" t="str">
        <x:f>'Catalogo Maestro'!E13</x:f>
        <x:v>WEB-012</x:v>
      </x:c>
      <x:c r="B13" s="7" t="str">
        <x:f>'Catalogo Maestro'!C13</x:f>
        <x:v>Sitio web profesional</x:v>
      </x:c>
      <x:c r="C13" s="7" t="str">
        <x:f>'Catalogo Maestro'!D13</x:f>
        <x:v>Interfaz</x:v>
      </x:c>
      <x:c r="D13" s="7" t="str">
        <x:f>'Catalogo Maestro'!F13</x:f>
        <x:v>Testimonios o casos de éxito</x:v>
      </x:c>
      <x:c r="E13" s="7" t="str">
        <x:f>'Catalogo Maestro'!G13</x:f>
        <x:v>Opcional</x:v>
      </x:c>
      <x:c r="F13" s="16" t="n">
        <x:f>'Catalogo Maestro'!J13</x:f>
        <x:v>1.5</x:v>
      </x:c>
      <x:c r="G13" s="16" t="n">
        <x:f>'Catalogo Maestro'!K13</x:f>
        <x:v>1.0499999999999998</x:v>
      </x:c>
      <x:c r="H13" s="7" t="str">
        <x:f>'Catalogo Maestro'!L13</x:f>
        <x:v>Incluye: tarjetas, autor, cargo/empresa cuando aplique y adaptación responsive.</x:v>
      </x:c>
      <x:c r="I13" s="12" t="str">
        <x:f>'Catalogo Maestro'!M13</x:f>
        <x:v>No incluye producción de testimonios ni validación legal de contenido.</x:v>
      </x:c>
    </x:row>
    <x:row r="14">
      <x:c r="A14" s="11" t="str">
        <x:f>'Catalogo Maestro'!E14</x:f>
        <x:v>WEB-013</x:v>
      </x:c>
      <x:c r="B14" s="7" t="str">
        <x:f>'Catalogo Maestro'!C14</x:f>
        <x:v>Sitio web profesional</x:v>
      </x:c>
      <x:c r="C14" s="7" t="str">
        <x:f>'Catalogo Maestro'!D14</x:f>
        <x:v>Interfaz</x:v>
      </x:c>
      <x:c r="D14" s="7" t="str">
        <x:f>'Catalogo Maestro'!F14</x:f>
        <x:v>Preguntas frecuentes</x:v>
      </x:c>
      <x:c r="E14" s="7" t="str">
        <x:f>'Catalogo Maestro'!G14</x:f>
        <x:v>Opcional</x:v>
      </x:c>
      <x:c r="F14" s="16" t="n">
        <x:f>'Catalogo Maestro'!J14</x:f>
        <x:v>1</x:v>
      </x:c>
      <x:c r="G14" s="16" t="n">
        <x:f>'Catalogo Maestro'!K14</x:f>
        <x:v>0.7</x:v>
      </x:c>
      <x:c r="H14" s="7" t="str">
        <x:f>'Catalogo Maestro'!L14</x:f>
        <x:v>Incluye: acordeón o listado estructurado, estados y contenido entregado por cliente.</x:v>
      </x:c>
      <x:c r="I14" s="12" t="str">
        <x:f>'Catalogo Maestro'!M14</x:f>
        <x:v>No incluye redacción especializada ni base de conocimiento dinámica.</x:v>
      </x:c>
    </x:row>
    <x:row r="15" ht="24">
      <x:c r="A15" s="11" t="str">
        <x:f>'Catalogo Maestro'!E15</x:f>
        <x:v>WEB-014</x:v>
      </x:c>
      <x:c r="B15" s="7" t="str">
        <x:f>'Catalogo Maestro'!C15</x:f>
        <x:v>Sitio web profesional</x:v>
      </x:c>
      <x:c r="C15" s="7" t="str">
        <x:f>'Catalogo Maestro'!D15</x:f>
        <x:v>Conversión</x:v>
      </x:c>
      <x:c r="D15" s="7" t="str">
        <x:f>'Catalogo Maestro'!F15</x:f>
        <x:v>Formulario de contacto con envío por correo</x:v>
      </x:c>
      <x:c r="E15" s="7" t="str">
        <x:f>'Catalogo Maestro'!G15</x:f>
        <x:v>Opcional</x:v>
      </x:c>
      <x:c r="F15" s="16" t="n">
        <x:f>'Catalogo Maestro'!J15</x:f>
        <x:v>1</x:v>
      </x:c>
      <x:c r="G15" s="16" t="n">
        <x:f>'Catalogo Maestro'!K15</x:f>
        <x:v>0.7</x:v>
      </x:c>
      <x:c r="H15" s="7" t="str">
        <x:f>'Catalogo Maestro'!L15</x:f>
        <x:v>Incluye: campos, validaciones, estados, consentimiento básico, endpoint o servicio de envío, plantilla simple de correo y prueba de entrega.</x:v>
      </x:c>
      <x:c r="I15" s="12" t="str">
        <x:f>'Catalogo Maestro'!M15</x:f>
        <x:v>No incluye CRM, automatizaciones complejas, adjuntos pesados ni flujos de aprobación.</x:v>
      </x:c>
    </x:row>
    <x:row r="16" ht="24">
      <x:c r="A16" s="11" t="str">
        <x:f>'Catalogo Maestro'!E16</x:f>
        <x:v>WEB-015</x:v>
      </x:c>
      <x:c r="B16" s="7" t="str">
        <x:f>'Catalogo Maestro'!C16</x:f>
        <x:v>Sitio web profesional</x:v>
      </x:c>
      <x:c r="C16" s="7" t="str">
        <x:f>'Catalogo Maestro'!D16</x:f>
        <x:v>Interfaz</x:v>
      </x:c>
      <x:c r="D16" s="7" t="str">
        <x:f>'Catalogo Maestro'!F16</x:f>
        <x:v>Footer y cierre de navegación</x:v>
      </x:c>
      <x:c r="E16" s="7" t="str">
        <x:f>'Catalogo Maestro'!G16</x:f>
        <x:v>Base obligatorio</x:v>
      </x:c>
      <x:c r="F16" s="16" t="n">
        <x:f>'Catalogo Maestro'!J16</x:f>
        <x:v>1</x:v>
      </x:c>
      <x:c r="G16" s="16" t="n">
        <x:f>'Catalogo Maestro'!K16</x:f>
        <x:v>0.7</x:v>
      </x:c>
      <x:c r="H16" s="7" t="str">
        <x:f>'Catalogo Maestro'!L16</x:f>
        <x:v>Incluye: datos de contacto, enlaces legales/útiles, redes cuando existan y estructura responsive.</x:v>
      </x:c>
      <x:c r="I16" s="12" t="str">
        <x:f>'Catalogo Maestro'!M16</x:f>
        <x:v>No incluye contenido legal redactado por ISM.</x:v>
      </x:c>
    </x:row>
    <x:row r="17" ht="24">
      <x:c r="A17" s="11" t="str">
        <x:f>'Catalogo Maestro'!E17</x:f>
        <x:v>WEB-016</x:v>
      </x:c>
      <x:c r="B17" s="7" t="str">
        <x:f>'Catalogo Maestro'!C17</x:f>
        <x:v>Sitio web profesional</x:v>
      </x:c>
      <x:c r="C17" s="7" t="str">
        <x:f>'Catalogo Maestro'!D17</x:f>
        <x:v>Interfaz</x:v>
      </x:c>
      <x:c r="D17" s="7" t="str">
        <x:f>'Catalogo Maestro'!F17</x:f>
        <x:v>Página interna estándar</x:v>
      </x:c>
      <x:c r="E17" s="7" t="str">
        <x:f>'Catalogo Maestro'!G17</x:f>
        <x:v>Opcional</x:v>
      </x:c>
      <x:c r="F17" s="16" t="n">
        <x:f>'Catalogo Maestro'!J17</x:f>
        <x:v>1.5</x:v>
      </x:c>
      <x:c r="G17" s="16" t="n">
        <x:f>'Catalogo Maestro'!K17</x:f>
        <x:v>1.0499999999999998</x:v>
      </x:c>
      <x:c r="H17" s="7" t="str">
        <x:f>'Catalogo Maestro'!L17</x:f>
        <x:v>Incluye: estructura reutilizando navbar/footer, hero interno y bloques estándar de contenido.</x:v>
      </x:c>
      <x:c r="I17" s="12" t="str">
        <x:f>'Catalogo Maestro'!M17</x:f>
        <x:v>No incluye lógica transaccional ni diseño completamente único por página.</x:v>
      </x:c>
    </x:row>
    <x:row r="18">
      <x:c r="A18" s="11" t="str">
        <x:f>'Catalogo Maestro'!E18</x:f>
        <x:v>WEB-017</x:v>
      </x:c>
      <x:c r="B18" s="7" t="str">
        <x:f>'Catalogo Maestro'!C18</x:f>
        <x:v>Sitio web profesional</x:v>
      </x:c>
      <x:c r="C18" s="7" t="str">
        <x:f>'Catalogo Maestro'!D18</x:f>
        <x:v>Integración ligera</x:v>
      </x:c>
      <x:c r="D18" s="7" t="str">
        <x:f>'Catalogo Maestro'!F18</x:f>
        <x:v>Integración de WhatsApp</x:v>
      </x:c>
      <x:c r="E18" s="7" t="str">
        <x:f>'Catalogo Maestro'!G18</x:f>
        <x:v>Opcional</x:v>
      </x:c>
      <x:c r="F18" s="16" t="n">
        <x:f>'Catalogo Maestro'!J18</x:f>
        <x:v>0.5</x:v>
      </x:c>
      <x:c r="G18" s="16" t="n">
        <x:f>'Catalogo Maestro'!K18</x:f>
        <x:v>0.35</x:v>
      </x:c>
      <x:c r="H18" s="7" t="str">
        <x:f>'Catalogo Maestro'!L18</x:f>
        <x:v>Incluye: enlace, mensaje inicial opcional, CTA y pruebas de funcionamiento.</x:v>
      </x:c>
      <x:c r="I18" s="12" t="str">
        <x:f>'Catalogo Maestro'!M18</x:f>
        <x:v>No incluye chatbot, API oficial ni automatización de conversaciones.</x:v>
      </x:c>
    </x:row>
    <x:row r="19">
      <x:c r="A19" s="11" t="str">
        <x:f>'Catalogo Maestro'!E19</x:f>
        <x:v>WEB-018</x:v>
      </x:c>
      <x:c r="B19" s="7" t="str">
        <x:f>'Catalogo Maestro'!C19</x:f>
        <x:v>Sitio web profesional</x:v>
      </x:c>
      <x:c r="C19" s="7" t="str">
        <x:f>'Catalogo Maestro'!D19</x:f>
        <x:v>Integración ligera</x:v>
      </x:c>
      <x:c r="D19" s="7" t="str">
        <x:f>'Catalogo Maestro'!F19</x:f>
        <x:v>Integración de redes sociales</x:v>
      </x:c>
      <x:c r="E19" s="7" t="str">
        <x:f>'Catalogo Maestro'!G19</x:f>
        <x:v>Opcional</x:v>
      </x:c>
      <x:c r="F19" s="16" t="n">
        <x:f>'Catalogo Maestro'!J19</x:f>
        <x:v>0.5</x:v>
      </x:c>
      <x:c r="G19" s="16" t="n">
        <x:f>'Catalogo Maestro'!K19</x:f>
        <x:v>0.35</x:v>
      </x:c>
      <x:c r="H19" s="7" t="str">
        <x:f>'Catalogo Maestro'!L19</x:f>
        <x:v>Incluye: enlaces/iconos a redes definidas y verificación básica.</x:v>
      </x:c>
      <x:c r="I19" s="12" t="str">
        <x:f>'Catalogo Maestro'!M19</x:f>
        <x:v>No incluye gestión de redes, feeds dinámicos ni APIs sociales.</x:v>
      </x:c>
    </x:row>
    <x:row r="20">
      <x:c r="A20" s="11" t="str">
        <x:f>'Catalogo Maestro'!E20</x:f>
        <x:v>WEB-019</x:v>
      </x:c>
      <x:c r="B20" s="7" t="str">
        <x:f>'Catalogo Maestro'!C20</x:f>
        <x:v>Sitio web profesional</x:v>
      </x:c>
      <x:c r="C20" s="7" t="str">
        <x:f>'Catalogo Maestro'!D20</x:f>
        <x:v>Integración ligera</x:v>
      </x:c>
      <x:c r="D20" s="7" t="str">
        <x:f>'Catalogo Maestro'!F20</x:f>
        <x:v>Integración de mapa o ubicación</x:v>
      </x:c>
      <x:c r="E20" s="7" t="str">
        <x:f>'Catalogo Maestro'!G20</x:f>
        <x:v>Opcional</x:v>
      </x:c>
      <x:c r="F20" s="16" t="n">
        <x:f>'Catalogo Maestro'!J20</x:f>
        <x:v>0.5</x:v>
      </x:c>
      <x:c r="G20" s="16" t="n">
        <x:f>'Catalogo Maestro'!K20</x:f>
        <x:v>0.35</x:v>
      </x:c>
      <x:c r="H20" s="7" t="str">
        <x:f>'Catalogo Maestro'!L20</x:f>
        <x:v>Incluye: mapa embebido o enlace de ubicación y prueba responsive.</x:v>
      </x:c>
      <x:c r="I20" s="12" t="str">
        <x:f>'Catalogo Maestro'!M20</x:f>
        <x:v>No incluye cálculo de rutas, geocodificación ni mapas personalizados.</x:v>
      </x:c>
    </x:row>
    <x:row r="21" ht="24">
      <x:c r="A21" s="11" t="str">
        <x:f>'Catalogo Maestro'!E21</x:f>
        <x:v>WEB-021</x:v>
      </x:c>
      <x:c r="B21" s="7" t="str">
        <x:f>'Catalogo Maestro'!C21</x:f>
        <x:v>Sitio web profesional</x:v>
      </x:c>
      <x:c r="C21" s="7" t="str">
        <x:f>'Catalogo Maestro'!D21</x:f>
        <x:v>Contenido</x:v>
      </x:c>
      <x:c r="D21" s="7" t="str">
        <x:f>'Catalogo Maestro'!F21</x:f>
        <x:v>Carga y formato inicial de contenidos</x:v>
      </x:c>
      <x:c r="E21" s="7" t="str">
        <x:f>'Catalogo Maestro'!G21</x:f>
        <x:v>Base incluido</x:v>
      </x:c>
      <x:c r="F21" s="16" t="n">
        <x:f>'Catalogo Maestro'!J21</x:f>
        <x:v>1.2</x:v>
      </x:c>
      <x:c r="G21" s="16" t="n">
        <x:f>'Catalogo Maestro'!K21</x:f>
        <x:v>0.84</x:v>
      </x:c>
      <x:c r="H21" s="7" t="str">
        <x:f>'Catalogo Maestro'!L21</x:f>
        <x:v>Incluye: carga, jerarquía, formato y ajustes menores sobre textos e imágenes entregados por el cliente.</x:v>
      </x:c>
      <x:c r="I21" s="12" t="str">
        <x:f>'Catalogo Maestro'!M21</x:f>
        <x:v>No incluye copywriting profesional, traducción ni producción masiva de contenido.</x:v>
      </x:c>
    </x:row>
    <x:row r="22" ht="36">
      <x:c r="A22" s="11" t="str">
        <x:f>'Catalogo Maestro'!E22</x:f>
        <x:v>WEB-022</x:v>
      </x:c>
      <x:c r="B22" s="7" t="str">
        <x:f>'Catalogo Maestro'!C22</x:f>
        <x:v>Sitio web profesional</x:v>
      </x:c>
      <x:c r="C22" s="7" t="str">
        <x:f>'Catalogo Maestro'!D22</x:f>
        <x:v>Calidad</x:v>
      </x:c>
      <x:c r="D22" s="7" t="str">
        <x:f>'Catalogo Maestro'!F22</x:f>
        <x:v>Validación responsive y compatibilidad final</x:v>
      </x:c>
      <x:c r="E22" s="7" t="str">
        <x:f>'Catalogo Maestro'!G22</x:f>
        <x:v>Base obligatorio</x:v>
      </x:c>
      <x:c r="F22" s="16" t="n">
        <x:f>'Catalogo Maestro'!J22</x:f>
        <x:v>2</x:v>
      </x:c>
      <x:c r="G22" s="16" t="n">
        <x:f>'Catalogo Maestro'!K22</x:f>
        <x:v>1.4</x:v>
      </x:c>
      <x:c r="H22" s="7" t="str">
        <x:f>'Catalogo Maestro'!L22</x:f>
        <x:v>Incluye: revisión final en móvil, tablet y escritorio; navegación; desbordes; foco; estados básicos y navegadores definidos. El responsive se construye desde el inicio en cada componente.</x:v>
      </x:c>
      <x:c r="I22" s="12" t="str">
        <x:f>'Catalogo Maestro'!M22</x:f>
        <x:v>No incluye reconstruir componentes fuera de alcance.</x:v>
      </x:c>
    </x:row>
    <x:row r="23" ht="24">
      <x:c r="A23" s="11" t="str">
        <x:f>'Catalogo Maestro'!E23</x:f>
        <x:v>WEB-023</x:v>
      </x:c>
      <x:c r="B23" s="7" t="str">
        <x:f>'Catalogo Maestro'!C23</x:f>
        <x:v>Sitio web profesional</x:v>
      </x:c>
      <x:c r="C23" s="7" t="str">
        <x:f>'Catalogo Maestro'!D23</x:f>
        <x:v>SEO</x:v>
      </x:c>
      <x:c r="D23" s="7" t="str">
        <x:f>'Catalogo Maestro'!F23</x:f>
        <x:v>SEO técnico inicial e indexabilidad</x:v>
      </x:c>
      <x:c r="E23" s="7" t="str">
        <x:f>'Catalogo Maestro'!G23</x:f>
        <x:v>Base incluido</x:v>
      </x:c>
      <x:c r="F23" s="16" t="n">
        <x:f>'Catalogo Maestro'!J23</x:f>
        <x:v>1.5</x:v>
      </x:c>
      <x:c r="G23" s="16" t="n">
        <x:f>'Catalogo Maestro'!K23</x:f>
        <x:v>1.0499999999999998</x:v>
      </x:c>
      <x:c r="H23" s="7" t="str">
        <x:f>'Catalogo Maestro'!L23</x:f>
        <x:v>Incluye: titles, descriptions, canonical, OG/social, sitemap, robots, revisión de indexabilidad y datos estructurados básicos cuando apliquen.</x:v>
      </x:c>
      <x:c r="I23" s="12" t="str">
        <x:f>'Catalogo Maestro'!M23</x:f>
        <x:v>No incluye estrategia SEO mensual, link building ni investigación avanzada de palabras clave.</x:v>
      </x:c>
    </x:row>
    <x:row r="24" ht="24">
      <x:c r="A24" s="11" t="str">
        <x:f>'Catalogo Maestro'!E24</x:f>
        <x:v>WEB-026</x:v>
      </x:c>
      <x:c r="B24" s="7" t="str">
        <x:f>'Catalogo Maestro'!C24</x:f>
        <x:v>Sitio web profesional</x:v>
      </x:c>
      <x:c r="C24" s="7" t="str">
        <x:f>'Catalogo Maestro'!D24</x:f>
        <x:v>Optimización</x:v>
      </x:c>
      <x:c r="D24" s="7" t="str">
        <x:f>'Catalogo Maestro'!F24</x:f>
        <x:v>Optimización técnica y accesibilidad básica</x:v>
      </x:c>
      <x:c r="E24" s="7" t="str">
        <x:f>'Catalogo Maestro'!G24</x:f>
        <x:v>Base incluido</x:v>
      </x:c>
      <x:c r="F24" s="16" t="n">
        <x:f>'Catalogo Maestro'!J24</x:f>
        <x:v>1.5</x:v>
      </x:c>
      <x:c r="G24" s="16" t="n">
        <x:f>'Catalogo Maestro'!K24</x:f>
        <x:v>1.0499999999999998</x:v>
      </x:c>
      <x:c r="H24" s="7" t="str">
        <x:f>'Catalogo Maestro'!L24</x:f>
        <x:v>Incluye: compresión/formato de imágenes, lazy loading, revisión de peso, semántica, contraste, foco, labels y navegación básica por teclado.</x:v>
      </x:c>
      <x:c r="I24" s="12" t="str">
        <x:f>'Catalogo Maestro'!M24</x:f>
        <x:v>No incluye auditoría WCAG formal ni optimización avanzada de Core Web Vitals.</x:v>
      </x:c>
    </x:row>
    <x:row r="25" ht="24">
      <x:c r="A25" s="11" t="str">
        <x:f>'Catalogo Maestro'!E25</x:f>
        <x:v>WEB-029</x:v>
      </x:c>
      <x:c r="B25" s="7" t="str">
        <x:f>'Catalogo Maestro'!C25</x:f>
        <x:v>Sitio web profesional</x:v>
      </x:c>
      <x:c r="C25" s="7" t="str">
        <x:f>'Catalogo Maestro'!D25</x:f>
        <x:v>Analítica</x:v>
      </x:c>
      <x:c r="D25" s="7" t="str">
        <x:f>'Catalogo Maestro'!F25</x:f>
        <x:v>Analítica básica</x:v>
      </x:c>
      <x:c r="E25" s="7" t="str">
        <x:f>'Catalogo Maestro'!G25</x:f>
        <x:v>Opcional</x:v>
      </x:c>
      <x:c r="F25" s="16" t="n">
        <x:f>'Catalogo Maestro'!J25</x:f>
        <x:v>0.6</x:v>
      </x:c>
      <x:c r="G25" s="16" t="n">
        <x:f>'Catalogo Maestro'!K25</x:f>
        <x:v>0.42</x:v>
      </x:c>
      <x:c r="H25" s="7" t="str">
        <x:f>'Catalogo Maestro'!L25</x:f>
        <x:v>Incluye: configuración de herramienta analítica acordada, evento/pageview básico y validación.</x:v>
      </x:c>
      <x:c r="I25" s="12" t="str">
        <x:f>'Catalogo Maestro'!M25</x:f>
        <x:v>No incluye dashboards BI ni estrategia de medición avanzada.</x:v>
      </x:c>
    </x:row>
    <x:row r="26" ht="24">
      <x:c r="A26" s="11" t="str">
        <x:f>'Catalogo Maestro'!E26</x:f>
        <x:v>WEB-030</x:v>
      </x:c>
      <x:c r="B26" s="7" t="str">
        <x:f>'Catalogo Maestro'!C26</x:f>
        <x:v>Sitio web profesional</x:v>
      </x:c>
      <x:c r="C26" s="7" t="str">
        <x:f>'Catalogo Maestro'!D26</x:f>
        <x:v>Calidad</x:v>
      </x:c>
      <x:c r="D26" s="7" t="str">
        <x:f>'Catalogo Maestro'!F26</x:f>
        <x:v>QA funcional y ciclo consolidado de correcciones</x:v>
      </x:c>
      <x:c r="E26" s="7" t="str">
        <x:f>'Catalogo Maestro'!G26</x:f>
        <x:v>Base obligatorio</x:v>
      </x:c>
      <x:c r="F26" s="16" t="n">
        <x:f>'Catalogo Maestro'!J26</x:f>
        <x:v>1.5</x:v>
      </x:c>
      <x:c r="G26" s="16" t="n">
        <x:f>'Catalogo Maestro'!K26</x:f>
        <x:v>1.0499999999999998</x:v>
      </x:c>
      <x:c r="H26" s="7" t="str">
        <x:f>'Catalogo Maestro'!L26</x:f>
        <x:v>Incluye: pruebas de navegación y formularios/acciones presentes, revisión de enlaces, un ciclo consolidado de observaciones y correcciones dentro del alcance.</x:v>
      </x:c>
      <x:c r="I26" s="12" t="str">
        <x:f>'Catalogo Maestro'!M26</x:f>
        <x:v>No incluye cambios de alcance, nuevas secciones ni rediseño posterior a aprobación.</x:v>
      </x:c>
    </x:row>
    <x:row r="27" ht="24">
      <x:c r="A27" s="11" t="str">
        <x:f>'Catalogo Maestro'!E27</x:f>
        <x:v>WEB-033</x:v>
      </x:c>
      <x:c r="B27" s="7" t="str">
        <x:f>'Catalogo Maestro'!C27</x:f>
        <x:v>Sitio web profesional</x:v>
      </x:c>
      <x:c r="C27" s="7" t="str">
        <x:f>'Catalogo Maestro'!D27</x:f>
        <x:v>Publicación</x:v>
      </x:c>
      <x:c r="D27" s="7" t="str">
        <x:f>'Catalogo Maestro'!F27</x:f>
        <x:v>Publicación, SSL y entrega</x:v>
      </x:c>
      <x:c r="E27" s="7" t="str">
        <x:f>'Catalogo Maestro'!G27</x:f>
        <x:v>Base obligatorio</x:v>
      </x:c>
      <x:c r="F27" s="16" t="n">
        <x:f>'Catalogo Maestro'!J27</x:f>
        <x:v>1.1</x:v>
      </x:c>
      <x:c r="G27" s="16" t="n">
        <x:f>'Catalogo Maestro'!K27</x:f>
        <x:v>0.77</x:v>
      </x:c>
      <x:c r="H27" s="7" t="str">
        <x:f>'Catalogo Maestro'!L27</x:f>
        <x:v>Incluye: HTTPS/SSL, variables de entorno, despliegue, validación final de producción, accesos y recomendaciones de cierre.</x:v>
      </x:c>
      <x:c r="I27" s="12" t="str">
        <x:f>'Catalogo Maestro'!M27</x:f>
        <x:v>No incluye compra, renovación, configuración o migración de dominio/DNS ni costos de hosting/proveedores. El trabajo de dominio se selecciona por separado cuando corresponda.</x:v>
      </x:c>
    </x:row>
    <x:row r="28" ht="24">
      <x:c r="A28" s="11" t="str">
        <x:f>'Catalogo Maestro'!E28</x:f>
        <x:v>APP-001</x:v>
      </x:c>
      <x:c r="B28" s="7" t="str">
        <x:f>'Catalogo Maestro'!C28</x:f>
        <x:v>Sistema web o aplicación de gestión</x:v>
      </x:c>
      <x:c r="C28" s="7" t="str">
        <x:f>'Catalogo Maestro'!D28</x:f>
        <x:v>Planificación</x:v>
      </x:c>
      <x:c r="D28" s="7" t="str">
        <x:f>'Catalogo Maestro'!F28</x:f>
        <x:v>Levantamiento funcional, alcance y flujos principales</x:v>
      </x:c>
      <x:c r="E28" s="7" t="str">
        <x:f>'Catalogo Maestro'!G28</x:f>
        <x:v>Base obligatorio</x:v>
      </x:c>
      <x:c r="F28" s="16" t="n">
        <x:f>'Catalogo Maestro'!J28</x:f>
        <x:v>1.5</x:v>
      </x:c>
      <x:c r="G28" s="16" t="n">
        <x:f>'Catalogo Maestro'!K28</x:f>
        <x:v>1.0499999999999998</x:v>
      </x:c>
      <x:c r="H28" s="7" t="str">
        <x:f>'Catalogo Maestro'!L28</x:f>
        <x:v>Incluye: procesos actuales; actores; objetivos; historias/casos principales; criterios de aceptación; mapa de navegación; flujos y estados principales.</x:v>
      </x:c>
      <x:c r="I28" s="12" t="str">
        <x:f>'Catalogo Maestro'!M28</x:f>
        <x:v>No incluye documentación regulatoria extensa, BPMN formal completo ni consultoría de procesos independiente.</x:v>
      </x:c>
    </x:row>
    <x:row r="29" ht="24">
      <x:c r="A29" s="11" t="str">
        <x:f>'Catalogo Maestro'!E29</x:f>
        <x:v>APP-003</x:v>
      </x:c>
      <x:c r="B29" s="7" t="str">
        <x:f>'Catalogo Maestro'!C29</x:f>
        <x:v>Sistema web o aplicación de gestión</x:v>
      </x:c>
      <x:c r="C29" s="7" t="str">
        <x:f>'Catalogo Maestro'!D29</x:f>
        <x:v>Arquitectura</x:v>
      </x:c>
      <x:c r="D29" s="7" t="str">
        <x:f>'Catalogo Maestro'!F29</x:f>
        <x:v>Modelo de datos y persistencia base</x:v>
      </x:c>
      <x:c r="E29" s="7" t="str">
        <x:f>'Catalogo Maestro'!G29</x:f>
        <x:v>Base obligatorio</x:v>
      </x:c>
      <x:c r="F29" s="16" t="n">
        <x:f>'Catalogo Maestro'!J29</x:f>
        <x:v>2.5</x:v>
      </x:c>
      <x:c r="G29" s="16" t="n">
        <x:f>'Catalogo Maestro'!K29</x:f>
        <x:v>1.75</x:v>
      </x:c>
      <x:c r="H29" s="7" t="str">
        <x:f>'Catalogo Maestro'!L29</x:f>
        <x:v>Incluye: entidades, relaciones, restricciones, esquema inicial, migraciones base y criterios de integridad.</x:v>
      </x:c>
      <x:c r="I29" s="12" t="str">
        <x:f>'Catalogo Maestro'!M29</x:f>
        <x:v>No incluye migración masiva de datos ni modelamiento analítico avanzado.</x:v>
      </x:c>
    </x:row>
    <x:row r="30">
      <x:c r="A30" s="11" t="str">
        <x:f>'Catalogo Maestro'!E30</x:f>
        <x:v>APP-004</x:v>
      </x:c>
      <x:c r="B30" s="7" t="str">
        <x:f>'Catalogo Maestro'!C30</x:f>
        <x:v>Sistema web o aplicación de gestión</x:v>
      </x:c>
      <x:c r="C30" s="7" t="str">
        <x:f>'Catalogo Maestro'!D30</x:f>
        <x:v>Seguridad</x:v>
      </x:c>
      <x:c r="D30" s="7" t="str">
        <x:f>'Catalogo Maestro'!F30</x:f>
        <x:v>Diseño de roles y permisos</x:v>
      </x:c>
      <x:c r="E30" s="7" t="str">
        <x:f>'Catalogo Maestro'!G30</x:f>
        <x:v>Base incluido</x:v>
      </x:c>
      <x:c r="F30" s="16" t="n">
        <x:f>'Catalogo Maestro'!J30</x:f>
        <x:v>1</x:v>
      </x:c>
      <x:c r="G30" s="16" t="n">
        <x:f>'Catalogo Maestro'!K30</x:f>
        <x:v>0.7</x:v>
      </x:c>
      <x:c r="H30" s="7" t="str">
        <x:f>'Catalogo Maestro'!L30</x:f>
        <x:v>Incluye por rol: acciones permitidas, visibilidad, restricciones y criterios de protección.</x:v>
      </x:c>
      <x:c r="I30" s="12" t="str">
        <x:f>'Catalogo Maestro'!M30</x:f>
        <x:v>No incluye implementación técnica; se realiza en APP-015.</x:v>
      </x:c>
    </x:row>
    <x:row r="31" ht="24">
      <x:c r="A31" s="11" t="str">
        <x:f>'Catalogo Maestro'!E31</x:f>
        <x:v>APP-005</x:v>
      </x:c>
      <x:c r="B31" s="7" t="str">
        <x:f>'Catalogo Maestro'!C31</x:f>
        <x:v>Sistema web o aplicación de gestión</x:v>
      </x:c>
      <x:c r="C31" s="7" t="str">
        <x:f>'Catalogo Maestro'!D31</x:f>
        <x:v>Arquitectura</x:v>
      </x:c>
      <x:c r="D31" s="7" t="str">
        <x:f>'Catalogo Maestro'!F31</x:f>
        <x:v>Arquitectura técnica, proyecto y ambientes</x:v>
      </x:c>
      <x:c r="E31" s="7" t="str">
        <x:f>'Catalogo Maestro'!G31</x:f>
        <x:v>Base obligatorio</x:v>
      </x:c>
      <x:c r="F31" s="16" t="n">
        <x:f>'Catalogo Maestro'!J31</x:f>
        <x:v>2</x:v>
      </x:c>
      <x:c r="G31" s="16" t="n">
        <x:f>'Catalogo Maestro'!K31</x:f>
        <x:v>1.4</x:v>
      </x:c>
      <x:c r="H31" s="7" t="str">
        <x:f>'Catalogo Maestro'!L31</x:f>
        <x:v>Incluye: frontend/backend/datos según alcance, repositorio, estructura del proyecto, variables y ambientes de trabajo.</x:v>
      </x:c>
      <x:c r="I31" s="12" t="str">
        <x:f>'Catalogo Maestro'!M31</x:f>
        <x:v>No incluye infraestructura empresarial compleja ni alta disponibilidad.</x:v>
      </x:c>
    </x:row>
    <x:row r="32" ht="24">
      <x:c r="A32" s="11" t="str">
        <x:f>'Catalogo Maestro'!E32</x:f>
        <x:v>APP-007</x:v>
      </x:c>
      <x:c r="B32" s="7" t="str">
        <x:f>'Catalogo Maestro'!C32</x:f>
        <x:v>Sistema web o aplicación de gestión</x:v>
      </x:c>
      <x:c r="C32" s="7" t="str">
        <x:f>'Catalogo Maestro'!D32</x:f>
        <x:v>UX/UI</x:v>
      </x:c>
      <x:c r="D32" s="7" t="str">
        <x:f>'Catalogo Maestro'!F32</x:f>
        <x:v>Wireframe de pantalla estándar</x:v>
      </x:c>
      <x:c r="E32" s="7" t="str">
        <x:f>'Catalogo Maestro'!G32</x:f>
        <x:v>Base incluido</x:v>
      </x:c>
      <x:c r="F32" s="16" t="n">
        <x:f>'Catalogo Maestro'!J32</x:f>
        <x:v>1</x:v>
      </x:c>
      <x:c r="G32" s="16" t="n">
        <x:f>'Catalogo Maestro'!K32</x:f>
        <x:v>0.7</x:v>
      </x:c>
      <x:c r="H32" s="7" t="str">
        <x:f>'Catalogo Maestro'!L32</x:f>
        <x:v>Incluye por pantalla: estructura, campos, acciones, estados y jerarquía necesaria para construir.</x:v>
      </x:c>
      <x:c r="I32" s="12" t="str">
        <x:f>'Catalogo Maestro'!M32</x:f>
        <x:v>No incluye prototipo de alta fidelidad por cada pantalla.</x:v>
      </x:c>
    </x:row>
    <x:row r="33" ht="24">
      <x:c r="A33" s="11" t="str">
        <x:f>'Catalogo Maestro'!E33</x:f>
        <x:v>APP-009</x:v>
      </x:c>
      <x:c r="B33" s="7" t="str">
        <x:f>'Catalogo Maestro'!C33</x:f>
        <x:v>Sistema web o aplicación de gestión</x:v>
      </x:c>
      <x:c r="C33" s="7" t="str">
        <x:f>'Catalogo Maestro'!D33</x:f>
        <x:v>Frontend</x:v>
      </x:c>
      <x:c r="D33" s="7" t="str">
        <x:f>'Catalogo Maestro'!F33</x:f>
        <x:v>Shell de aplicación y sistema visual</x:v>
      </x:c>
      <x:c r="E33" s="7" t="str">
        <x:f>'Catalogo Maestro'!G33</x:f>
        <x:v>Base obligatorio</x:v>
      </x:c>
      <x:c r="F33" s="16" t="n">
        <x:f>'Catalogo Maestro'!J33</x:f>
        <x:v>2.5</x:v>
      </x:c>
      <x:c r="G33" s="16" t="n">
        <x:f>'Catalogo Maestro'!K33</x:f>
        <x:v>1.75</x:v>
      </x:c>
      <x:c r="H33" s="7" t="str">
        <x:f>'Catalogo Maestro'!L33</x:f>
        <x:v>Incluye: layout, menú, encabezados, navegación, estilos, componentes base y comportamiento responsive del shell.</x:v>
      </x:c>
      <x:c r="I33" s="12" t="str">
        <x:f>'Catalogo Maestro'!M33</x:f>
        <x:v>No incluye las pantallas CRUD específicas de APP-010.</x:v>
      </x:c>
    </x:row>
    <x:row r="34" ht="24">
      <x:c r="A34" s="11" t="str">
        <x:f>'Catalogo Maestro'!E34</x:f>
        <x:v>APP-010</x:v>
      </x:c>
      <x:c r="B34" s="7" t="str">
        <x:f>'Catalogo Maestro'!C34</x:f>
        <x:v>Sistema web o aplicación de gestión</x:v>
      </x:c>
      <x:c r="C34" s="7" t="str">
        <x:f>'Catalogo Maestro'!D34</x:f>
        <x:v>Frontend</x:v>
      </x:c>
      <x:c r="D34" s="7" t="str">
        <x:f>'Catalogo Maestro'!F34</x:f>
        <x:v>Interfaz CRUD estándar</x:v>
      </x:c>
      <x:c r="E34" s="7" t="str">
        <x:f>'Catalogo Maestro'!G34</x:f>
        <x:v>Base incluido</x:v>
      </x:c>
      <x:c r="F34" s="16" t="n">
        <x:f>'Catalogo Maestro'!J34</x:f>
        <x:v>2.5</x:v>
      </x:c>
      <x:c r="G34" s="16" t="n">
        <x:f>'Catalogo Maestro'!K34</x:f>
        <x:v>1.75</x:v>
      </x:c>
      <x:c r="H34" s="7" t="str">
        <x:f>'Catalogo Maestro'!L34</x:f>
        <x:v>Incluye por pantalla: listado, formulario, validaciones cliente, estados, mensajes y acciones de usuario.</x:v>
      </x:c>
      <x:c r="I34" s="12" t="str">
        <x:f>'Catalogo Maestro'!M34</x:f>
        <x:v>No incluye backend/persistencia; se contabiliza en APP-013.</x:v>
      </x:c>
    </x:row>
    <x:row r="35">
      <x:c r="A35" s="11" t="str">
        <x:f>'Catalogo Maestro'!E35</x:f>
        <x:v>APP-011</x:v>
      </x:c>
      <x:c r="B35" s="7" t="str">
        <x:f>'Catalogo Maestro'!C35</x:f>
        <x:v>Sistema web o aplicación de gestión</x:v>
      </x:c>
      <x:c r="C35" s="7" t="str">
        <x:f>'Catalogo Maestro'!D35</x:f>
        <x:v>Frontend</x:v>
      </x:c>
      <x:c r="D35" s="7" t="str">
        <x:f>'Catalogo Maestro'!F35</x:f>
        <x:v>Dashboard con indicadores</x:v>
      </x:c>
      <x:c r="E35" s="7" t="str">
        <x:f>'Catalogo Maestro'!G35</x:f>
        <x:v>Opcional</x:v>
      </x:c>
      <x:c r="F35" s="16" t="n">
        <x:f>'Catalogo Maestro'!J35</x:f>
        <x:v>3.5</x:v>
      </x:c>
      <x:c r="G35" s="16" t="n">
        <x:f>'Catalogo Maestro'!K35</x:f>
        <x:v>2.4499999999999997</x:v>
      </x:c>
      <x:c r="H35" s="7" t="str">
        <x:f>'Catalogo Maestro'!L35</x:f>
        <x:v>Incluye: KPIs acordados, tarjetas, filtros simples y visualización estándar.</x:v>
      </x:c>
      <x:c r="I35" s="12" t="str">
        <x:f>'Catalogo Maestro'!M35</x:f>
        <x:v>No incluye analítica predictiva ni BI avanzado.</x:v>
      </x:c>
    </x:row>
    <x:row r="36" ht="24">
      <x:c r="A36" s="11" t="str">
        <x:f>'Catalogo Maestro'!E36</x:f>
        <x:v>APP-013</x:v>
      </x:c>
      <x:c r="B36" s="7" t="str">
        <x:f>'Catalogo Maestro'!C36</x:f>
        <x:v>Sistema web o aplicación de gestión</x:v>
      </x:c>
      <x:c r="C36" s="7" t="str">
        <x:f>'Catalogo Maestro'!D36</x:f>
        <x:v>Backend</x:v>
      </x:c>
      <x:c r="D36" s="7" t="str">
        <x:f>'Catalogo Maestro'!F36</x:f>
        <x:v>Servicio CRUD backend estándar</x:v>
      </x:c>
      <x:c r="E36" s="7" t="str">
        <x:f>'Catalogo Maestro'!G36</x:f>
        <x:v>Base incluido</x:v>
      </x:c>
      <x:c r="F36" s="16" t="n">
        <x:f>'Catalogo Maestro'!J36</x:f>
        <x:v>2.3</x:v>
      </x:c>
      <x:c r="G36" s="16" t="n">
        <x:f>'Catalogo Maestro'!K36</x:f>
        <x:v>1.6099999999999999</x:v>
      </x:c>
      <x:c r="H36" s="7" t="str">
        <x:f>'Catalogo Maestro'!L36</x:f>
        <x:v>Incluye por entidad: crear, consultar, actualizar, eliminar cuando corresponda, validaciones de servidor y persistencia.</x:v>
      </x:c>
      <x:c r="I36" s="12" t="str">
        <x:f>'Catalogo Maestro'!M36</x:f>
        <x:v>No incluye reglas de negocio complejas; se contabilizan en APP-016.</x:v>
      </x:c>
    </x:row>
    <x:row r="37" ht="24">
      <x:c r="A37" s="11" t="str">
        <x:f>'Catalogo Maestro'!E37</x:f>
        <x:v>APP-014</x:v>
      </x:c>
      <x:c r="B37" s="7" t="str">
        <x:f>'Catalogo Maestro'!C37</x:f>
        <x:v>Sistema web o aplicación de gestión</x:v>
      </x:c>
      <x:c r="C37" s="7" t="str">
        <x:f>'Catalogo Maestro'!D37</x:f>
        <x:v>Seguridad</x:v>
      </x:c>
      <x:c r="D37" s="7" t="str">
        <x:f>'Catalogo Maestro'!F37</x:f>
        <x:v>Autenticación y recuperación de acceso</x:v>
      </x:c>
      <x:c r="E37" s="7" t="str">
        <x:f>'Catalogo Maestro'!G37</x:f>
        <x:v>Base obligatorio</x:v>
      </x:c>
      <x:c r="F37" s="16" t="n">
        <x:f>'Catalogo Maestro'!J37</x:f>
        <x:v>2.5</x:v>
      </x:c>
      <x:c r="G37" s="16" t="n">
        <x:f>'Catalogo Maestro'!K37</x:f>
        <x:v>1.75</x:v>
      </x:c>
      <x:c r="H37" s="7" t="str">
        <x:f>'Catalogo Maestro'!L37</x:f>
        <x:v>Incluye: login, logout, recuperación/restablecimiento y estados básicos de sesión.</x:v>
      </x:c>
      <x:c r="I37" s="12" t="str">
        <x:f>'Catalogo Maestro'!M37</x:f>
        <x:v>No incluye SSO empresarial, MFA avanzado ni proveedor de identidad externo complejo.</x:v>
      </x:c>
    </x:row>
    <x:row r="38">
      <x:c r="A38" s="11" t="str">
        <x:f>'Catalogo Maestro'!E38</x:f>
        <x:v>APP-015</x:v>
      </x:c>
      <x:c r="B38" s="7" t="str">
        <x:f>'Catalogo Maestro'!C38</x:f>
        <x:v>Sistema web o aplicación de gestión</x:v>
      </x:c>
      <x:c r="C38" s="7" t="str">
        <x:f>'Catalogo Maestro'!D38</x:f>
        <x:v>Seguridad</x:v>
      </x:c>
      <x:c r="D38" s="7" t="str">
        <x:f>'Catalogo Maestro'!F38</x:f>
        <x:v>Autorización y protección por rol</x:v>
      </x:c>
      <x:c r="E38" s="7" t="str">
        <x:f>'Catalogo Maestro'!G38</x:f>
        <x:v>Base incluido</x:v>
      </x:c>
      <x:c r="F38" s="16" t="n">
        <x:f>'Catalogo Maestro'!J38</x:f>
        <x:v>1.5</x:v>
      </x:c>
      <x:c r="G38" s="16" t="n">
        <x:f>'Catalogo Maestro'!K38</x:f>
        <x:v>1.0499999999999998</x:v>
      </x:c>
      <x:c r="H38" s="7" t="str">
        <x:f>'Catalogo Maestro'!L38</x:f>
        <x:v>Incluye por rol: protección de rutas, acciones y consultas según matriz aprobada.</x:v>
      </x:c>
      <x:c r="I38" s="12" t="str">
        <x:f>'Catalogo Maestro'!M38</x:f>
        <x:v>No incluye políticas multi-organización complejas fuera del alcance.</x:v>
      </x:c>
    </x:row>
    <x:row r="39" ht="24">
      <x:c r="A39" s="11" t="str">
        <x:f>'Catalogo Maestro'!E39</x:f>
        <x:v>APP-016</x:v>
      </x:c>
      <x:c r="B39" s="7" t="str">
        <x:f>'Catalogo Maestro'!C39</x:f>
        <x:v>Sistema web o aplicación de gestión</x:v>
      </x:c>
      <x:c r="C39" s="7" t="str">
        <x:f>'Catalogo Maestro'!D39</x:f>
        <x:v>Funcionalidad</x:v>
      </x:c>
      <x:c r="D39" s="7" t="str">
        <x:f>'Catalogo Maestro'!F39</x:f>
        <x:v>Flujo de negocio estándar</x:v>
      </x:c>
      <x:c r="E39" s="7" t="str">
        <x:f>'Catalogo Maestro'!G39</x:f>
        <x:v>Base incluido</x:v>
      </x:c>
      <x:c r="F39" s="16" t="n">
        <x:f>'Catalogo Maestro'!J39</x:f>
        <x:v>3</x:v>
      </x:c>
      <x:c r="G39" s="16" t="n">
        <x:f>'Catalogo Maestro'!K39</x:f>
        <x:v>2.0999999999999996</x:v>
      </x:c>
      <x:c r="H39" s="7" t="str">
        <x:f>'Catalogo Maestro'!L39</x:f>
        <x:v>Incluye por flujo: reglas, validaciones, cambios de estado, persistencia y manejo de errores del proceso definido.</x:v>
      </x:c>
      <x:c r="I39" s="12" t="str">
        <x:f>'Catalogo Maestro'!M39</x:f>
        <x:v>No incluye integraciones externas complejas; usar INT-01 cuando corresponda.</x:v>
      </x:c>
    </x:row>
    <x:row r="40">
      <x:c r="A40" s="11" t="str">
        <x:f>'Catalogo Maestro'!E40</x:f>
        <x:v>APP-017</x:v>
      </x:c>
      <x:c r="B40" s="7" t="str">
        <x:f>'Catalogo Maestro'!C40</x:f>
        <x:v>Sistema web o aplicación de gestión</x:v>
      </x:c>
      <x:c r="C40" s="7" t="str">
        <x:f>'Catalogo Maestro'!D40</x:f>
        <x:v>Notificaciones</x:v>
      </x:c>
      <x:c r="D40" s="7" t="str">
        <x:f>'Catalogo Maestro'!F40</x:f>
        <x:v>Notificación operativa por correo</x:v>
      </x:c>
      <x:c r="E40" s="7" t="str">
        <x:f>'Catalogo Maestro'!G40</x:f>
        <x:v>Opcional</x:v>
      </x:c>
      <x:c r="F40" s="16" t="n">
        <x:f>'Catalogo Maestro'!J40</x:f>
        <x:v>1</x:v>
      </x:c>
      <x:c r="G40" s="16" t="n">
        <x:f>'Catalogo Maestro'!K40</x:f>
        <x:v>0.7</x:v>
      </x:c>
      <x:c r="H40" s="7" t="str">
        <x:f>'Catalogo Maestro'!L40</x:f>
        <x:v>Incluye: plantilla simple, envío, variables, manejo básico de error y prueba.</x:v>
      </x:c>
      <x:c r="I40" s="12" t="str">
        <x:f>'Catalogo Maestro'!M40</x:f>
        <x:v>No incluye campañas, marketing automation ni proveedor de pago.</x:v>
      </x:c>
    </x:row>
    <x:row r="41" ht="24">
      <x:c r="A41" s="11" t="str">
        <x:f>'Catalogo Maestro'!E41</x:f>
        <x:v>APP-018</x:v>
      </x:c>
      <x:c r="B41" s="7" t="str">
        <x:f>'Catalogo Maestro'!C41</x:f>
        <x:v>Sistema web o aplicación de gestión</x:v>
      </x:c>
      <x:c r="C41" s="7" t="str">
        <x:f>'Catalogo Maestro'!D41</x:f>
        <x:v>Reportes</x:v>
      </x:c>
      <x:c r="D41" s="7" t="str">
        <x:f>'Catalogo Maestro'!F41</x:f>
        <x:v>Exportación o reporte estándar</x:v>
      </x:c>
      <x:c r="E41" s="7" t="str">
        <x:f>'Catalogo Maestro'!G41</x:f>
        <x:v>Opcional</x:v>
      </x:c>
      <x:c r="F41" s="16" t="n">
        <x:f>'Catalogo Maestro'!J41</x:f>
        <x:v>1.5</x:v>
      </x:c>
      <x:c r="G41" s="16" t="n">
        <x:f>'Catalogo Maestro'!K41</x:f>
        <x:v>1.0499999999999998</x:v>
      </x:c>
      <x:c r="H41" s="7" t="str">
        <x:f>'Catalogo Maestro'!L41</x:f>
        <x:v>Incluye por formato: selección de datos, columnas/campos, formato y descarga en Excel o PDF estándar.</x:v>
      </x:c>
      <x:c r="I41" s="12" t="str">
        <x:f>'Catalogo Maestro'!M41</x:f>
        <x:v>No incluye documentos de alta complejidad gráfica o maquetación editorial.</x:v>
      </x:c>
    </x:row>
    <x:row r="42" ht="24">
      <x:c r="A42" s="11" t="str">
        <x:f>'Catalogo Maestro'!E42</x:f>
        <x:v>APP-023</x:v>
      </x:c>
      <x:c r="B42" s="7" t="str">
        <x:f>'Catalogo Maestro'!C42</x:f>
        <x:v>Sistema web o aplicación de gestión</x:v>
      </x:c>
      <x:c r="C42" s="7" t="str">
        <x:f>'Catalogo Maestro'!D42</x:f>
        <x:v>Datos</x:v>
      </x:c>
      <x:c r="D42" s="7" t="str">
        <x:f>'Catalogo Maestro'!F42</x:f>
        <x:v>Carga o migración inicial de datos</x:v>
      </x:c>
      <x:c r="E42" s="7" t="str">
        <x:f>'Catalogo Maestro'!G42</x:f>
        <x:v>Opcional</x:v>
      </x:c>
      <x:c r="F42" s="16" t="n">
        <x:f>'Catalogo Maestro'!J42</x:f>
        <x:v>2.5</x:v>
      </x:c>
      <x:c r="G42" s="16" t="n">
        <x:f>'Catalogo Maestro'!K42</x:f>
        <x:v>1.75</x:v>
      </x:c>
      <x:c r="H42" s="7" t="str">
        <x:f>'Catalogo Maestro'!L42</x:f>
        <x:v>Incluye: mapeo, validación, carga y conciliación de un lote acotado.</x:v>
      </x:c>
      <x:c r="I42" s="12" t="str">
        <x:f>'Catalogo Maestro'!M42</x:f>
        <x:v>No incluye limpieza extensa, deduplicación compleja ni ETL de gran volumen.</x:v>
      </x:c>
    </x:row>
    <x:row r="43" ht="24">
      <x:c r="A43" s="11" t="str">
        <x:f>'Catalogo Maestro'!E43</x:f>
        <x:v>APP-020</x:v>
      </x:c>
      <x:c r="B43" s="7" t="str">
        <x:f>'Catalogo Maestro'!C43</x:f>
        <x:v>Sistema web o aplicación de gestión</x:v>
      </x:c>
      <x:c r="C43" s="7" t="str">
        <x:f>'Catalogo Maestro'!D43</x:f>
        <x:v>Calidad</x:v>
      </x:c>
      <x:c r="D43" s="7" t="str">
        <x:f>'Catalogo Maestro'!F43</x:f>
        <x:v>QA funcional, integración, permisos y UX</x:v>
      </x:c>
      <x:c r="E43" s="7" t="str">
        <x:f>'Catalogo Maestro'!G43</x:f>
        <x:v>Base obligatorio</x:v>
      </x:c>
      <x:c r="F43" s="16" t="n">
        <x:f>'Catalogo Maestro'!J43</x:f>
        <x:v>2.5</x:v>
      </x:c>
      <x:c r="G43" s="16" t="n">
        <x:f>'Catalogo Maestro'!K43</x:f>
        <x:v>1.75</x:v>
      </x:c>
      <x:c r="H43" s="7" t="str">
        <x:f>'Catalogo Maestro'!L43</x:f>
        <x:v>Incluye: reglas críticas, flujos, datos, permisos presentes, navegación, mensajes, experiencia responsive y casos de error principales.</x:v>
      </x:c>
      <x:c r="I43" s="12" t="str">
        <x:f>'Catalogo Maestro'!M43</x:f>
        <x:v>No incluye pruebas de carga avanzadas ni pentesting formal.</x:v>
      </x:c>
    </x:row>
    <x:row r="44" ht="24">
      <x:c r="A44" s="11" t="str">
        <x:f>'Catalogo Maestro'!E44</x:f>
        <x:v>APP-024</x:v>
      </x:c>
      <x:c r="B44" s="7" t="str">
        <x:f>'Catalogo Maestro'!C44</x:f>
        <x:v>Sistema web o aplicación de gestión</x:v>
      </x:c>
      <x:c r="C44" s="7" t="str">
        <x:f>'Catalogo Maestro'!D44</x:f>
        <x:v>Despliegue</x:v>
      </x:c>
      <x:c r="D44" s="7" t="str">
        <x:f>'Catalogo Maestro'!F44</x:f>
        <x:v>Configuración y despliegue de producción</x:v>
      </x:c>
      <x:c r="E44" s="7" t="str">
        <x:f>'Catalogo Maestro'!G44</x:f>
        <x:v>Base obligatorio</x:v>
      </x:c>
      <x:c r="F44" s="16" t="n">
        <x:f>'Catalogo Maestro'!J44</x:f>
        <x:v>1.5</x:v>
      </x:c>
      <x:c r="G44" s="16" t="n">
        <x:f>'Catalogo Maestro'!K44</x:f>
        <x:v>1.0499999999999998</x:v>
      </x:c>
      <x:c r="H44" s="7" t="str">
        <x:f>'Catalogo Maestro'!L44</x:f>
        <x:v>Incluye: variables, build, base de datos, migraciones acordadas, despliegue y validación técnica de producción.</x:v>
      </x:c>
      <x:c r="I44" s="12" t="str">
        <x:f>'Catalogo Maestro'!M44</x:f>
        <x:v>No incluye costos de infraestructura ni arquitectura HA.</x:v>
      </x:c>
    </x:row>
    <x:row r="45" ht="24">
      <x:c r="A45" s="11" t="str">
        <x:f>'Catalogo Maestro'!E45</x:f>
        <x:v>APP-025</x:v>
      </x:c>
      <x:c r="B45" s="7" t="str">
        <x:f>'Catalogo Maestro'!C45</x:f>
        <x:v>Sistema web o aplicación de gestión</x:v>
      </x:c>
      <x:c r="C45" s="7" t="str">
        <x:f>'Catalogo Maestro'!D45</x:f>
        <x:v>Cierre</x:v>
      </x:c>
      <x:c r="D45" s="7" t="str">
        <x:f>'Catalogo Maestro'!F45</x:f>
        <x:v>Capacitación, documentación y ciclo UAT</x:v>
      </x:c>
      <x:c r="E45" s="7" t="str">
        <x:f>'Catalogo Maestro'!G45</x:f>
        <x:v>Base incluido</x:v>
      </x:c>
      <x:c r="F45" s="16" t="n">
        <x:f>'Catalogo Maestro'!J45</x:f>
        <x:v>1.5</x:v>
      </x:c>
      <x:c r="G45" s="16" t="n">
        <x:f>'Catalogo Maestro'!K45</x:f>
        <x:v>1.0499999999999998</x:v>
      </x:c>
      <x:c r="H45" s="7" t="str">
        <x:f>'Catalogo Maestro'!L45</x:f>
        <x:v>Incluye: capacitación básica de administrador, guía funcional/técnica mínima, un ciclo UAT y correcciones dentro del alcance.</x:v>
      </x:c>
      <x:c r="I45" s="12" t="str">
        <x:f>'Catalogo Maestro'!M45</x:f>
        <x:v>No incluye capacitación masiva, manual extenso o nuevos requerimientos.</x:v>
      </x:c>
    </x:row>
    <x:row r="46" ht="24">
      <x:c r="A46" s="11" t="str">
        <x:f>'Catalogo Maestro'!E46</x:f>
        <x:v>INT-001</x:v>
      </x:c>
      <x:c r="B46" s="7" t="str">
        <x:f>'Catalogo Maestro'!C46</x:f>
        <x:v>Integración y automatización de procesos</x:v>
      </x:c>
      <x:c r="C46" s="7" t="str">
        <x:f>'Catalogo Maestro'!D46</x:f>
        <x:v>Planificación</x:v>
      </x:c>
      <x:c r="D46" s="7" t="str">
        <x:f>'Catalogo Maestro'!F46</x:f>
        <x:v>Levantamiento y diseño de integración</x:v>
      </x:c>
      <x:c r="E46" s="7" t="str">
        <x:f>'Catalogo Maestro'!G46</x:f>
        <x:v>Base obligatorio</x:v>
      </x:c>
      <x:c r="F46" s="16" t="n">
        <x:f>'Catalogo Maestro'!J46</x:f>
        <x:v>3</x:v>
      </x:c>
      <x:c r="G46" s="16" t="n">
        <x:f>'Catalogo Maestro'!K46</x:f>
        <x:v>2.0999999999999996</x:v>
      </x:c>
      <x:c r="H46" s="7" t="str">
        <x:f>'Catalogo Maestro'!L46</x:f>
        <x:v>Incluye: proceso actual; sistemas involucrados; revisión de API/archivos/webhooks disponibles; mapeo de datos; transformaciones; estrategia de errores y reintentos.</x:v>
      </x:c>
      <x:c r="I46" s="12" t="str">
        <x:f>'Catalogo Maestro'!M46</x:f>
        <x:v>No incluye desarrollo del conector ni automatización.</x:v>
      </x:c>
    </x:row>
    <x:row r="47">
      <x:c r="A47" s="11" t="str">
        <x:f>'Catalogo Maestro'!E47</x:f>
        <x:v>INT-005</x:v>
      </x:c>
      <x:c r="B47" s="7" t="str">
        <x:f>'Catalogo Maestro'!C47</x:f>
        <x:v>Integración y automatización de procesos</x:v>
      </x:c>
      <x:c r="C47" s="7" t="str">
        <x:f>'Catalogo Maestro'!D47</x:f>
        <x:v>Preparación</x:v>
      </x:c>
      <x:c r="D47" s="7" t="str">
        <x:f>'Catalogo Maestro'!F47</x:f>
        <x:v>Credenciales, secretos y configuración segura</x:v>
      </x:c>
      <x:c r="E47" s="7" t="str">
        <x:f>'Catalogo Maestro'!G47</x:f>
        <x:v>Base obligatorio</x:v>
      </x:c>
      <x:c r="F47" s="16" t="n">
        <x:f>'Catalogo Maestro'!J47</x:f>
        <x:v>1</x:v>
      </x:c>
      <x:c r="G47" s="16" t="n">
        <x:f>'Catalogo Maestro'!K47</x:f>
        <x:v>0.7</x:v>
      </x:c>
      <x:c r="H47" s="7" t="str">
        <x:f>'Catalogo Maestro'!L47</x:f>
        <x:v>Incluye: variables, secretos, permisos mínimos y prueba de conectividad.</x:v>
      </x:c>
      <x:c r="I47" s="12" t="str">
        <x:f>'Catalogo Maestro'!M47</x:f>
        <x:v>No incluye alta de cuentas o costos de proveedores.</x:v>
      </x:c>
    </x:row>
    <x:row r="48" ht="24">
      <x:c r="A48" s="11" t="str">
        <x:f>'Catalogo Maestro'!E48</x:f>
        <x:v>INT-006</x:v>
      </x:c>
      <x:c r="B48" s="7" t="str">
        <x:f>'Catalogo Maestro'!C48</x:f>
        <x:v>Integración y automatización de procesos</x:v>
      </x:c>
      <x:c r="C48" s="7" t="str">
        <x:f>'Catalogo Maestro'!D48</x:f>
        <x:v>Desarrollo</x:v>
      </x:c>
      <x:c r="D48" s="7" t="str">
        <x:f>'Catalogo Maestro'!F48</x:f>
        <x:v>Conector API estándar</x:v>
      </x:c>
      <x:c r="E48" s="7" t="str">
        <x:f>'Catalogo Maestro'!G48</x:f>
        <x:v>Base incluido</x:v>
      </x:c>
      <x:c r="F48" s="16" t="n">
        <x:f>'Catalogo Maestro'!J48</x:f>
        <x:v>3.5</x:v>
      </x:c>
      <x:c r="G48" s="16" t="n">
        <x:f>'Catalogo Maestro'!K48</x:f>
        <x:v>2.4499999999999997</x:v>
      </x:c>
      <x:c r="H48" s="7" t="str">
        <x:f>'Catalogo Maestro'!L48</x:f>
        <x:v>Incluye: autenticación, consulta/envío, validación de respuesta, manejo básico de errores y adaptación a contrato API conocido.</x:v>
      </x:c>
      <x:c r="I48" s="12" t="str">
        <x:f>'Catalogo Maestro'!M48</x:f>
        <x:v>No incluye API sin documentación, protocolos no estándar o integración bidireccional compleja adicional.</x:v>
      </x:c>
    </x:row>
    <x:row r="49" ht="24">
      <x:c r="A49" s="11" t="str">
        <x:f>'Catalogo Maestro'!E49</x:f>
        <x:v>INT-007</x:v>
      </x:c>
      <x:c r="B49" s="7" t="str">
        <x:f>'Catalogo Maestro'!C49</x:f>
        <x:v>Integración y automatización de procesos</x:v>
      </x:c>
      <x:c r="C49" s="7" t="str">
        <x:f>'Catalogo Maestro'!D49</x:f>
        <x:v>Desarrollo</x:v>
      </x:c>
      <x:c r="D49" s="7" t="str">
        <x:f>'Catalogo Maestro'!F49</x:f>
        <x:v>Intercambio por archivo</x:v>
      </x:c>
      <x:c r="E49" s="7" t="str">
        <x:f>'Catalogo Maestro'!G49</x:f>
        <x:v>Opcional</x:v>
      </x:c>
      <x:c r="F49" s="16" t="n">
        <x:f>'Catalogo Maestro'!J49</x:f>
        <x:v>2.2</x:v>
      </x:c>
      <x:c r="G49" s="16" t="n">
        <x:f>'Catalogo Maestro'!K49</x:f>
        <x:v>1.54</x:v>
      </x:c>
      <x:c r="H49" s="7" t="str">
        <x:f>'Catalogo Maestro'!L49</x:f>
        <x:v>Incluye: CSV/XLSX/JSON, validación de estructura, importación o exportación y manejo de errores básicos.</x:v>
      </x:c>
      <x:c r="I49" s="12" t="str">
        <x:f>'Catalogo Maestro'!M49</x:f>
        <x:v>No incluye ETL masivo ni limpieza extensa de datos.</x:v>
      </x:c>
    </x:row>
    <x:row r="50">
      <x:c r="A50" s="11" t="str">
        <x:f>'Catalogo Maestro'!E50</x:f>
        <x:v>INT-008</x:v>
      </x:c>
      <x:c r="B50" s="7" t="str">
        <x:f>'Catalogo Maestro'!C50</x:f>
        <x:v>Integración y automatización de procesos</x:v>
      </x:c>
      <x:c r="C50" s="7" t="str">
        <x:f>'Catalogo Maestro'!D50</x:f>
        <x:v>Desarrollo</x:v>
      </x:c>
      <x:c r="D50" s="7" t="str">
        <x:f>'Catalogo Maestro'!F50</x:f>
        <x:v>Webhook estándar</x:v>
      </x:c>
      <x:c r="E50" s="7" t="str">
        <x:f>'Catalogo Maestro'!G50</x:f>
        <x:v>Opcional</x:v>
      </x:c>
      <x:c r="F50" s="16" t="n">
        <x:f>'Catalogo Maestro'!J50</x:f>
        <x:v>2</x:v>
      </x:c>
      <x:c r="G50" s="16" t="n">
        <x:f>'Catalogo Maestro'!K50</x:f>
        <x:v>1.4</x:v>
      </x:c>
      <x:c r="H50" s="7" t="str">
        <x:f>'Catalogo Maestro'!L50</x:f>
        <x:v>Incluye: recepción, validación, idempotencia básica, respuesta y prueba.</x:v>
      </x:c>
      <x:c r="I50" s="12" t="str">
        <x:f>'Catalogo Maestro'!M50</x:f>
        <x:v>No incluye alto volumen, colas distribuidas o firma propietaria compleja.</x:v>
      </x:c>
    </x:row>
    <x:row r="51">
      <x:c r="A51" s="11" t="str">
        <x:f>'Catalogo Maestro'!E51</x:f>
        <x:v>INT-009</x:v>
      </x:c>
      <x:c r="B51" s="7" t="str">
        <x:f>'Catalogo Maestro'!C51</x:f>
        <x:v>Integración y automatización de procesos</x:v>
      </x:c>
      <x:c r="C51" s="7" t="str">
        <x:f>'Catalogo Maestro'!D51</x:f>
        <x:v>Automatización</x:v>
      </x:c>
      <x:c r="D51" s="7" t="str">
        <x:f>'Catalogo Maestro'!F51</x:f>
        <x:v>Automatización programada</x:v>
      </x:c>
      <x:c r="E51" s="7" t="str">
        <x:f>'Catalogo Maestro'!G51</x:f>
        <x:v>Base incluido</x:v>
      </x:c>
      <x:c r="F51" s="16" t="n">
        <x:f>'Catalogo Maestro'!J51</x:f>
        <x:v>2</x:v>
      </x:c>
      <x:c r="G51" s="16" t="n">
        <x:f>'Catalogo Maestro'!K51</x:f>
        <x:v>1.4</x:v>
      </x:c>
      <x:c r="H51" s="7" t="str">
        <x:f>'Catalogo Maestro'!L51</x:f>
        <x:v>Incluye: frecuencia, ejecución, validación básica y registro del resultado.</x:v>
      </x:c>
      <x:c r="I51" s="12" t="str">
        <x:f>'Catalogo Maestro'!M51</x:f>
        <x:v>No incluye orquestación de múltiples jobs dependientes.</x:v>
      </x:c>
    </x:row>
    <x:row r="52" ht="24">
      <x:c r="A52" s="11" t="str">
        <x:f>'Catalogo Maestro'!E52</x:f>
        <x:v>INT-010</x:v>
      </x:c>
      <x:c r="B52" s="7" t="str">
        <x:f>'Catalogo Maestro'!C52</x:f>
        <x:v>Integración y automatización de procesos</x:v>
      </x:c>
      <x:c r="C52" s="7" t="str">
        <x:f>'Catalogo Maestro'!D52</x:f>
        <x:v>Automatización</x:v>
      </x:c>
      <x:c r="D52" s="7" t="str">
        <x:f>'Catalogo Maestro'!F52</x:f>
        <x:v>Regla o transformación de negocio</x:v>
      </x:c>
      <x:c r="E52" s="7" t="str">
        <x:f>'Catalogo Maestro'!G52</x:f>
        <x:v>Base incluido</x:v>
      </x:c>
      <x:c r="F52" s="16" t="n">
        <x:f>'Catalogo Maestro'!J52</x:f>
        <x:v>1</x:v>
      </x:c>
      <x:c r="G52" s="16" t="n">
        <x:f>'Catalogo Maestro'!K52</x:f>
        <x:v>0.7</x:v>
      </x:c>
      <x:c r="H52" s="7" t="str">
        <x:f>'Catalogo Maestro'!L52</x:f>
        <x:v>Incluye por regla: condición, transformación, validación y manejo de caso esperado/error.</x:v>
      </x:c>
      <x:c r="I52" s="12" t="str">
        <x:f>'Catalogo Maestro'!M52</x:f>
        <x:v>No incluye rediseño del proceso; se define en INT-001.</x:v>
      </x:c>
    </x:row>
    <x:row r="53" ht="24">
      <x:c r="A53" s="11" t="str">
        <x:f>'Catalogo Maestro'!E53</x:f>
        <x:v>INT-011</x:v>
      </x:c>
      <x:c r="B53" s="7" t="str">
        <x:f>'Catalogo Maestro'!C53</x:f>
        <x:v>Integración y automatización de procesos</x:v>
      </x:c>
      <x:c r="C53" s="7" t="str">
        <x:f>'Catalogo Maestro'!D53</x:f>
        <x:v>Observabilidad</x:v>
      </x:c>
      <x:c r="D53" s="7" t="str">
        <x:f>'Catalogo Maestro'!F53</x:f>
        <x:v>Registro de ejecuciones y alertas básicas</x:v>
      </x:c>
      <x:c r="E53" s="7" t="str">
        <x:f>'Catalogo Maestro'!G53</x:f>
        <x:v>Base obligatorio</x:v>
      </x:c>
      <x:c r="F53" s="16" t="n">
        <x:f>'Catalogo Maestro'!J53</x:f>
        <x:v>1</x:v>
      </x:c>
      <x:c r="G53" s="16" t="n">
        <x:f>'Catalogo Maestro'!K53</x:f>
        <x:v>0.7</x:v>
      </x:c>
      <x:c r="H53" s="7" t="str">
        <x:f>'Catalogo Maestro'!L53</x:f>
        <x:v>Incluye: fecha, estado, resultado, error, identificador y alerta básica por canal acordado cuando corresponda.</x:v>
      </x:c>
      <x:c r="I53" s="12" t="str">
        <x:f>'Catalogo Maestro'!M53</x:f>
        <x:v>No incluye plataforma completa de observabilidad.</x:v>
      </x:c>
    </x:row>
    <x:row r="54" ht="24">
      <x:c r="A54" s="11" t="str">
        <x:f>'Catalogo Maestro'!E54</x:f>
        <x:v>INT-013</x:v>
      </x:c>
      <x:c r="B54" s="7" t="str">
        <x:f>'Catalogo Maestro'!C54</x:f>
        <x:v>Integración y automatización de procesos</x:v>
      </x:c>
      <x:c r="C54" s="7" t="str">
        <x:f>'Catalogo Maestro'!D54</x:f>
        <x:v>Calidad</x:v>
      </x:c>
      <x:c r="D54" s="7" t="str">
        <x:f>'Catalogo Maestro'!F54</x:f>
        <x:v>QA de integración, datos, límites y seguridad</x:v>
      </x:c>
      <x:c r="E54" s="7" t="str">
        <x:f>'Catalogo Maestro'!G54</x:f>
        <x:v>Base obligatorio</x:v>
      </x:c>
      <x:c r="F54" s="16" t="n">
        <x:f>'Catalogo Maestro'!J54</x:f>
        <x:v>2</x:v>
      </x:c>
      <x:c r="G54" s="16" t="n">
        <x:f>'Catalogo Maestro'!K54</x:f>
        <x:v>1.4</x:v>
      </x:c>
      <x:c r="H54" s="7" t="str">
        <x:f>'Catalogo Maestro'!L54</x:f>
        <x:v>Incluye: casos de éxito/error/duplicado/dato incompleto; volumen razonable; permisos; exposición de datos y mínimo privilegio.</x:v>
      </x:c>
      <x:c r="I54" s="12" t="str">
        <x:f>'Catalogo Maestro'!M54</x:f>
        <x:v>No incluye pruebas de estrés empresariales ni pentesting formal.</x:v>
      </x:c>
    </x:row>
    <x:row r="55" ht="24">
      <x:c r="A55" s="13" t="str">
        <x:f>'Catalogo Maestro'!E55</x:f>
        <x:v>INT-016</x:v>
      </x:c>
      <x:c r="B55" s="14" t="str">
        <x:f>'Catalogo Maestro'!C55</x:f>
        <x:v>Integración y automatización de procesos</x:v>
      </x:c>
      <x:c r="C55" s="14" t="str">
        <x:f>'Catalogo Maestro'!D55</x:f>
        <x:v>Despliegue</x:v>
      </x:c>
      <x:c r="D55" s="14" t="str">
        <x:f>'Catalogo Maestro'!F55</x:f>
        <x:v>Producción, documentación y runbook</x:v>
      </x:c>
      <x:c r="E55" s="14" t="str">
        <x:f>'Catalogo Maestro'!G55</x:f>
        <x:v>Base obligatorio</x:v>
      </x:c>
      <x:c r="F55" s="22" t="n">
        <x:f>'Catalogo Maestro'!J55</x:f>
        <x:v>1.5</x:v>
      </x:c>
      <x:c r="G55" s="22" t="n">
        <x:f>'Catalogo Maestro'!K55</x:f>
        <x:v>1.0499999999999998</x:v>
      </x:c>
      <x:c r="H55" s="14" t="str">
        <x:f>'Catalogo Maestro'!L55</x:f>
        <x:v>Incluye: variables/secretos de producción, activación, validación, procedimiento operativo, reintentos y contactos.</x:v>
      </x:c>
      <x:c r="I55" s="15" t="str">
        <x:f>'Catalogo Maestro'!M55</x:f>
        <x:v>No incluye soporte mensual posterior.</x:v>
      </x:c>
    </x:row>
    <x:row r="56">
      <x:c r="A56" t="str">
        <x:f>'Catalogo Maestro'!E260</x:f>
        <x:v>WEB-035</x:v>
      </x:c>
      <x:c r="B56" t="str">
        <x:f>'Catalogo Maestro'!C260</x:f>
        <x:v>Sitio web profesional</x:v>
      </x:c>
      <x:c r="C56" t="str">
        <x:f>'Catalogo Maestro'!D260</x:f>
        <x:v>Publicación</x:v>
      </x:c>
      <x:c r="D56" t="str">
        <x:f>'Catalogo Maestro'!F260</x:f>
        <x:v>Configuración, actualización o migración de dominio/DNS</x:v>
      </x:c>
      <x:c r="E56" t="str">
        <x:f>'Catalogo Maestro'!G260</x:f>
        <x:v>Opcional</x:v>
      </x:c>
      <x:c r="F56" t="n">
        <x:f>'Catalogo Maestro'!J260</x:f>
        <x:v>0.4</x:v>
      </x:c>
      <x:c r="G56" t="n">
        <x:f>'Catalogo Maestro'!K260</x:f>
        <x:v>0.27999999999999997</x:v>
      </x:c>
      <x:c r="H56" t="str">
        <x:f>'Catalogo Maestro'!L260</x:f>
        <x:v>Incluye: conexión de dominio existente, ajustes DNS necesarios para la publicación o migración simple entre proveedores, validación de propagación y vinculación al hosting.</x:v>
      </x:c>
      <x:c r="I56" t="str">
        <x:f>'Catalogo Maestro'!M260</x:f>
        <x:v>No incluye compra o renovación del dominio, recuperación de cuentas, migración compleja de correo ni incidencias avanzadas con registradores o proveedores.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42" customWidth="1"/>
    <x:col min="3" max="3" width="18" customWidth="1"/>
    <x:col min="4" max="4" width="48" customWidth="1"/>
    <x:col min="5" max="5" width="18" customWidth="1"/>
    <x:col min="6" max="7" width="16" customWidth="1"/>
    <x:col min="8" max="8" width="62" customWidth="1"/>
    <x:col min="9" max="9" width="52" customWidth="1"/>
  </x:cols>
  <x:sheetData>
    <x:row r="1" ht="33.95000076293945" customHeight="1">
      <x:c r="A1" s="36" t="s">
        <x:v>1141</x:v>
      </x:c>
      <x:c r="B1" s="36"/>
      <x:c r="C1" s="36"/>
      <x:c r="D1" s="36"/>
      <x:c r="E1" s="36"/>
      <x:c r="F1" s="36"/>
      <x:c r="G1" s="36"/>
      <x:c r="H1" s="36"/>
      <x:c r="I1" s="36"/>
    </x:row>
    <x:row r="3" ht="33.95000076293945" customHeight="1">
      <x:c r="A3" s="37" t="s">
        <x:v>1139</x:v>
      </x:c>
      <x:c r="B3" s="37"/>
      <x:c r="C3" s="37"/>
      <x:c r="D3" s="37"/>
      <x:c r="E3" s="37"/>
      <x:c r="F3" s="37"/>
      <x:c r="G3" s="37"/>
      <x:c r="H3" s="37"/>
      <x:c r="I3" s="37"/>
    </x:row>
    <x:row r="5" ht="27.950000762939453" customHeight="1">
      <x:c r="A5" s="6" t="s">
        <x:v>95</x:v>
      </x:c>
      <x:c r="B5" s="6" t="s">
        <x:v>496</x:v>
      </x:c>
      <x:c r="C5" s="6" t="s">
        <x:v>149</x:v>
      </x:c>
      <x:c r="D5" s="6" t="s">
        <x:v>151</x:v>
      </x:c>
      <x:c r="E5" s="6" t="s">
        <x:v>152</x:v>
      </x:c>
      <x:c r="F5" s="6" t="s">
        <x:v>1140</x:v>
      </x:c>
      <x:c r="G5" s="6" t="s">
        <x:v>99</x:v>
      </x:c>
      <x:c r="H5" s="6" t="s">
        <x:v>156</x:v>
      </x:c>
      <x:c r="I5" s="6" t="s">
        <x:v>157</x:v>
      </x:c>
    </x:row>
    <x:row r="6">
      <x:c r="A6" s="8" t="str">
        <x:f>'Catalogo Maestro'!E56</x:f>
        <x:v>MNT1-001</x:v>
      </x:c>
      <x:c r="B6" s="9" t="str">
        <x:f>'Catalogo Maestro'!C56</x:f>
        <x:v>Corrección de errores y estabilización</x:v>
      </x:c>
      <x:c r="C6" s="9" t="str">
        <x:f>'Catalogo Maestro'!D56</x:f>
        <x:v>Recepción</x:v>
      </x:c>
      <x:c r="D6" s="9" t="str">
        <x:f>'Catalogo Maestro'!F56</x:f>
        <x:v>Registro del incidente y evidencia</x:v>
      </x:c>
      <x:c r="E6" s="9" t="str">
        <x:f>'Catalogo Maestro'!G56</x:f>
        <x:v>Base obligatorio</x:v>
      </x:c>
      <x:c r="F6" s="21" t="n">
        <x:f>'Catalogo Maestro'!J56</x:f>
        <x:v>0.5</x:v>
      </x:c>
      <x:c r="G6" s="21" t="n">
        <x:f>'Catalogo Maestro'!K56</x:f>
        <x:v>0.35</x:v>
      </x:c>
      <x:c r="H6" s="9" t="str">
        <x:f>'Catalogo Maestro'!L56</x:f>
        <x:v>Descripción, pasos, evidencia y entorno</x:v>
      </x:c>
      <x:c r="I6" s="10" t="n">
        <x:f>'Catalogo Maestro'!M56</x:f>
        <x:v>0</x:v>
      </x:c>
    </x:row>
    <x:row r="7">
      <x:c r="A7" s="11" t="str">
        <x:f>'Catalogo Maestro'!E57</x:f>
        <x:v>MNT1-002</x:v>
      </x:c>
      <x:c r="B7" s="7" t="str">
        <x:f>'Catalogo Maestro'!C57</x:f>
        <x:v>Corrección de errores y estabilización</x:v>
      </x:c>
      <x:c r="C7" s="7" t="str">
        <x:f>'Catalogo Maestro'!D57</x:f>
        <x:v>Triage</x:v>
      </x:c>
      <x:c r="D7" s="7" t="str">
        <x:f>'Catalogo Maestro'!F57</x:f>
        <x:v>Clasificación de severidad e impacto</x:v>
      </x:c>
      <x:c r="E7" s="7" t="str">
        <x:f>'Catalogo Maestro'!G57</x:f>
        <x:v>Base obligatorio</x:v>
      </x:c>
      <x:c r="F7" s="16" t="n">
        <x:f>'Catalogo Maestro'!J57</x:f>
        <x:v>0.5</x:v>
      </x:c>
      <x:c r="G7" s="16" t="n">
        <x:f>'Catalogo Maestro'!K57</x:f>
        <x:v>0.35</x:v>
      </x:c>
      <x:c r="H7" s="7" t="str">
        <x:f>'Catalogo Maestro'!L57</x:f>
        <x:v>Impacto, urgencia, alcance y usuarios afectados</x:v>
      </x:c>
      <x:c r="I7" s="12" t="n">
        <x:f>'Catalogo Maestro'!M57</x:f>
        <x:v>0</x:v>
      </x:c>
    </x:row>
    <x:row r="8">
      <x:c r="A8" s="11" t="str">
        <x:f>'Catalogo Maestro'!E58</x:f>
        <x:v>MNT1-003</x:v>
      </x:c>
      <x:c r="B8" s="7" t="str">
        <x:f>'Catalogo Maestro'!C58</x:f>
        <x:v>Corrección de errores y estabilización</x:v>
      </x:c>
      <x:c r="C8" s="7" t="str">
        <x:f>'Catalogo Maestro'!D58</x:f>
        <x:v>Diagnóstico</x:v>
      </x:c>
      <x:c r="D8" s="7" t="str">
        <x:f>'Catalogo Maestro'!F58</x:f>
        <x:v>Reproducción controlada del error</x:v>
      </x:c>
      <x:c r="E8" s="7" t="str">
        <x:f>'Catalogo Maestro'!G58</x:f>
        <x:v>Base obligatorio</x:v>
      </x:c>
      <x:c r="F8" s="16" t="n">
        <x:f>'Catalogo Maestro'!J58</x:f>
        <x:v>1.5</x:v>
      </x:c>
      <x:c r="G8" s="16" t="n">
        <x:f>'Catalogo Maestro'!K58</x:f>
        <x:v>1.0499999999999998</x:v>
      </x:c>
      <x:c r="H8" s="7" t="str">
        <x:f>'Catalogo Maestro'!L58</x:f>
        <x:v>Pasos, datos y condiciones de reproducción</x:v>
      </x:c>
      <x:c r="I8" s="12" t="n">
        <x:f>'Catalogo Maestro'!M58</x:f>
        <x:v>0</x:v>
      </x:c>
    </x:row>
    <x:row r="9">
      <x:c r="A9" s="11" t="str">
        <x:f>'Catalogo Maestro'!E59</x:f>
        <x:v>MNT1-004</x:v>
      </x:c>
      <x:c r="B9" s="7" t="str">
        <x:f>'Catalogo Maestro'!C59</x:f>
        <x:v>Corrección de errores y estabilización</x:v>
      </x:c>
      <x:c r="C9" s="7" t="str">
        <x:f>'Catalogo Maestro'!D59</x:f>
        <x:v>Diagnóstico</x:v>
      </x:c>
      <x:c r="D9" s="7" t="str">
        <x:f>'Catalogo Maestro'!F59</x:f>
        <x:v>Análisis de logs, datos y código relacionado</x:v>
      </x:c>
      <x:c r="E9" s="7" t="str">
        <x:f>'Catalogo Maestro'!G59</x:f>
        <x:v>Base obligatorio</x:v>
      </x:c>
      <x:c r="F9" s="16" t="n">
        <x:f>'Catalogo Maestro'!J59</x:f>
        <x:v>2</x:v>
      </x:c>
      <x:c r="G9" s="16" t="n">
        <x:f>'Catalogo Maestro'!K59</x:f>
        <x:v>1.4</x:v>
      </x:c>
      <x:c r="H9" s="7" t="str">
        <x:f>'Catalogo Maestro'!L59</x:f>
        <x:v>Evidencia técnica y componentes involucrados</x:v>
      </x:c>
      <x:c r="I9" s="12" t="n">
        <x:f>'Catalogo Maestro'!M59</x:f>
        <x:v>0</x:v>
      </x:c>
    </x:row>
    <x:row r="10">
      <x:c r="A10" s="11" t="str">
        <x:f>'Catalogo Maestro'!E60</x:f>
        <x:v>MNT1-005</x:v>
      </x:c>
      <x:c r="B10" s="7" t="str">
        <x:f>'Catalogo Maestro'!C60</x:f>
        <x:v>Corrección de errores y estabilización</x:v>
      </x:c>
      <x:c r="C10" s="7" t="str">
        <x:f>'Catalogo Maestro'!D60</x:f>
        <x:v>Diagnóstico</x:v>
      </x:c>
      <x:c r="D10" s="7" t="str">
        <x:f>'Catalogo Maestro'!F60</x:f>
        <x:v>Análisis de causa raíz</x:v>
      </x:c>
      <x:c r="E10" s="7" t="str">
        <x:f>'Catalogo Maestro'!G60</x:f>
        <x:v>Base obligatorio</x:v>
      </x:c>
      <x:c r="F10" s="16" t="n">
        <x:f>'Catalogo Maestro'!J60</x:f>
        <x:v>1.5</x:v>
      </x:c>
      <x:c r="G10" s="16" t="n">
        <x:f>'Catalogo Maestro'!K60</x:f>
        <x:v>1.0499999999999998</x:v>
      </x:c>
      <x:c r="H10" s="7" t="str">
        <x:f>'Catalogo Maestro'!L60</x:f>
        <x:v>Origen y condiciones que provocan el fallo</x:v>
      </x:c>
      <x:c r="I10" s="12" t="n">
        <x:f>'Catalogo Maestro'!M60</x:f>
        <x:v>0</x:v>
      </x:c>
    </x:row>
    <x:row r="11">
      <x:c r="A11" s="11" t="str">
        <x:f>'Catalogo Maestro'!E61</x:f>
        <x:v>MNT1-006</x:v>
      </x:c>
      <x:c r="B11" s="7" t="str">
        <x:f>'Catalogo Maestro'!C61</x:f>
        <x:v>Corrección de errores y estabilización</x:v>
      </x:c>
      <x:c r="C11" s="7" t="str">
        <x:f>'Catalogo Maestro'!D61</x:f>
        <x:v>Planificación</x:v>
      </x:c>
      <x:c r="D11" s="7" t="str">
        <x:f>'Catalogo Maestro'!F61</x:f>
        <x:v>Definición de corrección y plan de reversa</x:v>
      </x:c>
      <x:c r="E11" s="7" t="str">
        <x:f>'Catalogo Maestro'!G61</x:f>
        <x:v>Base obligatorio</x:v>
      </x:c>
      <x:c r="F11" s="16" t="n">
        <x:f>'Catalogo Maestro'!J61</x:f>
        <x:v>1</x:v>
      </x:c>
      <x:c r="G11" s="16" t="n">
        <x:f>'Catalogo Maestro'!K61</x:f>
        <x:v>0.7</x:v>
      </x:c>
      <x:c r="H11" s="7" t="str">
        <x:f>'Catalogo Maestro'!L61</x:f>
        <x:v>Corrección, riesgo, pruebas y reversa</x:v>
      </x:c>
      <x:c r="I11" s="12" t="n">
        <x:f>'Catalogo Maestro'!M61</x:f>
        <x:v>0</x:v>
      </x:c>
    </x:row>
    <x:row r="12">
      <x:c r="A12" s="11" t="str">
        <x:f>'Catalogo Maestro'!E62</x:f>
        <x:v>MNT1-007</x:v>
      </x:c>
      <x:c r="B12" s="7" t="str">
        <x:f>'Catalogo Maestro'!C62</x:f>
        <x:v>Corrección de errores y estabilización</x:v>
      </x:c>
      <x:c r="C12" s="7" t="str">
        <x:f>'Catalogo Maestro'!D62</x:f>
        <x:v>Corrección</x:v>
      </x:c>
      <x:c r="D12" s="7" t="str">
        <x:f>'Catalogo Maestro'!F62</x:f>
        <x:v>Corrección de baja complejidad</x:v>
      </x:c>
      <x:c r="E12" s="7" t="str">
        <x:f>'Catalogo Maestro'!G62</x:f>
        <x:v>Base incluido</x:v>
      </x:c>
      <x:c r="F12" s="16" t="n">
        <x:f>'Catalogo Maestro'!J62</x:f>
        <x:v>2</x:v>
      </x:c>
      <x:c r="G12" s="16" t="n">
        <x:f>'Catalogo Maestro'!K62</x:f>
        <x:v>1.4</x:v>
      </x:c>
      <x:c r="H12" s="7" t="str">
        <x:f>'Catalogo Maestro'!L62</x:f>
        <x:v>Ajuste localizado sin cambio de arquitectura</x:v>
      </x:c>
      <x:c r="I12" s="12" t="str">
        <x:f>'Catalogo Maestro'!M62</x:f>
        <x:v>Mutuamente excluyente con MNT1-008 para el mismo incidente.</x:v>
      </x:c>
    </x:row>
    <x:row r="13">
      <x:c r="A13" s="11" t="str">
        <x:f>'Catalogo Maestro'!E63</x:f>
        <x:v>MNT1-008</x:v>
      </x:c>
      <x:c r="B13" s="7" t="str">
        <x:f>'Catalogo Maestro'!C63</x:f>
        <x:v>Corrección de errores y estabilización</x:v>
      </x:c>
      <x:c r="C13" s="7" t="str">
        <x:f>'Catalogo Maestro'!D63</x:f>
        <x:v>Corrección</x:v>
      </x:c>
      <x:c r="D13" s="7" t="str">
        <x:f>'Catalogo Maestro'!F63</x:f>
        <x:v>Corrección de complejidad media</x:v>
      </x:c>
      <x:c r="E13" s="7" t="str">
        <x:f>'Catalogo Maestro'!G63</x:f>
        <x:v>Opcional</x:v>
      </x:c>
      <x:c r="F13" s="16" t="n">
        <x:f>'Catalogo Maestro'!J63</x:f>
        <x:v>4</x:v>
      </x:c>
      <x:c r="G13" s="16" t="n">
        <x:f>'Catalogo Maestro'!K63</x:f>
        <x:v>2.8</x:v>
      </x:c>
      <x:c r="H13" s="7" t="str">
        <x:f>'Catalogo Maestro'!L63</x:f>
        <x:v>Cambios en varios componentes o reglas</x:v>
      </x:c>
      <x:c r="I13" s="12" t="str">
        <x:f>'Catalogo Maestro'!M63</x:f>
        <x:v>Mutuamente excluyente con MNT1-007 para el mismo incidente.</x:v>
      </x:c>
    </x:row>
    <x:row r="14">
      <x:c r="A14" s="11" t="str">
        <x:f>'Catalogo Maestro'!E64</x:f>
        <x:v>MNT1-009</x:v>
      </x:c>
      <x:c r="B14" s="7" t="str">
        <x:f>'Catalogo Maestro'!C64</x:f>
        <x:v>Corrección de errores y estabilización</x:v>
      </x:c>
      <x:c r="C14" s="7" t="str">
        <x:f>'Catalogo Maestro'!D64</x:f>
        <x:v>Datos</x:v>
      </x:c>
      <x:c r="D14" s="7" t="str">
        <x:f>'Catalogo Maestro'!F64</x:f>
        <x:v>Corrección o regularización de datos</x:v>
      </x:c>
      <x:c r="E14" s="7" t="str">
        <x:f>'Catalogo Maestro'!G64</x:f>
        <x:v>Opcional</x:v>
      </x:c>
      <x:c r="F14" s="16" t="n">
        <x:f>'Catalogo Maestro'!J64</x:f>
        <x:v>2.5</x:v>
      </x:c>
      <x:c r="G14" s="16" t="n">
        <x:f>'Catalogo Maestro'!K64</x:f>
        <x:v>1.75</x:v>
      </x:c>
      <x:c r="H14" s="7" t="str">
        <x:f>'Catalogo Maestro'!L64</x:f>
        <x:v>Script, respaldo y validación</x:v>
      </x:c>
      <x:c r="I14" s="12" t="str">
        <x:f>'Catalogo Maestro'!M64</x:f>
        <x:v>Recuperación forense</x:v>
      </x:c>
    </x:row>
    <x:row r="15">
      <x:c r="A15" s="11" t="str">
        <x:f>'Catalogo Maestro'!E65</x:f>
        <x:v>MNT1-010</x:v>
      </x:c>
      <x:c r="B15" s="7" t="str">
        <x:f>'Catalogo Maestro'!C65</x:f>
        <x:v>Corrección de errores y estabilización</x:v>
      </x:c>
      <x:c r="C15" s="7" t="str">
        <x:f>'Catalogo Maestro'!D65</x:f>
        <x:v>Calidad</x:v>
      </x:c>
      <x:c r="D15" s="7" t="str">
        <x:f>'Catalogo Maestro'!F65</x:f>
        <x:v>Prueba del caso corregido</x:v>
      </x:c>
      <x:c r="E15" s="7" t="str">
        <x:f>'Catalogo Maestro'!G65</x:f>
        <x:v>Base obligatorio</x:v>
      </x:c>
      <x:c r="F15" s="16" t="n">
        <x:f>'Catalogo Maestro'!J65</x:f>
        <x:v>1</x:v>
      </x:c>
      <x:c r="G15" s="16" t="n">
        <x:f>'Catalogo Maestro'!K65</x:f>
        <x:v>0.7</x:v>
      </x:c>
      <x:c r="H15" s="7" t="str">
        <x:f>'Catalogo Maestro'!L65</x:f>
        <x:v>Prueba directa del defecto</x:v>
      </x:c>
      <x:c r="I15" s="12" t="n">
        <x:f>'Catalogo Maestro'!M65</x:f>
        <x:v>0</x:v>
      </x:c>
    </x:row>
    <x:row r="16">
      <x:c r="A16" s="11" t="str">
        <x:f>'Catalogo Maestro'!E66</x:f>
        <x:v>MNT1-011</x:v>
      </x:c>
      <x:c r="B16" s="7" t="str">
        <x:f>'Catalogo Maestro'!C66</x:f>
        <x:v>Corrección de errores y estabilización</x:v>
      </x:c>
      <x:c r="C16" s="7" t="str">
        <x:f>'Catalogo Maestro'!D66</x:f>
        <x:v>Calidad</x:v>
      </x:c>
      <x:c r="D16" s="7" t="str">
        <x:f>'Catalogo Maestro'!F66</x:f>
        <x:v>Pruebas de regresión relacionadas</x:v>
      </x:c>
      <x:c r="E16" s="7" t="str">
        <x:f>'Catalogo Maestro'!G66</x:f>
        <x:v>Base obligatorio</x:v>
      </x:c>
      <x:c r="F16" s="16" t="n">
        <x:f>'Catalogo Maestro'!J66</x:f>
        <x:v>0.75</x:v>
      </x:c>
      <x:c r="G16" s="16" t="n">
        <x:f>'Catalogo Maestro'!K66</x:f>
        <x:v>0.5249999999999999</x:v>
      </x:c>
      <x:c r="H16" s="7" t="str">
        <x:f>'Catalogo Maestro'!L66</x:f>
        <x:v>Flujos cercanos y funciones relacionadas</x:v>
      </x:c>
      <x:c r="I16" s="12" t="n">
        <x:f>'Catalogo Maestro'!M66</x:f>
        <x:v>0</x:v>
      </x:c>
    </x:row>
    <x:row r="17">
      <x:c r="A17" s="11" t="str">
        <x:f>'Catalogo Maestro'!E67</x:f>
        <x:v>MNT1-012</x:v>
      </x:c>
      <x:c r="B17" s="7" t="str">
        <x:f>'Catalogo Maestro'!C67</x:f>
        <x:v>Corrección de errores y estabilización</x:v>
      </x:c>
      <x:c r="C17" s="7" t="str">
        <x:f>'Catalogo Maestro'!D67</x:f>
        <x:v>Despliegue</x:v>
      </x:c>
      <x:c r="D17" s="7" t="str">
        <x:f>'Catalogo Maestro'!F67</x:f>
        <x:v>Preparación y despliegue de corrección</x:v>
      </x:c>
      <x:c r="E17" s="7" t="str">
        <x:f>'Catalogo Maestro'!G67</x:f>
        <x:v>Base obligatorio</x:v>
      </x:c>
      <x:c r="F17" s="16" t="n">
        <x:f>'Catalogo Maestro'!J67</x:f>
        <x:v>1.5</x:v>
      </x:c>
      <x:c r="G17" s="16" t="n">
        <x:f>'Catalogo Maestro'!K67</x:f>
        <x:v>1.0499999999999998</x:v>
      </x:c>
      <x:c r="H17" s="7" t="str">
        <x:f>'Catalogo Maestro'!L67</x:f>
        <x:v>Build, respaldo, despliegue y validación</x:v>
      </x:c>
      <x:c r="I17" s="12" t="n">
        <x:f>'Catalogo Maestro'!M67</x:f>
        <x:v>0</x:v>
      </x:c>
    </x:row>
    <x:row r="18">
      <x:c r="A18" s="11" t="str">
        <x:f>'Catalogo Maestro'!E68</x:f>
        <x:v>MNT1-013</x:v>
      </x:c>
      <x:c r="B18" s="7" t="str">
        <x:f>'Catalogo Maestro'!C68</x:f>
        <x:v>Corrección de errores y estabilización</x:v>
      </x:c>
      <x:c r="C18" s="7" t="str">
        <x:f>'Catalogo Maestro'!D68</x:f>
        <x:v>Seguimiento</x:v>
      </x:c>
      <x:c r="D18" s="7" t="str">
        <x:f>'Catalogo Maestro'!F68</x:f>
        <x:v>Monitoreo posterior al cambio</x:v>
      </x:c>
      <x:c r="E18" s="7" t="str">
        <x:f>'Catalogo Maestro'!G68</x:f>
        <x:v>Base incluido</x:v>
      </x:c>
      <x:c r="F18" s="16" t="n">
        <x:f>'Catalogo Maestro'!J68</x:f>
        <x:v>1</x:v>
      </x:c>
      <x:c r="G18" s="16" t="n">
        <x:f>'Catalogo Maestro'!K68</x:f>
        <x:v>0.7</x:v>
      </x:c>
      <x:c r="H18" s="7" t="str">
        <x:f>'Catalogo Maestro'!L68</x:f>
        <x:v>Revisión de logs y comportamiento</x:v>
      </x:c>
      <x:c r="I18" s="12" t="n">
        <x:f>'Catalogo Maestro'!M68</x:f>
        <x:v>0</x:v>
      </x:c>
    </x:row>
    <x:row r="19">
      <x:c r="A19" s="11" t="str">
        <x:f>'Catalogo Maestro'!E69</x:f>
        <x:v>MNT1-014</x:v>
      </x:c>
      <x:c r="B19" s="7" t="str">
        <x:f>'Catalogo Maestro'!C69</x:f>
        <x:v>Corrección de errores y estabilización</x:v>
      </x:c>
      <x:c r="C19" s="7" t="str">
        <x:f>'Catalogo Maestro'!D69</x:f>
        <x:v>Cierre</x:v>
      </x:c>
      <x:c r="D19" s="7" t="str">
        <x:f>'Catalogo Maestro'!F69</x:f>
        <x:v>Documentación de causa y solución</x:v>
      </x:c>
      <x:c r="E19" s="7" t="str">
        <x:f>'Catalogo Maestro'!G69</x:f>
        <x:v>Base obligatorio</x:v>
      </x:c>
      <x:c r="F19" s="16" t="n">
        <x:f>'Catalogo Maestro'!J69</x:f>
        <x:v>0.75</x:v>
      </x:c>
      <x:c r="G19" s="16" t="n">
        <x:f>'Catalogo Maestro'!K69</x:f>
        <x:v>0.5249999999999999</x:v>
      </x:c>
      <x:c r="H19" s="7" t="str">
        <x:f>'Catalogo Maestro'!L69</x:f>
        <x:v>Causa, solución, pruebas y recomendaciones</x:v>
      </x:c>
      <x:c r="I19" s="12" t="n">
        <x:f>'Catalogo Maestro'!M69</x:f>
        <x:v>0</x:v>
      </x:c>
    </x:row>
    <x:row r="20">
      <x:c r="A20" s="11" t="str">
        <x:f>'Catalogo Maestro'!E70</x:f>
        <x:v>MNT2-001</x:v>
      </x:c>
      <x:c r="B20" s="7" t="str">
        <x:f>'Catalogo Maestro'!C70</x:f>
        <x:v>Incorporación de nueva funcionalidad</x:v>
      </x:c>
      <x:c r="C20" s="7" t="str">
        <x:f>'Catalogo Maestro'!D70</x:f>
        <x:v>Descubrimiento</x:v>
      </x:c>
      <x:c r="D20" s="7" t="str">
        <x:f>'Catalogo Maestro'!F70</x:f>
        <x:v>Levantamiento de necesidad y objetivo</x:v>
      </x:c>
      <x:c r="E20" s="7" t="str">
        <x:f>'Catalogo Maestro'!G70</x:f>
        <x:v>Base obligatorio</x:v>
      </x:c>
      <x:c r="F20" s="16" t="n">
        <x:f>'Catalogo Maestro'!J70</x:f>
        <x:v>1.5</x:v>
      </x:c>
      <x:c r="G20" s="16" t="n">
        <x:f>'Catalogo Maestro'!K70</x:f>
        <x:v>1.0499999999999998</x:v>
      </x:c>
      <x:c r="H20" s="7" t="str">
        <x:f>'Catalogo Maestro'!L70</x:f>
        <x:v>Usuario, problema, resultado y contexto</x:v>
      </x:c>
      <x:c r="I20" s="12" t="n">
        <x:f>'Catalogo Maestro'!M70</x:f>
        <x:v>0</x:v>
      </x:c>
    </x:row>
    <x:row r="21">
      <x:c r="A21" s="11" t="str">
        <x:f>'Catalogo Maestro'!E71</x:f>
        <x:v>MNT2-002</x:v>
      </x:c>
      <x:c r="B21" s="7" t="str">
        <x:f>'Catalogo Maestro'!C71</x:f>
        <x:v>Incorporación de nueva funcionalidad</x:v>
      </x:c>
      <x:c r="C21" s="7" t="str">
        <x:f>'Catalogo Maestro'!D71</x:f>
        <x:v>Análisis</x:v>
      </x:c>
      <x:c r="D21" s="7" t="str">
        <x:f>'Catalogo Maestro'!F71</x:f>
        <x:v>Análisis de impacto en sistema existente</x:v>
      </x:c>
      <x:c r="E21" s="7" t="str">
        <x:f>'Catalogo Maestro'!G71</x:f>
        <x:v>Base obligatorio</x:v>
      </x:c>
      <x:c r="F21" s="16" t="n">
        <x:f>'Catalogo Maestro'!J71</x:f>
        <x:v>2.5</x:v>
      </x:c>
      <x:c r="G21" s="16" t="n">
        <x:f>'Catalogo Maestro'!K71</x:f>
        <x:v>1.75</x:v>
      </x:c>
      <x:c r="H21" s="7" t="str">
        <x:f>'Catalogo Maestro'!L71</x:f>
        <x:v>Código, datos, roles, integraciones y riesgos</x:v>
      </x:c>
      <x:c r="I21" s="12" t="n">
        <x:f>'Catalogo Maestro'!M71</x:f>
        <x:v>0</x:v>
      </x:c>
    </x:row>
    <x:row r="22">
      <x:c r="A22" s="11" t="str">
        <x:f>'Catalogo Maestro'!E72</x:f>
        <x:v>MNT2-003</x:v>
      </x:c>
      <x:c r="B22" s="7" t="str">
        <x:f>'Catalogo Maestro'!C72</x:f>
        <x:v>Incorporación de nueva funcionalidad</x:v>
      </x:c>
      <x:c r="C22" s="7" t="str">
        <x:f>'Catalogo Maestro'!D72</x:f>
        <x:v>Alcance</x:v>
      </x:c>
      <x:c r="D22" s="7" t="str">
        <x:f>'Catalogo Maestro'!F72</x:f>
        <x:v>Historia de usuario y criterios de aceptación</x:v>
      </x:c>
      <x:c r="E22" s="7" t="str">
        <x:f>'Catalogo Maestro'!G72</x:f>
        <x:v>Base obligatorio</x:v>
      </x:c>
      <x:c r="F22" s="16" t="n">
        <x:f>'Catalogo Maestro'!J72</x:f>
        <x:v>1.5</x:v>
      </x:c>
      <x:c r="G22" s="16" t="n">
        <x:f>'Catalogo Maestro'!K72</x:f>
        <x:v>1.0499999999999998</x:v>
      </x:c>
      <x:c r="H22" s="7" t="str">
        <x:f>'Catalogo Maestro'!L72</x:f>
        <x:v>Casos, reglas y definición de terminado</x:v>
      </x:c>
      <x:c r="I22" s="12" t="n">
        <x:f>'Catalogo Maestro'!M72</x:f>
        <x:v>0</x:v>
      </x:c>
    </x:row>
    <x:row r="23">
      <x:c r="A23" s="11" t="str">
        <x:f>'Catalogo Maestro'!E73</x:f>
        <x:v>MNT2-004</x:v>
      </x:c>
      <x:c r="B23" s="7" t="str">
        <x:f>'Catalogo Maestro'!C73</x:f>
        <x:v>Incorporación de nueva funcionalidad</x:v>
      </x:c>
      <x:c r="C23" s="7" t="str">
        <x:f>'Catalogo Maestro'!D73</x:f>
        <x:v>Diseño</x:v>
      </x:c>
      <x:c r="D23" s="7" t="str">
        <x:f>'Catalogo Maestro'!F73</x:f>
        <x:v>Diseño de flujo y estados</x:v>
      </x:c>
      <x:c r="E23" s="7" t="str">
        <x:f>'Catalogo Maestro'!G73</x:f>
        <x:v>Base obligatorio</x:v>
      </x:c>
      <x:c r="F23" s="16" t="n">
        <x:f>'Catalogo Maestro'!J73</x:f>
        <x:v>2</x:v>
      </x:c>
      <x:c r="G23" s="16" t="n">
        <x:f>'Catalogo Maestro'!K73</x:f>
        <x:v>1.4</x:v>
      </x:c>
      <x:c r="H23" s="7" t="str">
        <x:f>'Catalogo Maestro'!L73</x:f>
        <x:v>Interacciones, transiciones y excepciones</x:v>
      </x:c>
      <x:c r="I23" s="12" t="n">
        <x:f>'Catalogo Maestro'!M73</x:f>
        <x:v>0</x:v>
      </x:c>
    </x:row>
    <x:row r="24">
      <x:c r="A24" s="11" t="str">
        <x:f>'Catalogo Maestro'!E74</x:f>
        <x:v>MNT2-005</x:v>
      </x:c>
      <x:c r="B24" s="7" t="str">
        <x:f>'Catalogo Maestro'!C74</x:f>
        <x:v>Incorporación de nueva funcionalidad</x:v>
      </x:c>
      <x:c r="C24" s="7" t="str">
        <x:f>'Catalogo Maestro'!D74</x:f>
        <x:v>Diseño</x:v>
      </x:c>
      <x:c r="D24" s="7" t="str">
        <x:f>'Catalogo Maestro'!F74</x:f>
        <x:v>Diseño de interfaz o wireframe</x:v>
      </x:c>
      <x:c r="E24" s="7" t="str">
        <x:f>'Catalogo Maestro'!G74</x:f>
        <x:v>Base incluido</x:v>
      </x:c>
      <x:c r="F24" s="16" t="n">
        <x:f>'Catalogo Maestro'!J74</x:f>
        <x:v>1</x:v>
      </x:c>
      <x:c r="G24" s="16" t="n">
        <x:f>'Catalogo Maestro'!K74</x:f>
        <x:v>0.7</x:v>
      </x:c>
      <x:c r="H24" s="7" t="str">
        <x:f>'Catalogo Maestro'!L74</x:f>
        <x:v>Componentes, campos y acciones</x:v>
      </x:c>
      <x:c r="I24" s="12" t="n">
        <x:f>'Catalogo Maestro'!M74</x:f>
        <x:v>0</x:v>
      </x:c>
    </x:row>
    <x:row r="25">
      <x:c r="A25" s="11" t="str">
        <x:f>'Catalogo Maestro'!E75</x:f>
        <x:v>MNT2-006</x:v>
      </x:c>
      <x:c r="B25" s="7" t="str">
        <x:f>'Catalogo Maestro'!C75</x:f>
        <x:v>Incorporación de nueva funcionalidad</x:v>
      </x:c>
      <x:c r="C25" s="7" t="str">
        <x:f>'Catalogo Maestro'!D75</x:f>
        <x:v>Datos</x:v>
      </x:c>
      <x:c r="D25" s="7" t="str">
        <x:f>'Catalogo Maestro'!F75</x:f>
        <x:v>Cambio de modelo de datos</x:v>
      </x:c>
      <x:c r="E25" s="7" t="str">
        <x:f>'Catalogo Maestro'!G75</x:f>
        <x:v>Opcional</x:v>
      </x:c>
      <x:c r="F25" s="16" t="n">
        <x:f>'Catalogo Maestro'!J75</x:f>
        <x:v>2.5</x:v>
      </x:c>
      <x:c r="G25" s="16" t="n">
        <x:f>'Catalogo Maestro'!K75</x:f>
        <x:v>1.75</x:v>
      </x:c>
      <x:c r="H25" s="7" t="str">
        <x:f>'Catalogo Maestro'!L75</x:f>
        <x:v>Tabla, columna, relación y restricciones</x:v>
      </x:c>
      <x:c r="I25" s="12" t="n">
        <x:f>'Catalogo Maestro'!M75</x:f>
        <x:v>0</x:v>
      </x:c>
    </x:row>
    <x:row r="26">
      <x:c r="A26" s="11" t="str">
        <x:f>'Catalogo Maestro'!E76</x:f>
        <x:v>MNT2-007</x:v>
      </x:c>
      <x:c r="B26" s="7" t="str">
        <x:f>'Catalogo Maestro'!C76</x:f>
        <x:v>Incorporación de nueva funcionalidad</x:v>
      </x:c>
      <x:c r="C26" s="7" t="str">
        <x:f>'Catalogo Maestro'!D76</x:f>
        <x:v>Backend</x:v>
      </x:c>
      <x:c r="D26" s="7" t="str">
        <x:f>'Catalogo Maestro'!F76</x:f>
        <x:v>Implementación de regla de negocio</x:v>
      </x:c>
      <x:c r="E26" s="7" t="str">
        <x:f>'Catalogo Maestro'!G76</x:f>
        <x:v>Base incluido</x:v>
      </x:c>
      <x:c r="F26" s="16" t="n">
        <x:f>'Catalogo Maestro'!J76</x:f>
        <x:v>2</x:v>
      </x:c>
      <x:c r="G26" s="16" t="n">
        <x:f>'Catalogo Maestro'!K76</x:f>
        <x:v>1.4</x:v>
      </x:c>
      <x:c r="H26" s="7" t="str">
        <x:f>'Catalogo Maestro'!L76</x:f>
        <x:v>Validaciones y comportamiento esperado</x:v>
      </x:c>
      <x:c r="I26" s="12" t="n">
        <x:f>'Catalogo Maestro'!M76</x:f>
        <x:v>0</x:v>
      </x:c>
    </x:row>
    <x:row r="27">
      <x:c r="A27" s="11" t="str">
        <x:f>'Catalogo Maestro'!E77</x:f>
        <x:v>MNT2-008</x:v>
      </x:c>
      <x:c r="B27" s="7" t="str">
        <x:f>'Catalogo Maestro'!C77</x:f>
        <x:v>Incorporación de nueva funcionalidad</x:v>
      </x:c>
      <x:c r="C27" s="7" t="str">
        <x:f>'Catalogo Maestro'!D77</x:f>
        <x:v>Backend</x:v>
      </x:c>
      <x:c r="D27" s="7" t="str">
        <x:f>'Catalogo Maestro'!F77</x:f>
        <x:v>Servicio o endpoint asociado</x:v>
      </x:c>
      <x:c r="E27" s="7" t="str">
        <x:f>'Catalogo Maestro'!G77</x:f>
        <x:v>Base incluido</x:v>
      </x:c>
      <x:c r="F27" s="16" t="n">
        <x:f>'Catalogo Maestro'!J77</x:f>
        <x:v>3</x:v>
      </x:c>
      <x:c r="G27" s="16" t="n">
        <x:f>'Catalogo Maestro'!K77</x:f>
        <x:v>2.0999999999999996</x:v>
      </x:c>
      <x:c r="H27" s="7" t="str">
        <x:f>'Catalogo Maestro'!L77</x:f>
        <x:v>Consulta, persistencia y errores</x:v>
      </x:c>
      <x:c r="I27" s="12" t="n">
        <x:f>'Catalogo Maestro'!M77</x:f>
        <x:v>0</x:v>
      </x:c>
    </x:row>
    <x:row r="28">
      <x:c r="A28" s="11" t="str">
        <x:f>'Catalogo Maestro'!E78</x:f>
        <x:v>MNT2-009</x:v>
      </x:c>
      <x:c r="B28" s="7" t="str">
        <x:f>'Catalogo Maestro'!C78</x:f>
        <x:v>Incorporación de nueva funcionalidad</x:v>
      </x:c>
      <x:c r="C28" s="7" t="str">
        <x:f>'Catalogo Maestro'!D78</x:f>
        <x:v>Frontend</x:v>
      </x:c>
      <x:c r="D28" s="7" t="str">
        <x:f>'Catalogo Maestro'!F78</x:f>
        <x:v>Pantalla o componente de funcionalidad</x:v>
      </x:c>
      <x:c r="E28" s="7" t="str">
        <x:f>'Catalogo Maestro'!G78</x:f>
        <x:v>Base incluido</x:v>
      </x:c>
      <x:c r="F28" s="16" t="n">
        <x:f>'Catalogo Maestro'!J78</x:f>
        <x:v>3</x:v>
      </x:c>
      <x:c r="G28" s="16" t="n">
        <x:f>'Catalogo Maestro'!K78</x:f>
        <x:v>2.0999999999999996</x:v>
      </x:c>
      <x:c r="H28" s="7" t="str">
        <x:f>'Catalogo Maestro'!L78</x:f>
        <x:v>Estados, validaciones y responsive</x:v>
      </x:c>
      <x:c r="I28" s="12" t="n">
        <x:f>'Catalogo Maestro'!M78</x:f>
        <x:v>0</x:v>
      </x:c>
    </x:row>
    <x:row r="29">
      <x:c r="A29" s="11" t="str">
        <x:f>'Catalogo Maestro'!E79</x:f>
        <x:v>MNT2-010</x:v>
      </x:c>
      <x:c r="B29" s="7" t="str">
        <x:f>'Catalogo Maestro'!C79</x:f>
        <x:v>Incorporación de nueva funcionalidad</x:v>
      </x:c>
      <x:c r="C29" s="7" t="str">
        <x:f>'Catalogo Maestro'!D79</x:f>
        <x:v>Seguridad</x:v>
      </x:c>
      <x:c r="D29" s="7" t="str">
        <x:f>'Catalogo Maestro'!F79</x:f>
        <x:v>Ajuste de permisos y acceso</x:v>
      </x:c>
      <x:c r="E29" s="7" t="str">
        <x:f>'Catalogo Maestro'!G79</x:f>
        <x:v>Base incluido</x:v>
      </x:c>
      <x:c r="F29" s="16" t="n">
        <x:f>'Catalogo Maestro'!J79</x:f>
        <x:v>1</x:v>
      </x:c>
      <x:c r="G29" s="16" t="n">
        <x:f>'Catalogo Maestro'!K79</x:f>
        <x:v>0.7</x:v>
      </x:c>
      <x:c r="H29" s="7" t="str">
        <x:f>'Catalogo Maestro'!L79</x:f>
        <x:v>Visibilidad y acciones por rol</x:v>
      </x:c>
      <x:c r="I29" s="12" t="n">
        <x:f>'Catalogo Maestro'!M79</x:f>
        <x:v>0</x:v>
      </x:c>
    </x:row>
    <x:row r="30">
      <x:c r="A30" s="11" t="str">
        <x:f>'Catalogo Maestro'!E80</x:f>
        <x:v>MNT2-011</x:v>
      </x:c>
      <x:c r="B30" s="7" t="str">
        <x:f>'Catalogo Maestro'!C80</x:f>
        <x:v>Incorporación de nueva funcionalidad</x:v>
      </x:c>
      <x:c r="C30" s="7" t="str">
        <x:f>'Catalogo Maestro'!D80</x:f>
        <x:v>Integración</x:v>
      </x:c>
      <x:c r="D30" s="7" t="str">
        <x:f>'Catalogo Maestro'!F80</x:f>
        <x:v>Notificación o exportación asociada</x:v>
      </x:c>
      <x:c r="E30" s="7" t="str">
        <x:f>'Catalogo Maestro'!G80</x:f>
        <x:v>Opcional</x:v>
      </x:c>
      <x:c r="F30" s="16" t="n">
        <x:f>'Catalogo Maestro'!J80</x:f>
        <x:v>3</x:v>
      </x:c>
      <x:c r="G30" s="16" t="n">
        <x:f>'Catalogo Maestro'!K80</x:f>
        <x:v>2.0999999999999996</x:v>
      </x:c>
      <x:c r="H30" s="7" t="str">
        <x:f>'Catalogo Maestro'!L80</x:f>
        <x:v>Correo, Excel, PDF u otro canal</x:v>
      </x:c>
      <x:c r="I30" s="12" t="n">
        <x:f>'Catalogo Maestro'!M80</x:f>
        <x:v>0</x:v>
      </x:c>
    </x:row>
    <x:row r="31">
      <x:c r="A31" s="11" t="str">
        <x:f>'Catalogo Maestro'!E81</x:f>
        <x:v>MNT2-012</x:v>
      </x:c>
      <x:c r="B31" s="7" t="str">
        <x:f>'Catalogo Maestro'!C81</x:f>
        <x:v>Incorporación de nueva funcionalidad</x:v>
      </x:c>
      <x:c r="C31" s="7" t="str">
        <x:f>'Catalogo Maestro'!D81</x:f>
        <x:v>Calidad</x:v>
      </x:c>
      <x:c r="D31" s="7" t="str">
        <x:f>'Catalogo Maestro'!F81</x:f>
        <x:v>Pruebas unitarias y de reglas</x:v>
      </x:c>
      <x:c r="E31" s="7" t="str">
        <x:f>'Catalogo Maestro'!G81</x:f>
        <x:v>Base incluido</x:v>
      </x:c>
      <x:c r="F31" s="16" t="n">
        <x:f>'Catalogo Maestro'!J81</x:f>
        <x:v>1</x:v>
      </x:c>
      <x:c r="G31" s="16" t="n">
        <x:f>'Catalogo Maestro'!K81</x:f>
        <x:v>0.7</x:v>
      </x:c>
      <x:c r="H31" s="7" t="str">
        <x:f>'Catalogo Maestro'!L81</x:f>
        <x:v>Casos normales, errores y límites</x:v>
      </x:c>
      <x:c r="I31" s="12" t="n">
        <x:f>'Catalogo Maestro'!M81</x:f>
        <x:v>0</x:v>
      </x:c>
    </x:row>
    <x:row r="32">
      <x:c r="A32" s="11" t="str">
        <x:f>'Catalogo Maestro'!E82</x:f>
        <x:v>MNT2-013</x:v>
      </x:c>
      <x:c r="B32" s="7" t="str">
        <x:f>'Catalogo Maestro'!C82</x:f>
        <x:v>Incorporación de nueva funcionalidad</x:v>
      </x:c>
      <x:c r="C32" s="7" t="str">
        <x:f>'Catalogo Maestro'!D82</x:f>
        <x:v>Calidad</x:v>
      </x:c>
      <x:c r="D32" s="7" t="str">
        <x:f>'Catalogo Maestro'!F82</x:f>
        <x:v>Pruebas de integración y regresión</x:v>
      </x:c>
      <x:c r="E32" s="7" t="str">
        <x:f>'Catalogo Maestro'!G82</x:f>
        <x:v>Base obligatorio</x:v>
      </x:c>
      <x:c r="F32" s="16" t="n">
        <x:f>'Catalogo Maestro'!J82</x:f>
        <x:v>3</x:v>
      </x:c>
      <x:c r="G32" s="16" t="n">
        <x:f>'Catalogo Maestro'!K82</x:f>
        <x:v>2.0999999999999996</x:v>
      </x:c>
      <x:c r="H32" s="7" t="str">
        <x:f>'Catalogo Maestro'!L82</x:f>
        <x:v>Flujo nuevo y funciones existentes relacionadas</x:v>
      </x:c>
      <x:c r="I32" s="12" t="n">
        <x:f>'Catalogo Maestro'!M82</x:f>
        <x:v>0</x:v>
      </x:c>
    </x:row>
    <x:row r="33">
      <x:c r="A33" s="11" t="str">
        <x:f>'Catalogo Maestro'!E83</x:f>
        <x:v>MNT2-014</x:v>
      </x:c>
      <x:c r="B33" s="7" t="str">
        <x:f>'Catalogo Maestro'!C83</x:f>
        <x:v>Incorporación de nueva funcionalidad</x:v>
      </x:c>
      <x:c r="C33" s="7" t="str">
        <x:f>'Catalogo Maestro'!D83</x:f>
        <x:v>Despliegue</x:v>
      </x:c>
      <x:c r="D33" s="7" t="str">
        <x:f>'Catalogo Maestro'!F83</x:f>
        <x:v>Migración y despliegue controlado</x:v>
      </x:c>
      <x:c r="E33" s="7" t="str">
        <x:f>'Catalogo Maestro'!G83</x:f>
        <x:v>Base obligatorio</x:v>
      </x:c>
      <x:c r="F33" s="16" t="n">
        <x:f>'Catalogo Maestro'!J83</x:f>
        <x:v>2</x:v>
      </x:c>
      <x:c r="G33" s="16" t="n">
        <x:f>'Catalogo Maestro'!K83</x:f>
        <x:v>1.4</x:v>
      </x:c>
      <x:c r="H33" s="7" t="str">
        <x:f>'Catalogo Maestro'!L83</x:f>
        <x:v>Respaldo, migración, build y validación</x:v>
      </x:c>
      <x:c r="I33" s="12" t="n">
        <x:f>'Catalogo Maestro'!M83</x:f>
        <x:v>0</x:v>
      </x:c>
    </x:row>
    <x:row r="34">
      <x:c r="A34" s="11" t="str">
        <x:f>'Catalogo Maestro'!E84</x:f>
        <x:v>MNT2-015</x:v>
      </x:c>
      <x:c r="B34" s="7" t="str">
        <x:f>'Catalogo Maestro'!C84</x:f>
        <x:v>Incorporación de nueva funcionalidad</x:v>
      </x:c>
      <x:c r="C34" s="7" t="str">
        <x:f>'Catalogo Maestro'!D84</x:f>
        <x:v>Cierre</x:v>
      </x:c>
      <x:c r="D34" s="7" t="str">
        <x:f>'Catalogo Maestro'!F84</x:f>
        <x:v>Documentación y capacitación breve</x:v>
      </x:c>
      <x:c r="E34" s="7" t="str">
        <x:f>'Catalogo Maestro'!G84</x:f>
        <x:v>Base incluido</x:v>
      </x:c>
      <x:c r="F34" s="16" t="n">
        <x:f>'Catalogo Maestro'!J84</x:f>
        <x:v>1.5</x:v>
      </x:c>
      <x:c r="G34" s="16" t="n">
        <x:f>'Catalogo Maestro'!K84</x:f>
        <x:v>1.0499999999999998</x:v>
      </x:c>
      <x:c r="H34" s="7" t="str">
        <x:f>'Catalogo Maestro'!L84</x:f>
        <x:v>Cambios, uso y consideraciones</x:v>
      </x:c>
      <x:c r="I34" s="12" t="n">
        <x:f>'Catalogo Maestro'!M84</x:f>
        <x:v>0</x:v>
      </x:c>
    </x:row>
    <x:row r="35">
      <x:c r="A35" s="11" t="str">
        <x:f>'Catalogo Maestro'!E85</x:f>
        <x:v>MNT3-001</x:v>
      </x:c>
      <x:c r="B35" s="7" t="str">
        <x:f>'Catalogo Maestro'!C85</x:f>
        <x:v>Modernización, refactorización y actualización tecnológica</x:v>
      </x:c>
      <x:c r="C35" s="7" t="str">
        <x:f>'Catalogo Maestro'!D85</x:f>
        <x:v>Auditoría</x:v>
      </x:c>
      <x:c r="D35" s="7" t="str">
        <x:f>'Catalogo Maestro'!F85</x:f>
        <x:v>Inventario técnico de componentes y versiones</x:v>
      </x:c>
      <x:c r="E35" s="7" t="str">
        <x:f>'Catalogo Maestro'!G85</x:f>
        <x:v>Base obligatorio</x:v>
      </x:c>
      <x:c r="F35" s="16" t="n">
        <x:f>'Catalogo Maestro'!J85</x:f>
        <x:v>3</x:v>
      </x:c>
      <x:c r="G35" s="16" t="n">
        <x:f>'Catalogo Maestro'!K85</x:f>
        <x:v>2.0999999999999996</x:v>
      </x:c>
      <x:c r="H35" s="7" t="str">
        <x:f>'Catalogo Maestro'!L85</x:f>
        <x:v>Frameworks, dependencias, servicios y despliegues</x:v>
      </x:c>
      <x:c r="I35" s="12" t="n">
        <x:f>'Catalogo Maestro'!M85</x:f>
        <x:v>0</x:v>
      </x:c>
    </x:row>
    <x:row r="36">
      <x:c r="A36" s="11" t="str">
        <x:f>'Catalogo Maestro'!E86</x:f>
        <x:v>MNT3-002</x:v>
      </x:c>
      <x:c r="B36" s="7" t="str">
        <x:f>'Catalogo Maestro'!C86</x:f>
        <x:v>Modernización, refactorización y actualización tecnológica</x:v>
      </x:c>
      <x:c r="C36" s="7" t="str">
        <x:f>'Catalogo Maestro'!D86</x:f>
        <x:v>Auditoría</x:v>
      </x:c>
      <x:c r="D36" s="7" t="str">
        <x:f>'Catalogo Maestro'!F86</x:f>
        <x:v>Análisis de deuda técnica y riesgos</x:v>
      </x:c>
      <x:c r="E36" s="7" t="str">
        <x:f>'Catalogo Maestro'!G86</x:f>
        <x:v>Base obligatorio</x:v>
      </x:c>
      <x:c r="F36" s="16" t="n">
        <x:f>'Catalogo Maestro'!J86</x:f>
        <x:v>4</x:v>
      </x:c>
      <x:c r="G36" s="16" t="n">
        <x:f>'Catalogo Maestro'!K86</x:f>
        <x:v>2.8</x:v>
      </x:c>
      <x:c r="H36" s="7" t="str">
        <x:f>'Catalogo Maestro'!L86</x:f>
        <x:v>Complejidad, obsolescencia, seguridad y mantenibilidad</x:v>
      </x:c>
      <x:c r="I36" s="12" t="n">
        <x:f>'Catalogo Maestro'!M86</x:f>
        <x:v>0</x:v>
      </x:c>
    </x:row>
    <x:row r="37">
      <x:c r="A37" s="11" t="str">
        <x:f>'Catalogo Maestro'!E87</x:f>
        <x:v>MNT3-003</x:v>
      </x:c>
      <x:c r="B37" s="7" t="str">
        <x:f>'Catalogo Maestro'!C87</x:f>
        <x:v>Modernización, refactorización y actualización tecnológica</x:v>
      </x:c>
      <x:c r="C37" s="7" t="str">
        <x:f>'Catalogo Maestro'!D87</x:f>
        <x:v>Planificación</x:v>
      </x:c>
      <x:c r="D37" s="7" t="str">
        <x:f>'Catalogo Maestro'!F87</x:f>
        <x:v>Definición de estrategia de modernización</x:v>
      </x:c>
      <x:c r="E37" s="7" t="str">
        <x:f>'Catalogo Maestro'!G87</x:f>
        <x:v>Base obligatorio</x:v>
      </x:c>
      <x:c r="F37" s="16" t="n">
        <x:f>'Catalogo Maestro'!J87</x:f>
        <x:v>3</x:v>
      </x:c>
      <x:c r="G37" s="16" t="n">
        <x:f>'Catalogo Maestro'!K87</x:f>
        <x:v>2.0999999999999996</x:v>
      </x:c>
      <x:c r="H37" s="7" t="str">
        <x:f>'Catalogo Maestro'!L87</x:f>
        <x:v>Fases, prioridades, dependencias y reversa</x:v>
      </x:c>
      <x:c r="I37" s="12" t="n">
        <x:f>'Catalogo Maestro'!M87</x:f>
        <x:v>0</x:v>
      </x:c>
    </x:row>
    <x:row r="38">
      <x:c r="A38" s="11" t="str">
        <x:f>'Catalogo Maestro'!E88</x:f>
        <x:v>MNT3-004</x:v>
      </x:c>
      <x:c r="B38" s="7" t="str">
        <x:f>'Catalogo Maestro'!C88</x:f>
        <x:v>Modernización, refactorización y actualización tecnológica</x:v>
      </x:c>
      <x:c r="C38" s="7" t="str">
        <x:f>'Catalogo Maestro'!D88</x:f>
        <x:v>Preparación</x:v>
      </x:c>
      <x:c r="D38" s="7" t="str">
        <x:f>'Catalogo Maestro'!F88</x:f>
        <x:v>Creación de línea base de pruebas</x:v>
      </x:c>
      <x:c r="E38" s="7" t="str">
        <x:f>'Catalogo Maestro'!G88</x:f>
        <x:v>Base obligatorio</x:v>
      </x:c>
      <x:c r="F38" s="16" t="n">
        <x:f>'Catalogo Maestro'!J88</x:f>
        <x:v>2</x:v>
      </x:c>
      <x:c r="G38" s="16" t="n">
        <x:f>'Catalogo Maestro'!K88</x:f>
        <x:v>1.4</x:v>
      </x:c>
      <x:c r="H38" s="7" t="str">
        <x:f>'Catalogo Maestro'!L88</x:f>
        <x:v>Comportamiento actual protegido antes de cambios</x:v>
      </x:c>
      <x:c r="I38" s="12" t="n">
        <x:f>'Catalogo Maestro'!M88</x:f>
        <x:v>0</x:v>
      </x:c>
    </x:row>
    <x:row r="39" ht="24">
      <x:c r="A39" s="11" t="str">
        <x:f>'Catalogo Maestro'!E89</x:f>
        <x:v>MNT3-005</x:v>
      </x:c>
      <x:c r="B39" s="7" t="str">
        <x:f>'Catalogo Maestro'!C89</x:f>
        <x:v>Modernización, refactorización y actualización tecnológica</x:v>
      </x:c>
      <x:c r="C39" s="7" t="str">
        <x:f>'Catalogo Maestro'!D89</x:f>
        <x:v>Dependencias</x:v>
      </x:c>
      <x:c r="D39" s="7" t="str">
        <x:f>'Catalogo Maestro'!F89</x:f>
        <x:v>Actualización de dependencia estándar</x:v>
      </x:c>
      <x:c r="E39" s="7" t="str">
        <x:f>'Catalogo Maestro'!G89</x:f>
        <x:v>Base incluido</x:v>
      </x:c>
      <x:c r="F39" s="16" t="n">
        <x:f>'Catalogo Maestro'!J89</x:f>
        <x:v>0.75</x:v>
      </x:c>
      <x:c r="G39" s="16" t="n">
        <x:f>'Catalogo Maestro'!K89</x:f>
        <x:v>0.5249999999999999</x:v>
      </x:c>
      <x:c r="H39" s="7" t="str">
        <x:f>'Catalogo Maestro'!L89</x:f>
        <x:v>Actualización rutinaria de versión compatible, ajustes menores y verificación básica por dependencia.</x:v>
      </x:c>
      <x:c r="I39" s="12" t="str">
        <x:f>'Catalogo Maestro'!M89</x:f>
        <x:v>La remediación adicional de vulnerabilidades complejas se contabiliza en MNT3-009.</x:v>
      </x:c>
    </x:row>
    <x:row r="40">
      <x:c r="A40" s="11" t="str">
        <x:f>'Catalogo Maestro'!E90</x:f>
        <x:v>MNT3-006</x:v>
      </x:c>
      <x:c r="B40" s="7" t="str">
        <x:f>'Catalogo Maestro'!C90</x:f>
        <x:v>Modernización, refactorización y actualización tecnológica</x:v>
      </x:c>
      <x:c r="C40" s="7" t="str">
        <x:f>'Catalogo Maestro'!D90</x:f>
        <x:v>Código</x:v>
      </x:c>
      <x:c r="D40" s="7" t="str">
        <x:f>'Catalogo Maestro'!F90</x:f>
        <x:v>Refactorización de módulo</x:v>
      </x:c>
      <x:c r="E40" s="7" t="str">
        <x:f>'Catalogo Maestro'!G90</x:f>
        <x:v>Base incluido</x:v>
      </x:c>
      <x:c r="F40" s="16" t="n">
        <x:f>'Catalogo Maestro'!J90</x:f>
        <x:v>5</x:v>
      </x:c>
      <x:c r="G40" s="16" t="n">
        <x:f>'Catalogo Maestro'!K90</x:f>
        <x:v>3.5</x:v>
      </x:c>
      <x:c r="H40" s="7" t="str">
        <x:f>'Catalogo Maestro'!L90</x:f>
        <x:v>Separación de responsabilidades y legibilidad</x:v>
      </x:c>
      <x:c r="I40" s="12" t="n">
        <x:f>'Catalogo Maestro'!M90</x:f>
        <x:v>0</x:v>
      </x:c>
    </x:row>
    <x:row r="41">
      <x:c r="A41" s="11" t="str">
        <x:f>'Catalogo Maestro'!E91</x:f>
        <x:v>MNT3-007</x:v>
      </x:c>
      <x:c r="B41" s="7" t="str">
        <x:f>'Catalogo Maestro'!C91</x:f>
        <x:v>Modernización, refactorización y actualización tecnológica</x:v>
      </x:c>
      <x:c r="C41" s="7" t="str">
        <x:f>'Catalogo Maestro'!D91</x:f>
        <x:v>Arquitectura</x:v>
      </x:c>
      <x:c r="D41" s="7" t="str">
        <x:f>'Catalogo Maestro'!F91</x:f>
        <x:v>Extracción de componente reutilizable</x:v>
      </x:c>
      <x:c r="E41" s="7" t="str">
        <x:f>'Catalogo Maestro'!G91</x:f>
        <x:v>Opcional</x:v>
      </x:c>
      <x:c r="F41" s="16" t="n">
        <x:f>'Catalogo Maestro'!J91</x:f>
        <x:v>3</x:v>
      </x:c>
      <x:c r="G41" s="16" t="n">
        <x:f>'Catalogo Maestro'!K91</x:f>
        <x:v>2.0999999999999996</x:v>
      </x:c>
      <x:c r="H41" s="7" t="str">
        <x:f>'Catalogo Maestro'!L91</x:f>
        <x:v>Interfaces, pruebas y documentación</x:v>
      </x:c>
      <x:c r="I41" s="12" t="n">
        <x:f>'Catalogo Maestro'!M91</x:f>
        <x:v>0</x:v>
      </x:c>
    </x:row>
    <x:row r="42">
      <x:c r="A42" s="11" t="str">
        <x:f>'Catalogo Maestro'!E92</x:f>
        <x:v>MNT3-008</x:v>
      </x:c>
      <x:c r="B42" s="7" t="str">
        <x:f>'Catalogo Maestro'!C92</x:f>
        <x:v>Modernización, refactorización y actualización tecnológica</x:v>
      </x:c>
      <x:c r="C42" s="7" t="str">
        <x:f>'Catalogo Maestro'!D92</x:f>
        <x:v>Datos</x:v>
      </x:c>
      <x:c r="D42" s="7" t="str">
        <x:f>'Catalogo Maestro'!F92</x:f>
        <x:v>Migración o ajuste de esquema de datos</x:v>
      </x:c>
      <x:c r="E42" s="7" t="str">
        <x:f>'Catalogo Maestro'!G92</x:f>
        <x:v>Opcional</x:v>
      </x:c>
      <x:c r="F42" s="16" t="n">
        <x:f>'Catalogo Maestro'!J92</x:f>
        <x:v>4</x:v>
      </x:c>
      <x:c r="G42" s="16" t="n">
        <x:f>'Catalogo Maestro'!K92</x:f>
        <x:v>2.8</x:v>
      </x:c>
      <x:c r="H42" s="7" t="str">
        <x:f>'Catalogo Maestro'!L92</x:f>
        <x:v>Transformación, respaldo y conciliación</x:v>
      </x:c>
      <x:c r="I42" s="12" t="n">
        <x:f>'Catalogo Maestro'!M92</x:f>
        <x:v>0</x:v>
      </x:c>
    </x:row>
    <x:row r="43" ht="24">
      <x:c r="A43" s="11" t="str">
        <x:f>'Catalogo Maestro'!E93</x:f>
        <x:v>MNT3-009</x:v>
      </x:c>
      <x:c r="B43" s="7" t="str">
        <x:f>'Catalogo Maestro'!C93</x:f>
        <x:v>Modernización, refactorización y actualización tecnológica</x:v>
      </x:c>
      <x:c r="C43" s="7" t="str">
        <x:f>'Catalogo Maestro'!D93</x:f>
        <x:v>Seguridad</x:v>
      </x:c>
      <x:c r="D43" s="7" t="str">
        <x:f>'Catalogo Maestro'!F93</x:f>
        <x:v>Corrección de dependencias vulnerables</x:v>
      </x:c>
      <x:c r="E43" s="7" t="str">
        <x:f>'Catalogo Maestro'!G93</x:f>
        <x:v>Opcional</x:v>
      </x:c>
      <x:c r="F43" s="16" t="n">
        <x:f>'Catalogo Maestro'!J93</x:f>
        <x:v>1.5</x:v>
      </x:c>
      <x:c r="G43" s="16" t="n">
        <x:f>'Catalogo Maestro'!K93</x:f>
        <x:v>1.0499999999999998</x:v>
      </x:c>
      <x:c r="H43" s="7" t="str">
        <x:f>'Catalogo Maestro'!L93</x:f>
        <x:v>Análisis y remediación adicional cuando la actualización estándar no resuelve el hallazgo.</x:v>
      </x:c>
      <x:c r="I43" s="12" t="str">
        <x:f>'Catalogo Maestro'!M93</x:f>
        <x:v>No sumar si el hallazgo queda resuelto únicamente con MNT3-005.</x:v>
      </x:c>
    </x:row>
    <x:row r="44">
      <x:c r="A44" s="11" t="str">
        <x:f>'Catalogo Maestro'!E94</x:f>
        <x:v>MNT3-010</x:v>
      </x:c>
      <x:c r="B44" s="7" t="str">
        <x:f>'Catalogo Maestro'!C94</x:f>
        <x:v>Modernización, refactorización y actualización tecnológica</x:v>
      </x:c>
      <x:c r="C44" s="7" t="str">
        <x:f>'Catalogo Maestro'!D94</x:f>
        <x:v>Calidad</x:v>
      </x:c>
      <x:c r="D44" s="7" t="str">
        <x:f>'Catalogo Maestro'!F94</x:f>
        <x:v>Pruebas de regresión ampliadas</x:v>
      </x:c>
      <x:c r="E44" s="7" t="str">
        <x:f>'Catalogo Maestro'!G94</x:f>
        <x:v>Base obligatorio</x:v>
      </x:c>
      <x:c r="F44" s="16" t="n">
        <x:f>'Catalogo Maestro'!J94</x:f>
        <x:v>1</x:v>
      </x:c>
      <x:c r="G44" s="16" t="n">
        <x:f>'Catalogo Maestro'!K94</x:f>
        <x:v>0.7</x:v>
      </x:c>
      <x:c r="H44" s="7" t="str">
        <x:f>'Catalogo Maestro'!L94</x:f>
        <x:v>Flujos críticos y casos de error</x:v>
      </x:c>
      <x:c r="I44" s="12" t="n">
        <x:f>'Catalogo Maestro'!M94</x:f>
        <x:v>0</x:v>
      </x:c>
    </x:row>
    <x:row r="45">
      <x:c r="A45" s="11" t="str">
        <x:f>'Catalogo Maestro'!E95</x:f>
        <x:v>MNT3-011</x:v>
      </x:c>
      <x:c r="B45" s="7" t="str">
        <x:f>'Catalogo Maestro'!C95</x:f>
        <x:v>Modernización, refactorización y actualización tecnológica</x:v>
      </x:c>
      <x:c r="C45" s="7" t="str">
        <x:f>'Catalogo Maestro'!D95</x:f>
        <x:v>Rendimiento</x:v>
      </x:c>
      <x:c r="D45" s="7" t="str">
        <x:f>'Catalogo Maestro'!F95</x:f>
        <x:v>Comparación de rendimiento antes y después</x:v>
      </x:c>
      <x:c r="E45" s="7" t="str">
        <x:f>'Catalogo Maestro'!G95</x:f>
        <x:v>Opcional</x:v>
      </x:c>
      <x:c r="F45" s="16" t="n">
        <x:f>'Catalogo Maestro'!J95</x:f>
        <x:v>3</x:v>
      </x:c>
      <x:c r="G45" s="16" t="n">
        <x:f>'Catalogo Maestro'!K95</x:f>
        <x:v>2.0999999999999996</x:v>
      </x:c>
      <x:c r="H45" s="7" t="str">
        <x:f>'Catalogo Maestro'!L95</x:f>
        <x:v>Métricas acordadas y resultados</x:v>
      </x:c>
      <x:c r="I45" s="12" t="n">
        <x:f>'Catalogo Maestro'!M95</x:f>
        <x:v>0</x:v>
      </x:c>
    </x:row>
    <x:row r="46">
      <x:c r="A46" s="11" t="str">
        <x:f>'Catalogo Maestro'!E96</x:f>
        <x:v>MNT3-012</x:v>
      </x:c>
      <x:c r="B46" s="7" t="str">
        <x:f>'Catalogo Maestro'!C96</x:f>
        <x:v>Modernización, refactorización y actualización tecnológica</x:v>
      </x:c>
      <x:c r="C46" s="7" t="str">
        <x:f>'Catalogo Maestro'!D96</x:f>
        <x:v>Despliegue</x:v>
      </x:c>
      <x:c r="D46" s="7" t="str">
        <x:f>'Catalogo Maestro'!F96</x:f>
        <x:v>Plan de migración y reversa</x:v>
      </x:c>
      <x:c r="E46" s="7" t="str">
        <x:f>'Catalogo Maestro'!G96</x:f>
        <x:v>Base obligatorio</x:v>
      </x:c>
      <x:c r="F46" s="16" t="n">
        <x:f>'Catalogo Maestro'!J96</x:f>
        <x:v>2</x:v>
      </x:c>
      <x:c r="G46" s="16" t="n">
        <x:f>'Catalogo Maestro'!K96</x:f>
        <x:v>1.4</x:v>
      </x:c>
      <x:c r="H46" s="7" t="str">
        <x:f>'Catalogo Maestro'!L96</x:f>
        <x:v>Pasos, responsables, respaldo y retorno</x:v>
      </x:c>
      <x:c r="I46" s="12" t="n">
        <x:f>'Catalogo Maestro'!M96</x:f>
        <x:v>0</x:v>
      </x:c>
    </x:row>
    <x:row r="47">
      <x:c r="A47" s="11" t="str">
        <x:f>'Catalogo Maestro'!E97</x:f>
        <x:v>MNT3-013</x:v>
      </x:c>
      <x:c r="B47" s="7" t="str">
        <x:f>'Catalogo Maestro'!C97</x:f>
        <x:v>Modernización, refactorización y actualización tecnológica</x:v>
      </x:c>
      <x:c r="C47" s="7" t="str">
        <x:f>'Catalogo Maestro'!D97</x:f>
        <x:v>Despliegue</x:v>
      </x:c>
      <x:c r="D47" s="7" t="str">
        <x:f>'Catalogo Maestro'!F97</x:f>
        <x:v>Despliegue de modernización</x:v>
      </x:c>
      <x:c r="E47" s="7" t="str">
        <x:f>'Catalogo Maestro'!G97</x:f>
        <x:v>Base obligatorio</x:v>
      </x:c>
      <x:c r="F47" s="16" t="n">
        <x:f>'Catalogo Maestro'!J97</x:f>
        <x:v>3</x:v>
      </x:c>
      <x:c r="G47" s="16" t="n">
        <x:f>'Catalogo Maestro'!K97</x:f>
        <x:v>2.0999999999999996</x:v>
      </x:c>
      <x:c r="H47" s="7" t="str">
        <x:f>'Catalogo Maestro'!L97</x:f>
        <x:v>Ejecución, validación y seguimiento</x:v>
      </x:c>
      <x:c r="I47" s="12" t="n">
        <x:f>'Catalogo Maestro'!M97</x:f>
        <x:v>0</x:v>
      </x:c>
    </x:row>
    <x:row r="48">
      <x:c r="A48" s="11" t="str">
        <x:f>'Catalogo Maestro'!E98</x:f>
        <x:v>MNT3-014</x:v>
      </x:c>
      <x:c r="B48" s="7" t="str">
        <x:f>'Catalogo Maestro'!C98</x:f>
        <x:v>Modernización, refactorización y actualización tecnológica</x:v>
      </x:c>
      <x:c r="C48" s="7" t="str">
        <x:f>'Catalogo Maestro'!D98</x:f>
        <x:v>Cierre</x:v>
      </x:c>
      <x:c r="D48" s="7" t="str">
        <x:f>'Catalogo Maestro'!F98</x:f>
        <x:v>Actualización de documentación técnica</x:v>
      </x:c>
      <x:c r="E48" s="7" t="str">
        <x:f>'Catalogo Maestro'!G98</x:f>
        <x:v>Base obligatorio</x:v>
      </x:c>
      <x:c r="F48" s="16" t="n">
        <x:f>'Catalogo Maestro'!J98</x:f>
        <x:v>2.5</x:v>
      </x:c>
      <x:c r="G48" s="16" t="n">
        <x:f>'Catalogo Maestro'!K98</x:f>
        <x:v>1.75</x:v>
      </x:c>
      <x:c r="H48" s="7" t="str">
        <x:f>'Catalogo Maestro'!L98</x:f>
        <x:v>Arquitectura, dependencias y operación</x:v>
      </x:c>
      <x:c r="I48" s="12" t="n">
        <x:f>'Catalogo Maestro'!M98</x:f>
        <x:v>0</x:v>
      </x:c>
    </x:row>
    <x:row r="49">
      <x:c r="A49" s="11" t="str">
        <x:f>'Catalogo Maestro'!E99</x:f>
        <x:v>MNT4-001</x:v>
      </x:c>
      <x:c r="B49" s="7" t="str">
        <x:f>'Catalogo Maestro'!C99</x:f>
        <x:v>Optimización de rendimiento</x:v>
      </x:c>
      <x:c r="C49" s="7" t="str">
        <x:f>'Catalogo Maestro'!D99</x:f>
        <x:v>Medición</x:v>
      </x:c>
      <x:c r="D49" s="7" t="str">
        <x:f>'Catalogo Maestro'!F99</x:f>
        <x:v>Definición de indicadores y objetivos</x:v>
      </x:c>
      <x:c r="E49" s="7" t="str">
        <x:f>'Catalogo Maestro'!G99</x:f>
        <x:v>Base obligatorio</x:v>
      </x:c>
      <x:c r="F49" s="16" t="n">
        <x:f>'Catalogo Maestro'!J99</x:f>
        <x:v>1.5</x:v>
      </x:c>
      <x:c r="G49" s="16" t="n">
        <x:f>'Catalogo Maestro'!K99</x:f>
        <x:v>1.0499999999999998</x:v>
      </x:c>
      <x:c r="H49" s="7" t="str">
        <x:f>'Catalogo Maestro'!L99</x:f>
        <x:v>Tiempos, volumen y experiencia esperada</x:v>
      </x:c>
      <x:c r="I49" s="12" t="n">
        <x:f>'Catalogo Maestro'!M99</x:f>
        <x:v>0</x:v>
      </x:c>
    </x:row>
    <x:row r="50">
      <x:c r="A50" s="11" t="str">
        <x:f>'Catalogo Maestro'!E100</x:f>
        <x:v>MNT4-002</x:v>
      </x:c>
      <x:c r="B50" s="7" t="str">
        <x:f>'Catalogo Maestro'!C100</x:f>
        <x:v>Optimización de rendimiento</x:v>
      </x:c>
      <x:c r="C50" s="7" t="str">
        <x:f>'Catalogo Maestro'!D100</x:f>
        <x:v>Medición</x:v>
      </x:c>
      <x:c r="D50" s="7" t="str">
        <x:f>'Catalogo Maestro'!F100</x:f>
        <x:v>Captura de línea base previa a la optimización</x:v>
      </x:c>
      <x:c r="E50" s="7" t="str">
        <x:f>'Catalogo Maestro'!G100</x:f>
        <x:v>Base obligatorio</x:v>
      </x:c>
      <x:c r="F50" s="16" t="n">
        <x:f>'Catalogo Maestro'!J100</x:f>
        <x:v>2.5</x:v>
      </x:c>
      <x:c r="G50" s="16" t="n">
        <x:f>'Catalogo Maestro'!K100</x:f>
        <x:v>1.75</x:v>
      </x:c>
      <x:c r="H50" s="7" t="str">
        <x:f>'Catalogo Maestro'!L100</x:f>
        <x:v>Medición inicial reproducible antes de realizar cambios.</x:v>
      </x:c>
      <x:c r="I50" s="12" t="str">
        <x:f>'Catalogo Maestro'!M100</x:f>
        <x:v>La comparación final se contabiliza en MNT4-010.</x:v>
      </x:c>
    </x:row>
    <x:row r="51">
      <x:c r="A51" s="11" t="str">
        <x:f>'Catalogo Maestro'!E101</x:f>
        <x:v>MNT4-003</x:v>
      </x:c>
      <x:c r="B51" s="7" t="str">
        <x:f>'Catalogo Maestro'!C101</x:f>
        <x:v>Optimización de rendimiento</x:v>
      </x:c>
      <x:c r="C51" s="7" t="str">
        <x:f>'Catalogo Maestro'!D101</x:f>
        <x:v>Diagnóstico</x:v>
      </x:c>
      <x:c r="D51" s="7" t="str">
        <x:f>'Catalogo Maestro'!F101</x:f>
        <x:v>Perfilamiento de frontend</x:v>
      </x:c>
      <x:c r="E51" s="7" t="str">
        <x:f>'Catalogo Maestro'!G101</x:f>
        <x:v>Base incluido</x:v>
      </x:c>
      <x:c r="F51" s="16" t="n">
        <x:f>'Catalogo Maestro'!J101</x:f>
        <x:v>2.5</x:v>
      </x:c>
      <x:c r="G51" s="16" t="n">
        <x:f>'Catalogo Maestro'!K101</x:f>
        <x:v>1.75</x:v>
      </x:c>
      <x:c r="H51" s="7" t="str">
        <x:f>'Catalogo Maestro'!L101</x:f>
        <x:v>Carga, renderizado, recursos y red</x:v>
      </x:c>
      <x:c r="I51" s="12" t="n">
        <x:f>'Catalogo Maestro'!M101</x:f>
        <x:v>0</x:v>
      </x:c>
    </x:row>
    <x:row r="52">
      <x:c r="A52" s="11" t="str">
        <x:f>'Catalogo Maestro'!E102</x:f>
        <x:v>MNT4-004</x:v>
      </x:c>
      <x:c r="B52" s="7" t="str">
        <x:f>'Catalogo Maestro'!C102</x:f>
        <x:v>Optimización de rendimiento</x:v>
      </x:c>
      <x:c r="C52" s="7" t="str">
        <x:f>'Catalogo Maestro'!D102</x:f>
        <x:v>Diagnóstico</x:v>
      </x:c>
      <x:c r="D52" s="7" t="str">
        <x:f>'Catalogo Maestro'!F102</x:f>
        <x:v>Perfilamiento de backend y consultas</x:v>
      </x:c>
      <x:c r="E52" s="7" t="str">
        <x:f>'Catalogo Maestro'!G102</x:f>
        <x:v>Base incluido</x:v>
      </x:c>
      <x:c r="F52" s="16" t="n">
        <x:f>'Catalogo Maestro'!J102</x:f>
        <x:v>3</x:v>
      </x:c>
      <x:c r="G52" s="16" t="n">
        <x:f>'Catalogo Maestro'!K102</x:f>
        <x:v>2.0999999999999996</x:v>
      </x:c>
      <x:c r="H52" s="7" t="str">
        <x:f>'Catalogo Maestro'!L102</x:f>
        <x:v>Tiempos, consultas, bloqueos y recursos</x:v>
      </x:c>
      <x:c r="I52" s="12" t="n">
        <x:f>'Catalogo Maestro'!M102</x:f>
        <x:v>0</x:v>
      </x:c>
    </x:row>
    <x:row r="53">
      <x:c r="A53" s="11" t="str">
        <x:f>'Catalogo Maestro'!E103</x:f>
        <x:v>MNT4-005</x:v>
      </x:c>
      <x:c r="B53" s="7" t="str">
        <x:f>'Catalogo Maestro'!C103</x:f>
        <x:v>Optimización de rendimiento</x:v>
      </x:c>
      <x:c r="C53" s="7" t="str">
        <x:f>'Catalogo Maestro'!D103</x:f>
        <x:v>Optimización</x:v>
      </x:c>
      <x:c r="D53" s="7" t="str">
        <x:f>'Catalogo Maestro'!F103</x:f>
        <x:v>Optimización de recursos frontend</x:v>
      </x:c>
      <x:c r="E53" s="7" t="str">
        <x:f>'Catalogo Maestro'!G103</x:f>
        <x:v>Base incluido</x:v>
      </x:c>
      <x:c r="F53" s="16" t="n">
        <x:f>'Catalogo Maestro'!J103</x:f>
        <x:v>3</x:v>
      </x:c>
      <x:c r="G53" s="16" t="n">
        <x:f>'Catalogo Maestro'!K103</x:f>
        <x:v>2.0999999999999996</x:v>
      </x:c>
      <x:c r="H53" s="7" t="str">
        <x:f>'Catalogo Maestro'!L103</x:f>
        <x:v>Imágenes, carga diferida y empaquetado</x:v>
      </x:c>
      <x:c r="I53" s="12" t="n">
        <x:f>'Catalogo Maestro'!M103</x:f>
        <x:v>0</x:v>
      </x:c>
    </x:row>
    <x:row r="54">
      <x:c r="A54" s="11" t="str">
        <x:f>'Catalogo Maestro'!E104</x:f>
        <x:v>MNT4-006</x:v>
      </x:c>
      <x:c r="B54" s="7" t="str">
        <x:f>'Catalogo Maestro'!C104</x:f>
        <x:v>Optimización de rendimiento</x:v>
      </x:c>
      <x:c r="C54" s="7" t="str">
        <x:f>'Catalogo Maestro'!D104</x:f>
        <x:v>Optimización</x:v>
      </x:c>
      <x:c r="D54" s="7" t="str">
        <x:f>'Catalogo Maestro'!F104</x:f>
        <x:v>Optimización de consulta o endpoint</x:v>
      </x:c>
      <x:c r="E54" s="7" t="str">
        <x:f>'Catalogo Maestro'!G104</x:f>
        <x:v>Base incluido</x:v>
      </x:c>
      <x:c r="F54" s="16" t="n">
        <x:f>'Catalogo Maestro'!J104</x:f>
        <x:v>1.5</x:v>
      </x:c>
      <x:c r="G54" s="16" t="n">
        <x:f>'Catalogo Maestro'!K104</x:f>
        <x:v>1.0499999999999998</x:v>
      </x:c>
      <x:c r="H54" s="7" t="str">
        <x:f>'Catalogo Maestro'!L104</x:f>
        <x:v>Índices, filtros, caché o reescritura</x:v>
      </x:c>
      <x:c r="I54" s="12" t="n">
        <x:f>'Catalogo Maestro'!M104</x:f>
        <x:v>0</x:v>
      </x:c>
    </x:row>
    <x:row r="55">
      <x:c r="A55" s="11" t="str">
        <x:f>'Catalogo Maestro'!E105</x:f>
        <x:v>MNT4-007</x:v>
      </x:c>
      <x:c r="B55" s="7" t="str">
        <x:f>'Catalogo Maestro'!C105</x:f>
        <x:v>Optimización de rendimiento</x:v>
      </x:c>
      <x:c r="C55" s="7" t="str">
        <x:f>'Catalogo Maestro'!D105</x:f>
        <x:v>Optimización</x:v>
      </x:c>
      <x:c r="D55" s="7" t="str">
        <x:f>'Catalogo Maestro'!F105</x:f>
        <x:v>Configuración de caché</x:v>
      </x:c>
      <x:c r="E55" s="7" t="str">
        <x:f>'Catalogo Maestro'!G105</x:f>
        <x:v>Opcional</x:v>
      </x:c>
      <x:c r="F55" s="16" t="n">
        <x:f>'Catalogo Maestro'!J105</x:f>
        <x:v>2.5</x:v>
      </x:c>
      <x:c r="G55" s="16" t="n">
        <x:f>'Catalogo Maestro'!K105</x:f>
        <x:v>1.75</x:v>
      </x:c>
      <x:c r="H55" s="7" t="str">
        <x:f>'Catalogo Maestro'!L105</x:f>
        <x:v>Política, expiración e invalidación</x:v>
      </x:c>
      <x:c r="I55" s="12" t="n">
        <x:f>'Catalogo Maestro'!M105</x:f>
        <x:v>0</x:v>
      </x:c>
    </x:row>
    <x:row r="56">
      <x:c r="A56" s="11" t="str">
        <x:f>'Catalogo Maestro'!E106</x:f>
        <x:v>MNT4-008</x:v>
      </x:c>
      <x:c r="B56" s="7" t="str">
        <x:f>'Catalogo Maestro'!C106</x:f>
        <x:v>Optimización de rendimiento</x:v>
      </x:c>
      <x:c r="C56" s="7" t="str">
        <x:f>'Catalogo Maestro'!D106</x:f>
        <x:v>Optimización</x:v>
      </x:c>
      <x:c r="D56" s="7" t="str">
        <x:f>'Catalogo Maestro'!F106</x:f>
        <x:v>Paginación y reducción de volumen</x:v>
      </x:c>
      <x:c r="E56" s="7" t="str">
        <x:f>'Catalogo Maestro'!G106</x:f>
        <x:v>Opcional</x:v>
      </x:c>
      <x:c r="F56" s="16" t="n">
        <x:f>'Catalogo Maestro'!J106</x:f>
        <x:v>2</x:v>
      </x:c>
      <x:c r="G56" s="16" t="n">
        <x:f>'Catalogo Maestro'!K106</x:f>
        <x:v>1.4</x:v>
      </x:c>
      <x:c r="H56" s="7" t="str">
        <x:f>'Catalogo Maestro'!L106</x:f>
        <x:v>Carga incremental y límites</x:v>
      </x:c>
      <x:c r="I56" s="12" t="n">
        <x:f>'Catalogo Maestro'!M106</x:f>
        <x:v>0</x:v>
      </x:c>
    </x:row>
    <x:row r="57">
      <x:c r="A57" s="11" t="str">
        <x:f>'Catalogo Maestro'!E107</x:f>
        <x:v>MNT4-009</x:v>
      </x:c>
      <x:c r="B57" s="7" t="str">
        <x:f>'Catalogo Maestro'!C107</x:f>
        <x:v>Optimización de rendimiento</x:v>
      </x:c>
      <x:c r="C57" s="7" t="str">
        <x:f>'Catalogo Maestro'!D107</x:f>
        <x:v>Validación</x:v>
      </x:c>
      <x:c r="D57" s="7" t="str">
        <x:f>'Catalogo Maestro'!F107</x:f>
        <x:v>Prueba de carga controlada</x:v>
      </x:c>
      <x:c r="E57" s="7" t="str">
        <x:f>'Catalogo Maestro'!G107</x:f>
        <x:v>Opcional</x:v>
      </x:c>
      <x:c r="F57" s="16" t="n">
        <x:f>'Catalogo Maestro'!J107</x:f>
        <x:v>3</x:v>
      </x:c>
      <x:c r="G57" s="16" t="n">
        <x:f>'Catalogo Maestro'!K107</x:f>
        <x:v>2.0999999999999996</x:v>
      </x:c>
      <x:c r="H57" s="7" t="str">
        <x:f>'Catalogo Maestro'!L107</x:f>
        <x:v>Volumen y concurrencia acordados</x:v>
      </x:c>
      <x:c r="I57" s="12" t="str">
        <x:f>'Catalogo Maestro'!M107</x:f>
        <x:v>Pruebas de estrés masivas</x:v>
      </x:c>
    </x:row>
    <x:row r="58">
      <x:c r="A58" s="11" t="str">
        <x:f>'Catalogo Maestro'!E108</x:f>
        <x:v>MNT4-010</x:v>
      </x:c>
      <x:c r="B58" s="7" t="str">
        <x:f>'Catalogo Maestro'!C108</x:f>
        <x:v>Optimización de rendimiento</x:v>
      </x:c>
      <x:c r="C58" s="7" t="str">
        <x:f>'Catalogo Maestro'!D108</x:f>
        <x:v>Validación</x:v>
      </x:c>
      <x:c r="D58" s="7" t="str">
        <x:f>'Catalogo Maestro'!F108</x:f>
        <x:v>Medición final y comparación antes/después</x:v>
      </x:c>
      <x:c r="E58" s="7" t="str">
        <x:f>'Catalogo Maestro'!G108</x:f>
        <x:v>Base obligatorio</x:v>
      </x:c>
      <x:c r="F58" s="16" t="n">
        <x:f>'Catalogo Maestro'!J108</x:f>
        <x:v>2</x:v>
      </x:c>
      <x:c r="G58" s="16" t="n">
        <x:f>'Catalogo Maestro'!K108</x:f>
        <x:v>1.4</x:v>
      </x:c>
      <x:c r="H58" s="7" t="str">
        <x:f>'Catalogo Maestro'!L108</x:f>
        <x:v>Repetición de la medición inicial y comparación documentada de resultados.</x:v>
      </x:c>
      <x:c r="I58" s="12" t="str">
        <x:f>'Catalogo Maestro'!M108</x:f>
        <x:v>No vuelve a incluir la captura inicial de MNT4-002.</x:v>
      </x:c>
    </x:row>
    <x:row r="59">
      <x:c r="A59" s="11" t="str">
        <x:f>'Catalogo Maestro'!E109</x:f>
        <x:v>MNT4-011</x:v>
      </x:c>
      <x:c r="B59" s="7" t="str">
        <x:f>'Catalogo Maestro'!C109</x:f>
        <x:v>Optimización de rendimiento</x:v>
      </x:c>
      <x:c r="C59" s="7" t="str">
        <x:f>'Catalogo Maestro'!D109</x:f>
        <x:v>Despliegue</x:v>
      </x:c>
      <x:c r="D59" s="7" t="str">
        <x:f>'Catalogo Maestro'!F109</x:f>
        <x:v>Despliegue y monitoreo posterior</x:v>
      </x:c>
      <x:c r="E59" s="7" t="str">
        <x:f>'Catalogo Maestro'!G109</x:f>
        <x:v>Base obligatorio</x:v>
      </x:c>
      <x:c r="F59" s="16" t="n">
        <x:f>'Catalogo Maestro'!J109</x:f>
        <x:v>2</x:v>
      </x:c>
      <x:c r="G59" s="16" t="n">
        <x:f>'Catalogo Maestro'!K109</x:f>
        <x:v>1.4</x:v>
      </x:c>
      <x:c r="H59" s="7" t="str">
        <x:f>'Catalogo Maestro'!L109</x:f>
        <x:v>Despliegue, métricas y seguimiento</x:v>
      </x:c>
      <x:c r="I59" s="12" t="n">
        <x:f>'Catalogo Maestro'!M109</x:f>
        <x:v>0</x:v>
      </x:c>
    </x:row>
    <x:row r="60">
      <x:c r="A60" s="13" t="str">
        <x:f>'Catalogo Maestro'!E110</x:f>
        <x:v>MNT4-012</x:v>
      </x:c>
      <x:c r="B60" s="14" t="str">
        <x:f>'Catalogo Maestro'!C110</x:f>
        <x:v>Optimización de rendimiento</x:v>
      </x:c>
      <x:c r="C60" s="14" t="str">
        <x:f>'Catalogo Maestro'!D110</x:f>
        <x:v>Cierre</x:v>
      </x:c>
      <x:c r="D60" s="14" t="str">
        <x:f>'Catalogo Maestro'!F110</x:f>
        <x:v>Documentación de optimizaciones</x:v>
      </x:c>
      <x:c r="E60" s="14" t="str">
        <x:f>'Catalogo Maestro'!G110</x:f>
        <x:v>Base obligatorio</x:v>
      </x:c>
      <x:c r="F60" s="22" t="n">
        <x:f>'Catalogo Maestro'!J110</x:f>
        <x:v>1</x:v>
      </x:c>
      <x:c r="G60" s="22" t="n">
        <x:f>'Catalogo Maestro'!K110</x:f>
        <x:v>0.7</x:v>
      </x:c>
      <x:c r="H60" s="14" t="str">
        <x:f>'Catalogo Maestro'!L110</x:f>
        <x:v>Cambios, resultados y próximos pasos</x:v>
      </x:c>
      <x:c r="I60" s="15" t="n">
        <x:f>'Catalogo Maestro'!M110</x:f>
        <x:v>0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42" customWidth="1"/>
    <x:col min="3" max="3" width="18" customWidth="1"/>
    <x:col min="4" max="4" width="48" customWidth="1"/>
    <x:col min="5" max="5" width="18" customWidth="1"/>
    <x:col min="6" max="7" width="16" customWidth="1"/>
    <x:col min="8" max="8" width="62" customWidth="1"/>
    <x:col min="9" max="9" width="52" customWidth="1"/>
  </x:cols>
  <x:sheetData>
    <x:row r="1" ht="33.95000076293945" customHeight="1">
      <x:c r="A1" s="36" t="s">
        <x:v>1142</x:v>
      </x:c>
      <x:c r="B1" s="36"/>
      <x:c r="C1" s="36"/>
      <x:c r="D1" s="36"/>
      <x:c r="E1" s="36"/>
      <x:c r="F1" s="36"/>
      <x:c r="G1" s="36"/>
      <x:c r="H1" s="36"/>
      <x:c r="I1" s="36"/>
    </x:row>
    <x:row r="3" ht="33.95000076293945" customHeight="1">
      <x:c r="A3" s="37" t="s">
        <x:v>1139</x:v>
      </x:c>
      <x:c r="B3" s="37"/>
      <x:c r="C3" s="37"/>
      <x:c r="D3" s="37"/>
      <x:c r="E3" s="37"/>
      <x:c r="F3" s="37"/>
      <x:c r="G3" s="37"/>
      <x:c r="H3" s="37"/>
      <x:c r="I3" s="37"/>
    </x:row>
    <x:row r="5" ht="27.950000762939453" customHeight="1">
      <x:c r="A5" s="6" t="s">
        <x:v>95</x:v>
      </x:c>
      <x:c r="B5" s="6" t="s">
        <x:v>496</x:v>
      </x:c>
      <x:c r="C5" s="6" t="s">
        <x:v>149</x:v>
      </x:c>
      <x:c r="D5" s="6" t="s">
        <x:v>151</x:v>
      </x:c>
      <x:c r="E5" s="6" t="s">
        <x:v>152</x:v>
      </x:c>
      <x:c r="F5" s="6" t="s">
        <x:v>1140</x:v>
      </x:c>
      <x:c r="G5" s="6" t="s">
        <x:v>99</x:v>
      </x:c>
      <x:c r="H5" s="6" t="s">
        <x:v>156</x:v>
      </x:c>
      <x:c r="I5" s="6" t="s">
        <x:v>157</x:v>
      </x:c>
    </x:row>
    <x:row r="6">
      <x:c r="A6" s="8" t="str">
        <x:f>'Catalogo Maestro'!E111</x:f>
        <x:v>MON1-001</x:v>
      </x:c>
      <x:c r="B6" s="9" t="str">
        <x:f>'Catalogo Maestro'!C111</x:f>
        <x:v>Monitoreo de disponibilidad</x:v>
      </x:c>
      <x:c r="C6" s="9" t="str">
        <x:f>'Catalogo Maestro'!D111</x:f>
        <x:v>Diagnóstico</x:v>
      </x:c>
      <x:c r="D6" s="9" t="str">
        <x:f>'Catalogo Maestro'!F111</x:f>
        <x:v>Inventario de servicios y endpoints</x:v>
      </x:c>
      <x:c r="E6" s="9" t="str">
        <x:f>'Catalogo Maestro'!G111</x:f>
        <x:v>Base obligatorio</x:v>
      </x:c>
      <x:c r="F6" s="21" t="n">
        <x:f>'Catalogo Maestro'!J111</x:f>
        <x:v>0.75</x:v>
      </x:c>
      <x:c r="G6" s="21" t="n">
        <x:f>'Catalogo Maestro'!K111</x:f>
        <x:v>0.5249999999999999</x:v>
      </x:c>
      <x:c r="H6" s="9" t="str">
        <x:f>'Catalogo Maestro'!L111</x:f>
        <x:v>URLs, APIs, jobs y dependencias</x:v>
      </x:c>
      <x:c r="I6" s="10" t="n">
        <x:f>'Catalogo Maestro'!M111</x:f>
        <x:v>0</x:v>
      </x:c>
    </x:row>
    <x:row r="7">
      <x:c r="A7" s="11" t="str">
        <x:f>'Catalogo Maestro'!E112</x:f>
        <x:v>MON1-002</x:v>
      </x:c>
      <x:c r="B7" s="7" t="str">
        <x:f>'Catalogo Maestro'!C112</x:f>
        <x:v>Monitoreo de disponibilidad</x:v>
      </x:c>
      <x:c r="C7" s="7" t="str">
        <x:f>'Catalogo Maestro'!D112</x:f>
        <x:v>Diseño</x:v>
      </x:c>
      <x:c r="D7" s="7" t="str">
        <x:f>'Catalogo Maestro'!F112</x:f>
        <x:v>Definición de indicadores de disponibilidad</x:v>
      </x:c>
      <x:c r="E7" s="7" t="str">
        <x:f>'Catalogo Maestro'!G112</x:f>
        <x:v>Base obligatorio</x:v>
      </x:c>
      <x:c r="F7" s="16" t="n">
        <x:f>'Catalogo Maestro'!J112</x:f>
        <x:v>0.75</x:v>
      </x:c>
      <x:c r="G7" s="16" t="n">
        <x:f>'Catalogo Maestro'!K112</x:f>
        <x:v>0.5249999999999999</x:v>
      </x:c>
      <x:c r="H7" s="7" t="str">
        <x:f>'Catalogo Maestro'!L112</x:f>
        <x:v>Estado, latencia, código y contenido esperado</x:v>
      </x:c>
      <x:c r="I7" s="12" t="n">
        <x:f>'Catalogo Maestro'!M112</x:f>
        <x:v>0</x:v>
      </x:c>
    </x:row>
    <x:row r="8">
      <x:c r="A8" s="11" t="str">
        <x:f>'Catalogo Maestro'!E113</x:f>
        <x:v>MON1-003</x:v>
      </x:c>
      <x:c r="B8" s="7" t="str">
        <x:f>'Catalogo Maestro'!C113</x:f>
        <x:v>Monitoreo de disponibilidad</x:v>
      </x:c>
      <x:c r="C8" s="7" t="str">
        <x:f>'Catalogo Maestro'!D113</x:f>
        <x:v>Configuración</x:v>
      </x:c>
      <x:c r="D8" s="7" t="str">
        <x:f>'Catalogo Maestro'!F113</x:f>
        <x:v>Configuración de chequeo HTTP o endpoint</x:v>
      </x:c>
      <x:c r="E8" s="7" t="str">
        <x:f>'Catalogo Maestro'!G113</x:f>
        <x:v>Base incluido</x:v>
      </x:c>
      <x:c r="F8" s="16" t="n">
        <x:f>'Catalogo Maestro'!J113</x:f>
        <x:v>1</x:v>
      </x:c>
      <x:c r="G8" s="16" t="n">
        <x:f>'Catalogo Maestro'!K113</x:f>
        <x:v>0.7</x:v>
      </x:c>
      <x:c r="H8" s="7" t="str">
        <x:f>'Catalogo Maestro'!L113</x:f>
        <x:v>Frecuencia, timeout y criterio de éxito</x:v>
      </x:c>
      <x:c r="I8" s="12" t="n">
        <x:f>'Catalogo Maestro'!M113</x:f>
        <x:v>0</x:v>
      </x:c>
    </x:row>
    <x:row r="9">
      <x:c r="A9" s="11" t="str">
        <x:f>'Catalogo Maestro'!E114</x:f>
        <x:v>MON1-004</x:v>
      </x:c>
      <x:c r="B9" s="7" t="str">
        <x:f>'Catalogo Maestro'!C114</x:f>
        <x:v>Monitoreo de disponibilidad</x:v>
      </x:c>
      <x:c r="C9" s="7" t="str">
        <x:f>'Catalogo Maestro'!D114</x:f>
        <x:v>Configuración</x:v>
      </x:c>
      <x:c r="D9" s="7" t="str">
        <x:f>'Catalogo Maestro'!F114</x:f>
        <x:v>Configuración de alertas</x:v>
      </x:c>
      <x:c r="E9" s="7" t="str">
        <x:f>'Catalogo Maestro'!G114</x:f>
        <x:v>Base incluido</x:v>
      </x:c>
      <x:c r="F9" s="16" t="n">
        <x:f>'Catalogo Maestro'!J114</x:f>
        <x:v>1</x:v>
      </x:c>
      <x:c r="G9" s="16" t="n">
        <x:f>'Catalogo Maestro'!K114</x:f>
        <x:v>0.7</x:v>
      </x:c>
      <x:c r="H9" s="7" t="str">
        <x:f>'Catalogo Maestro'!L114</x:f>
        <x:v>Umbrales, destinatarios y escalamiento</x:v>
      </x:c>
      <x:c r="I9" s="12" t="n">
        <x:f>'Catalogo Maestro'!M114</x:f>
        <x:v>0</x:v>
      </x:c>
    </x:row>
    <x:row r="10">
      <x:c r="A10" s="11" t="str">
        <x:f>'Catalogo Maestro'!E115</x:f>
        <x:v>MON1-005</x:v>
      </x:c>
      <x:c r="B10" s="7" t="str">
        <x:f>'Catalogo Maestro'!C115</x:f>
        <x:v>Monitoreo de disponibilidad</x:v>
      </x:c>
      <x:c r="C10" s="7" t="str">
        <x:f>'Catalogo Maestro'!D115</x:f>
        <x:v>Configuración</x:v>
      </x:c>
      <x:c r="D10" s="7" t="str">
        <x:f>'Catalogo Maestro'!F115</x:f>
        <x:v>Ventanas de mantenimiento</x:v>
      </x:c>
      <x:c r="E10" s="7" t="str">
        <x:f>'Catalogo Maestro'!G115</x:f>
        <x:v>Opcional</x:v>
      </x:c>
      <x:c r="F10" s="16" t="n">
        <x:f>'Catalogo Maestro'!J115</x:f>
        <x:v>0.5</x:v>
      </x:c>
      <x:c r="G10" s="16" t="n">
        <x:f>'Catalogo Maestro'!K115</x:f>
        <x:v>0.35</x:v>
      </x:c>
      <x:c r="H10" s="7" t="str">
        <x:f>'Catalogo Maestro'!L115</x:f>
        <x:v>Supresión de alertas planificadas</x:v>
      </x:c>
      <x:c r="I10" s="12" t="n">
        <x:f>'Catalogo Maestro'!M115</x:f>
        <x:v>0</x:v>
      </x:c>
    </x:row>
    <x:row r="11">
      <x:c r="A11" s="11" t="str">
        <x:f>'Catalogo Maestro'!E116</x:f>
        <x:v>MON1-006</x:v>
      </x:c>
      <x:c r="B11" s="7" t="str">
        <x:f>'Catalogo Maestro'!C116</x:f>
        <x:v>Monitoreo de disponibilidad</x:v>
      </x:c>
      <x:c r="C11" s="7" t="str">
        <x:f>'Catalogo Maestro'!D116</x:f>
        <x:v>Visualización</x:v>
      </x:c>
      <x:c r="D11" s="7" t="str">
        <x:f>'Catalogo Maestro'!F116</x:f>
        <x:v>Dashboard de disponibilidad</x:v>
      </x:c>
      <x:c r="E11" s="7" t="str">
        <x:f>'Catalogo Maestro'!G116</x:f>
        <x:v>Base incluido</x:v>
      </x:c>
      <x:c r="F11" s="16" t="n">
        <x:f>'Catalogo Maestro'!J116</x:f>
        <x:v>2.5</x:v>
      </x:c>
      <x:c r="G11" s="16" t="n">
        <x:f>'Catalogo Maestro'!K116</x:f>
        <x:v>1.75</x:v>
      </x:c>
      <x:c r="H11" s="7" t="str">
        <x:f>'Catalogo Maestro'!L116</x:f>
        <x:v>Estado, histórico y tendencia</x:v>
      </x:c>
      <x:c r="I11" s="12" t="n">
        <x:f>'Catalogo Maestro'!M116</x:f>
        <x:v>0</x:v>
      </x:c>
    </x:row>
    <x:row r="12">
      <x:c r="A12" s="11" t="str">
        <x:f>'Catalogo Maestro'!E117</x:f>
        <x:v>MON1-007</x:v>
      </x:c>
      <x:c r="B12" s="7" t="str">
        <x:f>'Catalogo Maestro'!C117</x:f>
        <x:v>Monitoreo de disponibilidad</x:v>
      </x:c>
      <x:c r="C12" s="7" t="str">
        <x:f>'Catalogo Maestro'!D117</x:f>
        <x:v>Reportes</x:v>
      </x:c>
      <x:c r="D12" s="7" t="str">
        <x:f>'Catalogo Maestro'!F117</x:f>
        <x:v>Reporte periódico de disponibilidad</x:v>
      </x:c>
      <x:c r="E12" s="7" t="str">
        <x:f>'Catalogo Maestro'!G117</x:f>
        <x:v>Base incluido</x:v>
      </x:c>
      <x:c r="F12" s="16" t="n">
        <x:f>'Catalogo Maestro'!J117</x:f>
        <x:v>2</x:v>
      </x:c>
      <x:c r="G12" s="16" t="n">
        <x:f>'Catalogo Maestro'!K117</x:f>
        <x:v>1.4</x:v>
      </x:c>
      <x:c r="H12" s="7" t="str">
        <x:f>'Catalogo Maestro'!L117</x:f>
        <x:v>Disponibilidad, eventos y observaciones</x:v>
      </x:c>
      <x:c r="I12" s="12" t="n">
        <x:f>'Catalogo Maestro'!M117</x:f>
        <x:v>0</x:v>
      </x:c>
    </x:row>
    <x:row r="13">
      <x:c r="A13" s="11" t="str">
        <x:f>'Catalogo Maestro'!E118</x:f>
        <x:v>MON1-008</x:v>
      </x:c>
      <x:c r="B13" s="7" t="str">
        <x:f>'Catalogo Maestro'!C118</x:f>
        <x:v>Monitoreo de disponibilidad</x:v>
      </x:c>
      <x:c r="C13" s="7" t="str">
        <x:f>'Catalogo Maestro'!D118</x:f>
        <x:v>Calidad</x:v>
      </x:c>
      <x:c r="D13" s="7" t="str">
        <x:f>'Catalogo Maestro'!F118</x:f>
        <x:v>Prueba de caída y recuperación</x:v>
      </x:c>
      <x:c r="E13" s="7" t="str">
        <x:f>'Catalogo Maestro'!G118</x:f>
        <x:v>Base obligatorio</x:v>
      </x:c>
      <x:c r="F13" s="16" t="n">
        <x:f>'Catalogo Maestro'!J118</x:f>
        <x:v>1</x:v>
      </x:c>
      <x:c r="G13" s="16" t="n">
        <x:f>'Catalogo Maestro'!K118</x:f>
        <x:v>0.7</x:v>
      </x:c>
      <x:c r="H13" s="7" t="str">
        <x:f>'Catalogo Maestro'!L118</x:f>
        <x:v>Detección, notificación y recuperación</x:v>
      </x:c>
      <x:c r="I13" s="12" t="n">
        <x:f>'Catalogo Maestro'!M118</x:f>
        <x:v>0</x:v>
      </x:c>
    </x:row>
    <x:row r="14">
      <x:c r="A14" s="11" t="str">
        <x:f>'Catalogo Maestro'!E119</x:f>
        <x:v>MON1-009</x:v>
      </x:c>
      <x:c r="B14" s="7" t="str">
        <x:f>'Catalogo Maestro'!C119</x:f>
        <x:v>Monitoreo de disponibilidad</x:v>
      </x:c>
      <x:c r="C14" s="7" t="str">
        <x:f>'Catalogo Maestro'!D119</x:f>
        <x:v>Operación</x:v>
      </x:c>
      <x:c r="D14" s="7" t="str">
        <x:f>'Catalogo Maestro'!F119</x:f>
        <x:v>Runbook de respuesta a indisponibilidad</x:v>
      </x:c>
      <x:c r="E14" s="7" t="str">
        <x:f>'Catalogo Maestro'!G119</x:f>
        <x:v>Base obligatorio</x:v>
      </x:c>
      <x:c r="F14" s="16" t="n">
        <x:f>'Catalogo Maestro'!J119</x:f>
        <x:v>1.5</x:v>
      </x:c>
      <x:c r="G14" s="16" t="n">
        <x:f>'Catalogo Maestro'!K119</x:f>
        <x:v>1.0499999999999998</x:v>
      </x:c>
      <x:c r="H14" s="7" t="str">
        <x:f>'Catalogo Maestro'!L119</x:f>
        <x:v>Validación, escalamiento y comunicación</x:v>
      </x:c>
      <x:c r="I14" s="12" t="n">
        <x:f>'Catalogo Maestro'!M119</x:f>
        <x:v>0</x:v>
      </x:c>
    </x:row>
    <x:row r="15">
      <x:c r="A15" s="11" t="str">
        <x:f>'Catalogo Maestro'!E120</x:f>
        <x:v>MON1-010</x:v>
      </x:c>
      <x:c r="B15" s="7" t="str">
        <x:f>'Catalogo Maestro'!C120</x:f>
        <x:v>Monitoreo de disponibilidad</x:v>
      </x:c>
      <x:c r="C15" s="7" t="str">
        <x:f>'Catalogo Maestro'!D120</x:f>
        <x:v>Despliegue</x:v>
      </x:c>
      <x:c r="D15" s="7" t="str">
        <x:f>'Catalogo Maestro'!F120</x:f>
        <x:v>Puesta en marcha y estabilización</x:v>
      </x:c>
      <x:c r="E15" s="7" t="str">
        <x:f>'Catalogo Maestro'!G120</x:f>
        <x:v>Base obligatorio</x:v>
      </x:c>
      <x:c r="F15" s="16" t="n">
        <x:f>'Catalogo Maestro'!J120</x:f>
        <x:v>1.5</x:v>
      </x:c>
      <x:c r="G15" s="16" t="n">
        <x:f>'Catalogo Maestro'!K120</x:f>
        <x:v>1.0499999999999998</x:v>
      </x:c>
      <x:c r="H15" s="7" t="str">
        <x:f>'Catalogo Maestro'!L120</x:f>
        <x:v>Activación, observación y ajustes</x:v>
      </x:c>
      <x:c r="I15" s="12" t="n">
        <x:f>'Catalogo Maestro'!M120</x:f>
        <x:v>0</x:v>
      </x:c>
    </x:row>
    <x:row r="16">
      <x:c r="A16" s="11" t="str">
        <x:f>'Catalogo Maestro'!E121</x:f>
        <x:v>MON2-001</x:v>
      </x:c>
      <x:c r="B16" s="7" t="str">
        <x:f>'Catalogo Maestro'!C121</x:f>
        <x:v>Centralización de logs y trazabilidad</x:v>
      </x:c>
      <x:c r="C16" s="7" t="str">
        <x:f>'Catalogo Maestro'!D121</x:f>
        <x:v>Diagnóstico</x:v>
      </x:c>
      <x:c r="D16" s="7" t="str">
        <x:f>'Catalogo Maestro'!F121</x:f>
        <x:v>Inventario de fuentes de logs</x:v>
      </x:c>
      <x:c r="E16" s="7" t="str">
        <x:f>'Catalogo Maestro'!G121</x:f>
        <x:v>Base obligatorio</x:v>
      </x:c>
      <x:c r="F16" s="16" t="n">
        <x:f>'Catalogo Maestro'!J121</x:f>
        <x:v>0.75</x:v>
      </x:c>
      <x:c r="G16" s="16" t="n">
        <x:f>'Catalogo Maestro'!K121</x:f>
        <x:v>0.5249999999999999</x:v>
      </x:c>
      <x:c r="H16" s="7" t="str">
        <x:f>'Catalogo Maestro'!L121</x:f>
        <x:v>Aplicación, servidor, base de datos y servicios</x:v>
      </x:c>
      <x:c r="I16" s="12" t="n">
        <x:f>'Catalogo Maestro'!M121</x:f>
        <x:v>0</x:v>
      </x:c>
    </x:row>
    <x:row r="17">
      <x:c r="A17" s="11" t="str">
        <x:f>'Catalogo Maestro'!E122</x:f>
        <x:v>MON2-002</x:v>
      </x:c>
      <x:c r="B17" s="7" t="str">
        <x:f>'Catalogo Maestro'!C122</x:f>
        <x:v>Centralización de logs y trazabilidad</x:v>
      </x:c>
      <x:c r="C17" s="7" t="str">
        <x:f>'Catalogo Maestro'!D122</x:f>
        <x:v>Diseño</x:v>
      </x:c>
      <x:c r="D17" s="7" t="str">
        <x:f>'Catalogo Maestro'!F122</x:f>
        <x:v>Definición de estructura y campos comunes</x:v>
      </x:c>
      <x:c r="E17" s="7" t="str">
        <x:f>'Catalogo Maestro'!G122</x:f>
        <x:v>Base obligatorio</x:v>
      </x:c>
      <x:c r="F17" s="16" t="n">
        <x:f>'Catalogo Maestro'!J122</x:f>
        <x:v>2</x:v>
      </x:c>
      <x:c r="G17" s="16" t="n">
        <x:f>'Catalogo Maestro'!K122</x:f>
        <x:v>1.4</x:v>
      </x:c>
      <x:c r="H17" s="7" t="str">
        <x:f>'Catalogo Maestro'!L122</x:f>
        <x:v>Nivel, fecha, usuario, correlación y contexto</x:v>
      </x:c>
      <x:c r="I17" s="12" t="n">
        <x:f>'Catalogo Maestro'!M122</x:f>
        <x:v>0</x:v>
      </x:c>
    </x:row>
    <x:row r="18">
      <x:c r="A18" s="11" t="str">
        <x:f>'Catalogo Maestro'!E123</x:f>
        <x:v>MON2-003</x:v>
      </x:c>
      <x:c r="B18" s="7" t="str">
        <x:f>'Catalogo Maestro'!C123</x:f>
        <x:v>Centralización de logs y trazabilidad</x:v>
      </x:c>
      <x:c r="C18" s="7" t="str">
        <x:f>'Catalogo Maestro'!D123</x:f>
        <x:v>Implementación</x:v>
      </x:c>
      <x:c r="D18" s="7" t="str">
        <x:f>'Catalogo Maestro'!F123</x:f>
        <x:v>Configuración de envío de logs</x:v>
      </x:c>
      <x:c r="E18" s="7" t="str">
        <x:f>'Catalogo Maestro'!G123</x:f>
        <x:v>Base incluido</x:v>
      </x:c>
      <x:c r="F18" s="16" t="n">
        <x:f>'Catalogo Maestro'!J123</x:f>
        <x:v>1.5</x:v>
      </x:c>
      <x:c r="G18" s="16" t="n">
        <x:f>'Catalogo Maestro'!K123</x:f>
        <x:v>1.0499999999999998</x:v>
      </x:c>
      <x:c r="H18" s="7" t="str">
        <x:f>'Catalogo Maestro'!L123</x:f>
        <x:v>Agente, librería o integración</x:v>
      </x:c>
      <x:c r="I18" s="12" t="n">
        <x:f>'Catalogo Maestro'!M123</x:f>
        <x:v>0</x:v>
      </x:c>
    </x:row>
    <x:row r="19">
      <x:c r="A19" s="11" t="str">
        <x:f>'Catalogo Maestro'!E124</x:f>
        <x:v>MON2-004</x:v>
      </x:c>
      <x:c r="B19" s="7" t="str">
        <x:f>'Catalogo Maestro'!C124</x:f>
        <x:v>Centralización de logs y trazabilidad</x:v>
      </x:c>
      <x:c r="C19" s="7" t="str">
        <x:f>'Catalogo Maestro'!D124</x:f>
        <x:v>Implementación</x:v>
      </x:c>
      <x:c r="D19" s="7" t="str">
        <x:f>'Catalogo Maestro'!F124</x:f>
        <x:v>Normalización y parseo</x:v>
      </x:c>
      <x:c r="E19" s="7" t="str">
        <x:f>'Catalogo Maestro'!G124</x:f>
        <x:v>Base incluido</x:v>
      </x:c>
      <x:c r="F19" s="16" t="n">
        <x:f>'Catalogo Maestro'!J124</x:f>
        <x:v>1</x:v>
      </x:c>
      <x:c r="G19" s="16" t="n">
        <x:f>'Catalogo Maestro'!K124</x:f>
        <x:v>0.7</x:v>
      </x:c>
      <x:c r="H19" s="7" t="str">
        <x:f>'Catalogo Maestro'!L124</x:f>
        <x:v>Campos, formatos y errores</x:v>
      </x:c>
      <x:c r="I19" s="12" t="n">
        <x:f>'Catalogo Maestro'!M124</x:f>
        <x:v>0</x:v>
      </x:c>
    </x:row>
    <x:row r="20">
      <x:c r="A20" s="11" t="str">
        <x:f>'Catalogo Maestro'!E125</x:f>
        <x:v>MON2-005</x:v>
      </x:c>
      <x:c r="B20" s="7" t="str">
        <x:f>'Catalogo Maestro'!C125</x:f>
        <x:v>Centralización de logs y trazabilidad</x:v>
      </x:c>
      <x:c r="C20" s="7" t="str">
        <x:f>'Catalogo Maestro'!D125</x:f>
        <x:v>Trazabilidad</x:v>
      </x:c>
      <x:c r="D20" s="7" t="str">
        <x:f>'Catalogo Maestro'!F125</x:f>
        <x:v>Identificador de correlación</x:v>
      </x:c>
      <x:c r="E20" s="7" t="str">
        <x:f>'Catalogo Maestro'!G125</x:f>
        <x:v>Opcional</x:v>
      </x:c>
      <x:c r="F20" s="16" t="n">
        <x:f>'Catalogo Maestro'!J125</x:f>
        <x:v>1.5</x:v>
      </x:c>
      <x:c r="G20" s="16" t="n">
        <x:f>'Catalogo Maestro'!K125</x:f>
        <x:v>1.0499999999999998</x:v>
      </x:c>
      <x:c r="H20" s="7" t="str">
        <x:f>'Catalogo Maestro'!L125</x:f>
        <x:v>Seguimiento entre componentes</x:v>
      </x:c>
      <x:c r="I20" s="12" t="n">
        <x:f>'Catalogo Maestro'!M125</x:f>
        <x:v>0</x:v>
      </x:c>
    </x:row>
    <x:row r="21">
      <x:c r="A21" s="11" t="str">
        <x:f>'Catalogo Maestro'!E126</x:f>
        <x:v>MON2-006</x:v>
      </x:c>
      <x:c r="B21" s="7" t="str">
        <x:f>'Catalogo Maestro'!C126</x:f>
        <x:v>Centralización de logs y trazabilidad</x:v>
      </x:c>
      <x:c r="C21" s="7" t="str">
        <x:f>'Catalogo Maestro'!D126</x:f>
        <x:v>Retención</x:v>
      </x:c>
      <x:c r="D21" s="7" t="str">
        <x:f>'Catalogo Maestro'!F126</x:f>
        <x:v>Política de retención y rotación</x:v>
      </x:c>
      <x:c r="E21" s="7" t="str">
        <x:f>'Catalogo Maestro'!G126</x:f>
        <x:v>Base obligatorio</x:v>
      </x:c>
      <x:c r="F21" s="16" t="n">
        <x:f>'Catalogo Maestro'!J126</x:f>
        <x:v>1.5</x:v>
      </x:c>
      <x:c r="G21" s="16" t="n">
        <x:f>'Catalogo Maestro'!K126</x:f>
        <x:v>1.0499999999999998</x:v>
      </x:c>
      <x:c r="H21" s="7" t="str">
        <x:f>'Catalogo Maestro'!L126</x:f>
        <x:v>Periodo, volumen y eliminación</x:v>
      </x:c>
      <x:c r="I21" s="12" t="n">
        <x:f>'Catalogo Maestro'!M126</x:f>
        <x:v>0</x:v>
      </x:c>
    </x:row>
    <x:row r="22">
      <x:c r="A22" s="11" t="str">
        <x:f>'Catalogo Maestro'!E127</x:f>
        <x:v>MON2-007</x:v>
      </x:c>
      <x:c r="B22" s="7" t="str">
        <x:f>'Catalogo Maestro'!C127</x:f>
        <x:v>Centralización de logs y trazabilidad</x:v>
      </x:c>
      <x:c r="C22" s="7" t="str">
        <x:f>'Catalogo Maestro'!D127</x:f>
        <x:v>Visualización</x:v>
      </x:c>
      <x:c r="D22" s="7" t="str">
        <x:f>'Catalogo Maestro'!F127</x:f>
        <x:v>Dashboard de errores y eventos</x:v>
      </x:c>
      <x:c r="E22" s="7" t="str">
        <x:f>'Catalogo Maestro'!G127</x:f>
        <x:v>Base incluido</x:v>
      </x:c>
      <x:c r="F22" s="16" t="n">
        <x:f>'Catalogo Maestro'!J127</x:f>
        <x:v>3</x:v>
      </x:c>
      <x:c r="G22" s="16" t="n">
        <x:f>'Catalogo Maestro'!K127</x:f>
        <x:v>2.0999999999999996</x:v>
      </x:c>
      <x:c r="H22" s="7" t="str">
        <x:f>'Catalogo Maestro'!L127</x:f>
        <x:v>Errores, niveles y tendencias</x:v>
      </x:c>
      <x:c r="I22" s="12" t="n">
        <x:f>'Catalogo Maestro'!M127</x:f>
        <x:v>0</x:v>
      </x:c>
    </x:row>
    <x:row r="23">
      <x:c r="A23" s="11" t="str">
        <x:f>'Catalogo Maestro'!E128</x:f>
        <x:v>MON2-008</x:v>
      </x:c>
      <x:c r="B23" s="7" t="str">
        <x:f>'Catalogo Maestro'!C128</x:f>
        <x:v>Centralización de logs y trazabilidad</x:v>
      </x:c>
      <x:c r="C23" s="7" t="str">
        <x:f>'Catalogo Maestro'!D128</x:f>
        <x:v>Alertas</x:v>
      </x:c>
      <x:c r="D23" s="7" t="str">
        <x:f>'Catalogo Maestro'!F128</x:f>
        <x:v>Alerta por patrón crítico</x:v>
      </x:c>
      <x:c r="E23" s="7" t="str">
        <x:f>'Catalogo Maestro'!G128</x:f>
        <x:v>Base incluido</x:v>
      </x:c>
      <x:c r="F23" s="16" t="n">
        <x:f>'Catalogo Maestro'!J128</x:f>
        <x:v>1</x:v>
      </x:c>
      <x:c r="G23" s="16" t="n">
        <x:f>'Catalogo Maestro'!K128</x:f>
        <x:v>0.7</x:v>
      </x:c>
      <x:c r="H23" s="7" t="str">
        <x:f>'Catalogo Maestro'!L128</x:f>
        <x:v>Patrones, frecuencia y severidad</x:v>
      </x:c>
      <x:c r="I23" s="12" t="n">
        <x:f>'Catalogo Maestro'!M128</x:f>
        <x:v>0</x:v>
      </x:c>
    </x:row>
    <x:row r="24">
      <x:c r="A24" s="11" t="str">
        <x:f>'Catalogo Maestro'!E129</x:f>
        <x:v>MON2-009</x:v>
      </x:c>
      <x:c r="B24" s="7" t="str">
        <x:f>'Catalogo Maestro'!C129</x:f>
        <x:v>Centralización de logs y trazabilidad</x:v>
      </x:c>
      <x:c r="C24" s="7" t="str">
        <x:f>'Catalogo Maestro'!D129</x:f>
        <x:v>Calidad</x:v>
      </x:c>
      <x:c r="D24" s="7" t="str">
        <x:f>'Catalogo Maestro'!F129</x:f>
        <x:v>Pruebas de generación y búsqueda</x:v>
      </x:c>
      <x:c r="E24" s="7" t="str">
        <x:f>'Catalogo Maestro'!G129</x:f>
        <x:v>Base obligatorio</x:v>
      </x:c>
      <x:c r="F24" s="16" t="n">
        <x:f>'Catalogo Maestro'!J129</x:f>
        <x:v>0.75</x:v>
      </x:c>
      <x:c r="G24" s="16" t="n">
        <x:f>'Catalogo Maestro'!K129</x:f>
        <x:v>0.5249999999999999</x:v>
      </x:c>
      <x:c r="H24" s="7" t="str">
        <x:f>'Catalogo Maestro'!L129</x:f>
        <x:v>Generación, recepción y consulta</x:v>
      </x:c>
      <x:c r="I24" s="12" t="n">
        <x:f>'Catalogo Maestro'!M129</x:f>
        <x:v>0</x:v>
      </x:c>
    </x:row>
    <x:row r="25">
      <x:c r="A25" s="11" t="str">
        <x:f>'Catalogo Maestro'!E130</x:f>
        <x:v>MON2-010</x:v>
      </x:c>
      <x:c r="B25" s="7" t="str">
        <x:f>'Catalogo Maestro'!C130</x:f>
        <x:v>Centralización de logs y trazabilidad</x:v>
      </x:c>
      <x:c r="C25" s="7" t="str">
        <x:f>'Catalogo Maestro'!D130</x:f>
        <x:v>Operación</x:v>
      </x:c>
      <x:c r="D25" s="7" t="str">
        <x:f>'Catalogo Maestro'!F130</x:f>
        <x:v>Runbook de consulta y escalamiento</x:v>
      </x:c>
      <x:c r="E25" s="7" t="str">
        <x:f>'Catalogo Maestro'!G130</x:f>
        <x:v>Base obligatorio</x:v>
      </x:c>
      <x:c r="F25" s="16" t="n">
        <x:f>'Catalogo Maestro'!J130</x:f>
        <x:v>1.5</x:v>
      </x:c>
      <x:c r="G25" s="16" t="n">
        <x:f>'Catalogo Maestro'!K130</x:f>
        <x:v>1.0499999999999998</x:v>
      </x:c>
      <x:c r="H25" s="7" t="str">
        <x:f>'Catalogo Maestro'!L130</x:f>
        <x:v>Búsquedas, filtros y escalamiento</x:v>
      </x:c>
      <x:c r="I25" s="12" t="n">
        <x:f>'Catalogo Maestro'!M130</x:f>
        <x:v>0</x:v>
      </x:c>
    </x:row>
    <x:row r="26">
      <x:c r="A26" s="11" t="str">
        <x:f>'Catalogo Maestro'!E131</x:f>
        <x:v>MON3-001</x:v>
      </x:c>
      <x:c r="B26" s="7" t="str">
        <x:f>'Catalogo Maestro'!C131</x:f>
        <x:v>Métricas y rendimiento</x:v>
      </x:c>
      <x:c r="C26" s="7" t="str">
        <x:f>'Catalogo Maestro'!D131</x:f>
        <x:v>Diagnóstico</x:v>
      </x:c>
      <x:c r="D26" s="7" t="str">
        <x:f>'Catalogo Maestro'!F131</x:f>
        <x:v>Definición de métricas técnicas</x:v>
      </x:c>
      <x:c r="E26" s="7" t="str">
        <x:f>'Catalogo Maestro'!G131</x:f>
        <x:v>Base obligatorio</x:v>
      </x:c>
      <x:c r="F26" s="16" t="n">
        <x:f>'Catalogo Maestro'!J131</x:f>
        <x:v>0.5</x:v>
      </x:c>
      <x:c r="G26" s="16" t="n">
        <x:f>'Catalogo Maestro'!K131</x:f>
        <x:v>0.35</x:v>
      </x:c>
      <x:c r="H26" s="7" t="str">
        <x:f>'Catalogo Maestro'!L131</x:f>
        <x:v>CPU, memoria, latencia, errores y volumen</x:v>
      </x:c>
      <x:c r="I26" s="12" t="n">
        <x:f>'Catalogo Maestro'!M131</x:f>
        <x:v>0</x:v>
      </x:c>
    </x:row>
    <x:row r="27">
      <x:c r="A27" s="11" t="str">
        <x:f>'Catalogo Maestro'!E132</x:f>
        <x:v>MON3-002</x:v>
      </x:c>
      <x:c r="B27" s="7" t="str">
        <x:f>'Catalogo Maestro'!C132</x:f>
        <x:v>Métricas y rendimiento</x:v>
      </x:c>
      <x:c r="C27" s="7" t="str">
        <x:f>'Catalogo Maestro'!D132</x:f>
        <x:v>Instrumentación</x:v>
      </x:c>
      <x:c r="D27" s="7" t="str">
        <x:f>'Catalogo Maestro'!F132</x:f>
        <x:v>Instrumentación de métrica de aplicación</x:v>
      </x:c>
      <x:c r="E27" s="7" t="str">
        <x:f>'Catalogo Maestro'!G132</x:f>
        <x:v>Base incluido</x:v>
      </x:c>
      <x:c r="F27" s="16" t="n">
        <x:f>'Catalogo Maestro'!J132</x:f>
        <x:v>1.5</x:v>
      </x:c>
      <x:c r="G27" s="16" t="n">
        <x:f>'Catalogo Maestro'!K132</x:f>
        <x:v>1.0499999999999998</x:v>
      </x:c>
      <x:c r="H27" s="7" t="str">
        <x:f>'Catalogo Maestro'!L132</x:f>
        <x:v>Código, etiquetas y frecuencia</x:v>
      </x:c>
      <x:c r="I27" s="12" t="n">
        <x:f>'Catalogo Maestro'!M132</x:f>
        <x:v>0</x:v>
      </x:c>
    </x:row>
    <x:row r="28">
      <x:c r="A28" s="11" t="str">
        <x:f>'Catalogo Maestro'!E133</x:f>
        <x:v>MON3-003</x:v>
      </x:c>
      <x:c r="B28" s="7" t="str">
        <x:f>'Catalogo Maestro'!C133</x:f>
        <x:v>Métricas y rendimiento</x:v>
      </x:c>
      <x:c r="C28" s="7" t="str">
        <x:f>'Catalogo Maestro'!D133</x:f>
        <x:v>Infraestructura</x:v>
      </x:c>
      <x:c r="D28" s="7" t="str">
        <x:f>'Catalogo Maestro'!F133</x:f>
        <x:v>Recolección de métricas de infraestructura</x:v>
      </x:c>
      <x:c r="E28" s="7" t="str">
        <x:f>'Catalogo Maestro'!G133</x:f>
        <x:v>Base incluido</x:v>
      </x:c>
      <x:c r="F28" s="16" t="n">
        <x:f>'Catalogo Maestro'!J133</x:f>
        <x:v>1.5</x:v>
      </x:c>
      <x:c r="G28" s="16" t="n">
        <x:f>'Catalogo Maestro'!K133</x:f>
        <x:v>1.0499999999999998</x:v>
      </x:c>
      <x:c r="H28" s="7" t="str">
        <x:f>'Catalogo Maestro'!L133</x:f>
        <x:v>Agente, permisos y conectividad</x:v>
      </x:c>
      <x:c r="I28" s="12" t="n">
        <x:f>'Catalogo Maestro'!M133</x:f>
        <x:v>0</x:v>
      </x:c>
    </x:row>
    <x:row r="29">
      <x:c r="A29" s="11" t="str">
        <x:f>'Catalogo Maestro'!E134</x:f>
        <x:v>MON3-004</x:v>
      </x:c>
      <x:c r="B29" s="7" t="str">
        <x:f>'Catalogo Maestro'!C134</x:f>
        <x:v>Métricas y rendimiento</x:v>
      </x:c>
      <x:c r="C29" s="7" t="str">
        <x:f>'Catalogo Maestro'!D134</x:f>
        <x:v>Visualización</x:v>
      </x:c>
      <x:c r="D29" s="7" t="str">
        <x:f>'Catalogo Maestro'!F134</x:f>
        <x:v>Dashboard operacional</x:v>
      </x:c>
      <x:c r="E29" s="7" t="str">
        <x:f>'Catalogo Maestro'!G134</x:f>
        <x:v>Base incluido</x:v>
      </x:c>
      <x:c r="F29" s="16" t="n">
        <x:f>'Catalogo Maestro'!J134</x:f>
        <x:v>3</x:v>
      </x:c>
      <x:c r="G29" s="16" t="n">
        <x:f>'Catalogo Maestro'!K134</x:f>
        <x:v>2.0999999999999996</x:v>
      </x:c>
      <x:c r="H29" s="7" t="str">
        <x:f>'Catalogo Maestro'!L134</x:f>
        <x:v>Salud, capacidad y rendimiento</x:v>
      </x:c>
      <x:c r="I29" s="12" t="n">
        <x:f>'Catalogo Maestro'!M134</x:f>
        <x:v>0</x:v>
      </x:c>
    </x:row>
    <x:row r="30">
      <x:c r="A30" s="11" t="str">
        <x:f>'Catalogo Maestro'!E135</x:f>
        <x:v>MON3-005</x:v>
      </x:c>
      <x:c r="B30" s="7" t="str">
        <x:f>'Catalogo Maestro'!C135</x:f>
        <x:v>Métricas y rendimiento</x:v>
      </x:c>
      <x:c r="C30" s="7" t="str">
        <x:f>'Catalogo Maestro'!D135</x:f>
        <x:v>Alertas</x:v>
      </x:c>
      <x:c r="D30" s="7" t="str">
        <x:f>'Catalogo Maestro'!F135</x:f>
        <x:v>Umbral y alerta de rendimiento</x:v>
      </x:c>
      <x:c r="E30" s="7" t="str">
        <x:f>'Catalogo Maestro'!G135</x:f>
        <x:v>Base incluido</x:v>
      </x:c>
      <x:c r="F30" s="16" t="n">
        <x:f>'Catalogo Maestro'!J135</x:f>
        <x:v>0.75</x:v>
      </x:c>
      <x:c r="G30" s="16" t="n">
        <x:f>'Catalogo Maestro'!K135</x:f>
        <x:v>0.5249999999999999</x:v>
      </x:c>
      <x:c r="H30" s="7" t="str">
        <x:f>'Catalogo Maestro'!L135</x:f>
        <x:v>Umbral, duración y severidad</x:v>
      </x:c>
      <x:c r="I30" s="12" t="n">
        <x:f>'Catalogo Maestro'!M135</x:f>
        <x:v>0</x:v>
      </x:c>
    </x:row>
    <x:row r="31">
      <x:c r="A31" s="11" t="str">
        <x:f>'Catalogo Maestro'!E136</x:f>
        <x:v>MON3-006</x:v>
      </x:c>
      <x:c r="B31" s="7" t="str">
        <x:f>'Catalogo Maestro'!C136</x:f>
        <x:v>Métricas y rendimiento</x:v>
      </x:c>
      <x:c r="C31" s="7" t="str">
        <x:f>'Catalogo Maestro'!D136</x:f>
        <x:v>Capacidad</x:v>
      </x:c>
      <x:c r="D31" s="7" t="str">
        <x:f>'Catalogo Maestro'!F136</x:f>
        <x:v>Análisis de tendencia y capacidad</x:v>
      </x:c>
      <x:c r="E31" s="7" t="str">
        <x:f>'Catalogo Maestro'!G136</x:f>
        <x:v>Opcional</x:v>
      </x:c>
      <x:c r="F31" s="16" t="n">
        <x:f>'Catalogo Maestro'!J136</x:f>
        <x:v>2.5</x:v>
      </x:c>
      <x:c r="G31" s="16" t="n">
        <x:f>'Catalogo Maestro'!K136</x:f>
        <x:v>1.75</x:v>
      </x:c>
      <x:c r="H31" s="7" t="str">
        <x:f>'Catalogo Maestro'!L136</x:f>
        <x:v>Consumo, tendencia y proyección</x:v>
      </x:c>
      <x:c r="I31" s="12" t="n">
        <x:f>'Catalogo Maestro'!M136</x:f>
        <x:v>0</x:v>
      </x:c>
    </x:row>
    <x:row r="32">
      <x:c r="A32" s="11" t="str">
        <x:f>'Catalogo Maestro'!E137</x:f>
        <x:v>MON3-007</x:v>
      </x:c>
      <x:c r="B32" s="7" t="str">
        <x:f>'Catalogo Maestro'!C137</x:f>
        <x:v>Métricas y rendimiento</x:v>
      </x:c>
      <x:c r="C32" s="7" t="str">
        <x:f>'Catalogo Maestro'!D137</x:f>
        <x:v>Experiencia</x:v>
      </x:c>
      <x:c r="D32" s="7" t="str">
        <x:f>'Catalogo Maestro'!F137</x:f>
        <x:v>Métrica de experiencia o transacción</x:v>
      </x:c>
      <x:c r="E32" s="7" t="str">
        <x:f>'Catalogo Maestro'!G137</x:f>
        <x:v>Opcional</x:v>
      </x:c>
      <x:c r="F32" s="16" t="n">
        <x:f>'Catalogo Maestro'!J137</x:f>
        <x:v>1.5</x:v>
      </x:c>
      <x:c r="G32" s="16" t="n">
        <x:f>'Catalogo Maestro'!K137</x:f>
        <x:v>1.0499999999999998</x:v>
      </x:c>
      <x:c r="H32" s="7" t="str">
        <x:f>'Catalogo Maestro'!L137</x:f>
        <x:v>Tiempo y resultado de transacción</x:v>
      </x:c>
      <x:c r="I32" s="12" t="n">
        <x:f>'Catalogo Maestro'!M137</x:f>
        <x:v>0</x:v>
      </x:c>
    </x:row>
    <x:row r="33">
      <x:c r="A33" s="11" t="str">
        <x:f>'Catalogo Maestro'!E138</x:f>
        <x:v>MON3-008</x:v>
      </x:c>
      <x:c r="B33" s="7" t="str">
        <x:f>'Catalogo Maestro'!C138</x:f>
        <x:v>Métricas y rendimiento</x:v>
      </x:c>
      <x:c r="C33" s="7" t="str">
        <x:f>'Catalogo Maestro'!D138</x:f>
        <x:v>Calidad</x:v>
      </x:c>
      <x:c r="D33" s="7" t="str">
        <x:f>'Catalogo Maestro'!F138</x:f>
        <x:v>Prueba de umbrales y alertas</x:v>
      </x:c>
      <x:c r="E33" s="7" t="str">
        <x:f>'Catalogo Maestro'!G138</x:f>
        <x:v>Base obligatorio</x:v>
      </x:c>
      <x:c r="F33" s="16" t="n">
        <x:f>'Catalogo Maestro'!J138</x:f>
        <x:v>0.75</x:v>
      </x:c>
      <x:c r="G33" s="16" t="n">
        <x:f>'Catalogo Maestro'!K138</x:f>
        <x:v>0.5249999999999999</x:v>
      </x:c>
      <x:c r="H33" s="7" t="str">
        <x:f>'Catalogo Maestro'!L138</x:f>
        <x:v>Generación y recepción</x:v>
      </x:c>
      <x:c r="I33" s="12" t="n">
        <x:f>'Catalogo Maestro'!M138</x:f>
        <x:v>0</x:v>
      </x:c>
    </x:row>
    <x:row r="34">
      <x:c r="A34" s="11" t="str">
        <x:f>'Catalogo Maestro'!E139</x:f>
        <x:v>MON3-009</x:v>
      </x:c>
      <x:c r="B34" s="7" t="str">
        <x:f>'Catalogo Maestro'!C139</x:f>
        <x:v>Métricas y rendimiento</x:v>
      </x:c>
      <x:c r="C34" s="7" t="str">
        <x:f>'Catalogo Maestro'!D139</x:f>
        <x:v>Reportes</x:v>
      </x:c>
      <x:c r="D34" s="7" t="str">
        <x:f>'Catalogo Maestro'!F139</x:f>
        <x:v>Reporte periódico de rendimiento</x:v>
      </x:c>
      <x:c r="E34" s="7" t="str">
        <x:f>'Catalogo Maestro'!G139</x:f>
        <x:v>Base incluido</x:v>
      </x:c>
      <x:c r="F34" s="16" t="n">
        <x:f>'Catalogo Maestro'!J139</x:f>
        <x:v>2</x:v>
      </x:c>
      <x:c r="G34" s="16" t="n">
        <x:f>'Catalogo Maestro'!K139</x:f>
        <x:v>1.4</x:v>
      </x:c>
      <x:c r="H34" s="7" t="str">
        <x:f>'Catalogo Maestro'!L139</x:f>
        <x:v>Indicadores, eventos y recomendaciones</x:v>
      </x:c>
      <x:c r="I34" s="12" t="n">
        <x:f>'Catalogo Maestro'!M139</x:f>
        <x:v>0</x:v>
      </x:c>
    </x:row>
    <x:row r="35">
      <x:c r="A35" s="13" t="str">
        <x:f>'Catalogo Maestro'!E140</x:f>
        <x:v>MON3-010</x:v>
      </x:c>
      <x:c r="B35" s="14" t="str">
        <x:f>'Catalogo Maestro'!C140</x:f>
        <x:v>Métricas y rendimiento</x:v>
      </x:c>
      <x:c r="C35" s="14" t="str">
        <x:f>'Catalogo Maestro'!D140</x:f>
        <x:v>Operación</x:v>
      </x:c>
      <x:c r="D35" s="14" t="str">
        <x:f>'Catalogo Maestro'!F140</x:f>
        <x:v>Documentación y transferencia</x:v>
      </x:c>
      <x:c r="E35" s="14" t="str">
        <x:f>'Catalogo Maestro'!G140</x:f>
        <x:v>Base obligatorio</x:v>
      </x:c>
      <x:c r="F35" s="22" t="n">
        <x:f>'Catalogo Maestro'!J140</x:f>
        <x:v>1.5</x:v>
      </x:c>
      <x:c r="G35" s="22" t="n">
        <x:f>'Catalogo Maestro'!K140</x:f>
        <x:v>1.0499999999999998</x:v>
      </x:c>
      <x:c r="H35" s="14" t="str">
        <x:f>'Catalogo Maestro'!L140</x:f>
        <x:v>Dashboards, alertas y mantenimiento</x:v>
      </x:c>
      <x:c r="I35" s="15" t="n">
        <x:f>'Catalogo Maestro'!M140</x:f>
        <x:v>0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42" customWidth="1"/>
    <x:col min="3" max="3" width="18" customWidth="1"/>
    <x:col min="4" max="4" width="48" customWidth="1"/>
    <x:col min="5" max="5" width="18" customWidth="1"/>
    <x:col min="6" max="7" width="16" customWidth="1"/>
    <x:col min="8" max="8" width="62" customWidth="1"/>
    <x:col min="9" max="9" width="52" customWidth="1"/>
  </x:cols>
  <x:sheetData>
    <x:row r="1" ht="33.95000076293945" customHeight="1">
      <x:c r="A1" s="36" t="s">
        <x:v>1143</x:v>
      </x:c>
      <x:c r="B1" s="36"/>
      <x:c r="C1" s="36"/>
      <x:c r="D1" s="36"/>
      <x:c r="E1" s="36"/>
      <x:c r="F1" s="36"/>
      <x:c r="G1" s="36"/>
      <x:c r="H1" s="36"/>
      <x:c r="I1" s="36"/>
    </x:row>
    <x:row r="3" ht="33.95000076293945" customHeight="1">
      <x:c r="A3" s="37" t="s">
        <x:v>1139</x:v>
      </x:c>
      <x:c r="B3" s="37"/>
      <x:c r="C3" s="37"/>
      <x:c r="D3" s="37"/>
      <x:c r="E3" s="37"/>
      <x:c r="F3" s="37"/>
      <x:c r="G3" s="37"/>
      <x:c r="H3" s="37"/>
      <x:c r="I3" s="37"/>
    </x:row>
    <x:row r="5" ht="27.950000762939453" customHeight="1">
      <x:c r="A5" s="6" t="s">
        <x:v>95</x:v>
      </x:c>
      <x:c r="B5" s="6" t="s">
        <x:v>496</x:v>
      </x:c>
      <x:c r="C5" s="6" t="s">
        <x:v>149</x:v>
      </x:c>
      <x:c r="D5" s="6" t="s">
        <x:v>151</x:v>
      </x:c>
      <x:c r="E5" s="6" t="s">
        <x:v>152</x:v>
      </x:c>
      <x:c r="F5" s="6" t="s">
        <x:v>1140</x:v>
      </x:c>
      <x:c r="G5" s="6" t="s">
        <x:v>99</x:v>
      </x:c>
      <x:c r="H5" s="6" t="s">
        <x:v>156</x:v>
      </x:c>
      <x:c r="I5" s="6" t="s">
        <x:v>157</x:v>
      </x:c>
    </x:row>
    <x:row r="6">
      <x:c r="A6" s="8" t="str">
        <x:f>'Catalogo Maestro'!E141</x:f>
        <x:v>BCP1-001</x:v>
      </x:c>
      <x:c r="B6" s="9" t="str">
        <x:f>'Catalogo Maestro'!C141</x:f>
        <x:v>Implementación de respaldos</x:v>
      </x:c>
      <x:c r="C6" s="9" t="str">
        <x:f>'Catalogo Maestro'!D141</x:f>
        <x:v>Diagnóstico</x:v>
      </x:c>
      <x:c r="D6" s="9" t="str">
        <x:f>'Catalogo Maestro'!F141</x:f>
        <x:v>Inventario de activos y datos críticos</x:v>
      </x:c>
      <x:c r="E6" s="9" t="str">
        <x:f>'Catalogo Maestro'!G141</x:f>
        <x:v>Base obligatorio</x:v>
      </x:c>
      <x:c r="F6" s="21" t="n">
        <x:f>'Catalogo Maestro'!J141</x:f>
        <x:v>0.75</x:v>
      </x:c>
      <x:c r="G6" s="21" t="n">
        <x:f>'Catalogo Maestro'!K141</x:f>
        <x:v>0.5249999999999999</x:v>
      </x:c>
      <x:c r="H6" s="9" t="str">
        <x:f>'Catalogo Maestro'!L141</x:f>
        <x:v>Sistemas, datos, propietarios y criticidad</x:v>
      </x:c>
      <x:c r="I6" s="10" t="n">
        <x:f>'Catalogo Maestro'!M141</x:f>
        <x:v>0</x:v>
      </x:c>
    </x:row>
    <x:row r="7" ht="24">
      <x:c r="A7" s="11" t="str">
        <x:f>'Catalogo Maestro'!E142</x:f>
        <x:v>BCP1-002</x:v>
      </x:c>
      <x:c r="B7" s="7" t="str">
        <x:f>'Catalogo Maestro'!C142</x:f>
        <x:v>Implementación de respaldos</x:v>
      </x:c>
      <x:c r="C7" s="7" t="str">
        <x:f>'Catalogo Maestro'!D142</x:f>
        <x:v>Diseño</x:v>
      </x:c>
      <x:c r="D7" s="7" t="str">
        <x:f>'Catalogo Maestro'!F142</x:f>
        <x:v>Confirmación de RPO y RTO operativo para respaldos</x:v>
      </x:c>
      <x:c r="E7" s="7" t="str">
        <x:f>'Catalogo Maestro'!G142</x:f>
        <x:v>Base obligatorio</x:v>
      </x:c>
      <x:c r="F7" s="16" t="n">
        <x:f>'Catalogo Maestro'!J142</x:f>
        <x:v>1</x:v>
      </x:c>
      <x:c r="G7" s="16" t="n">
        <x:f>'Catalogo Maestro'!K142</x:f>
        <x:v>0.7</x:v>
      </x:c>
      <x:c r="H7" s="7" t="str">
        <x:f>'Catalogo Maestro'!L142</x:f>
        <x:v>Validación básica de objetivos necesarios para definir frecuencia y restauración del respaldo.</x:v>
      </x:c>
      <x:c r="I7" s="12" t="str">
        <x:f>'Catalogo Maestro'!M142</x:f>
        <x:v>Si se incluye BCP-02, reutilizar la definición formal de BCP2-003 y no duplicar este esfuerzo.</x:v>
      </x:c>
    </x:row>
    <x:row r="8">
      <x:c r="A8" s="11" t="str">
        <x:f>'Catalogo Maestro'!E143</x:f>
        <x:v>BCP1-003</x:v>
      </x:c>
      <x:c r="B8" s="7" t="str">
        <x:f>'Catalogo Maestro'!C143</x:f>
        <x:v>Implementación de respaldos</x:v>
      </x:c>
      <x:c r="C8" s="7" t="str">
        <x:f>'Catalogo Maestro'!D143</x:f>
        <x:v>Diseño</x:v>
      </x:c>
      <x:c r="D8" s="7" t="str">
        <x:f>'Catalogo Maestro'!F143</x:f>
        <x:v>Diseño de política de respaldo</x:v>
      </x:c>
      <x:c r="E8" s="7" t="str">
        <x:f>'Catalogo Maestro'!G143</x:f>
        <x:v>Base obligatorio</x:v>
      </x:c>
      <x:c r="F8" s="16" t="n">
        <x:f>'Catalogo Maestro'!J143</x:f>
        <x:v>2</x:v>
      </x:c>
      <x:c r="G8" s="16" t="n">
        <x:f>'Catalogo Maestro'!K143</x:f>
        <x:v>1.4</x:v>
      </x:c>
      <x:c r="H8" s="7" t="str">
        <x:f>'Catalogo Maestro'!L143</x:f>
        <x:v>Frecuencia, retención, cifrado y ubicación</x:v>
      </x:c>
      <x:c r="I8" s="12" t="n">
        <x:f>'Catalogo Maestro'!M143</x:f>
        <x:v>0</x:v>
      </x:c>
    </x:row>
    <x:row r="9">
      <x:c r="A9" s="11" t="str">
        <x:f>'Catalogo Maestro'!E144</x:f>
        <x:v>BCP1-004</x:v>
      </x:c>
      <x:c r="B9" s="7" t="str">
        <x:f>'Catalogo Maestro'!C144</x:f>
        <x:v>Implementación de respaldos</x:v>
      </x:c>
      <x:c r="C9" s="7" t="str">
        <x:f>'Catalogo Maestro'!D144</x:f>
        <x:v>Implementación</x:v>
      </x:c>
      <x:c r="D9" s="7" t="str">
        <x:f>'Catalogo Maestro'!F144</x:f>
        <x:v>Configuración de job de respaldo</x:v>
      </x:c>
      <x:c r="E9" s="7" t="str">
        <x:f>'Catalogo Maestro'!G144</x:f>
        <x:v>Base incluido</x:v>
      </x:c>
      <x:c r="F9" s="16" t="n">
        <x:f>'Catalogo Maestro'!J144</x:f>
        <x:v>1.5</x:v>
      </x:c>
      <x:c r="G9" s="16" t="n">
        <x:f>'Catalogo Maestro'!K144</x:f>
        <x:v>1.0499999999999998</x:v>
      </x:c>
      <x:c r="H9" s="7" t="str">
        <x:f>'Catalogo Maestro'!L144</x:f>
        <x:v>Origen, destino, horario y retención</x:v>
      </x:c>
      <x:c r="I9" s="12" t="n">
        <x:f>'Catalogo Maestro'!M144</x:f>
        <x:v>0</x:v>
      </x:c>
    </x:row>
    <x:row r="10">
      <x:c r="A10" s="11" t="str">
        <x:f>'Catalogo Maestro'!E145</x:f>
        <x:v>BCP1-005</x:v>
      </x:c>
      <x:c r="B10" s="7" t="str">
        <x:f>'Catalogo Maestro'!C145</x:f>
        <x:v>Implementación de respaldos</x:v>
      </x:c>
      <x:c r="C10" s="7" t="str">
        <x:f>'Catalogo Maestro'!D145</x:f>
        <x:v>Implementación</x:v>
      </x:c>
      <x:c r="D10" s="7" t="str">
        <x:f>'Catalogo Maestro'!F145</x:f>
        <x:v>Configuración de cifrado y acceso</x:v>
      </x:c>
      <x:c r="E10" s="7" t="str">
        <x:f>'Catalogo Maestro'!G145</x:f>
        <x:v>Base incluido</x:v>
      </x:c>
      <x:c r="F10" s="16" t="n">
        <x:f>'Catalogo Maestro'!J145</x:f>
        <x:v>1.5</x:v>
      </x:c>
      <x:c r="G10" s="16" t="n">
        <x:f>'Catalogo Maestro'!K145</x:f>
        <x:v>1.0499999999999998</x:v>
      </x:c>
      <x:c r="H10" s="7" t="str">
        <x:f>'Catalogo Maestro'!L145</x:f>
        <x:v>Claves, permisos y acceso restringido</x:v>
      </x:c>
      <x:c r="I10" s="12" t="n">
        <x:f>'Catalogo Maestro'!M145</x:f>
        <x:v>0</x:v>
      </x:c>
    </x:row>
    <x:row r="11">
      <x:c r="A11" s="11" t="str">
        <x:f>'Catalogo Maestro'!E146</x:f>
        <x:v>BCP1-006</x:v>
      </x:c>
      <x:c r="B11" s="7" t="str">
        <x:f>'Catalogo Maestro'!C146</x:f>
        <x:v>Implementación de respaldos</x:v>
      </x:c>
      <x:c r="C11" s="7" t="str">
        <x:f>'Catalogo Maestro'!D146</x:f>
        <x:v>Implementación</x:v>
      </x:c>
      <x:c r="D11" s="7" t="str">
        <x:f>'Catalogo Maestro'!F146</x:f>
        <x:v>Copia externa o segunda ubicación</x:v>
      </x:c>
      <x:c r="E11" s="7" t="str">
        <x:f>'Catalogo Maestro'!G146</x:f>
        <x:v>Opcional</x:v>
      </x:c>
      <x:c r="F11" s="16" t="n">
        <x:f>'Catalogo Maestro'!J146</x:f>
        <x:v>2</x:v>
      </x:c>
      <x:c r="G11" s="16" t="n">
        <x:f>'Catalogo Maestro'!K146</x:f>
        <x:v>1.4</x:v>
      </x:c>
      <x:c r="H11" s="7" t="str">
        <x:f>'Catalogo Maestro'!L146</x:f>
        <x:v>Transferencia, validación y retención</x:v>
      </x:c>
      <x:c r="I11" s="12" t="n">
        <x:f>'Catalogo Maestro'!M146</x:f>
        <x:v>0</x:v>
      </x:c>
    </x:row>
    <x:row r="12">
      <x:c r="A12" s="11" t="str">
        <x:f>'Catalogo Maestro'!E147</x:f>
        <x:v>BCP1-007</x:v>
      </x:c>
      <x:c r="B12" s="7" t="str">
        <x:f>'Catalogo Maestro'!C147</x:f>
        <x:v>Implementación de respaldos</x:v>
      </x:c>
      <x:c r="C12" s="7" t="str">
        <x:f>'Catalogo Maestro'!D147</x:f>
        <x:v>Validación</x:v>
      </x:c>
      <x:c r="D12" s="7" t="str">
        <x:f>'Catalogo Maestro'!F147</x:f>
        <x:v>Prueba de respaldo completo</x:v>
      </x:c>
      <x:c r="E12" s="7" t="str">
        <x:f>'Catalogo Maestro'!G147</x:f>
        <x:v>Base obligatorio</x:v>
      </x:c>
      <x:c r="F12" s="16" t="n">
        <x:f>'Catalogo Maestro'!J147</x:f>
        <x:v>0.75</x:v>
      </x:c>
      <x:c r="G12" s="16" t="n">
        <x:f>'Catalogo Maestro'!K147</x:f>
        <x:v>0.5249999999999999</x:v>
      </x:c>
      <x:c r="H12" s="7" t="str">
        <x:f>'Catalogo Maestro'!L147</x:f>
        <x:v>Ejecución, duración y resultado</x:v>
      </x:c>
      <x:c r="I12" s="12" t="n">
        <x:f>'Catalogo Maestro'!M147</x:f>
        <x:v>0</x:v>
      </x:c>
    </x:row>
    <x:row r="13">
      <x:c r="A13" s="11" t="str">
        <x:f>'Catalogo Maestro'!E148</x:f>
        <x:v>BCP1-008</x:v>
      </x:c>
      <x:c r="B13" s="7" t="str">
        <x:f>'Catalogo Maestro'!C148</x:f>
        <x:v>Implementación de respaldos</x:v>
      </x:c>
      <x:c r="C13" s="7" t="str">
        <x:f>'Catalogo Maestro'!D148</x:f>
        <x:v>Restauración</x:v>
      </x:c>
      <x:c r="D13" s="7" t="str">
        <x:f>'Catalogo Maestro'!F148</x:f>
        <x:v>Prueba de restauración</x:v>
      </x:c>
      <x:c r="E13" s="7" t="str">
        <x:f>'Catalogo Maestro'!G148</x:f>
        <x:v>Base obligatorio</x:v>
      </x:c>
      <x:c r="F13" s="16" t="n">
        <x:f>'Catalogo Maestro'!J148</x:f>
        <x:v>2</x:v>
      </x:c>
      <x:c r="G13" s="16" t="n">
        <x:f>'Catalogo Maestro'!K148</x:f>
        <x:v>1.4</x:v>
      </x:c>
      <x:c r="H13" s="7" t="str">
        <x:f>'Catalogo Maestro'!L148</x:f>
        <x:v>Recuperación y validación de integridad</x:v>
      </x:c>
      <x:c r="I13" s="12" t="n">
        <x:f>'Catalogo Maestro'!M148</x:f>
        <x:v>0</x:v>
      </x:c>
    </x:row>
    <x:row r="14">
      <x:c r="A14" s="11" t="str">
        <x:f>'Catalogo Maestro'!E149</x:f>
        <x:v>BCP1-009</x:v>
      </x:c>
      <x:c r="B14" s="7" t="str">
        <x:f>'Catalogo Maestro'!C149</x:f>
        <x:v>Implementación de respaldos</x:v>
      </x:c>
      <x:c r="C14" s="7" t="str">
        <x:f>'Catalogo Maestro'!D149</x:f>
        <x:v>Alertas</x:v>
      </x:c>
      <x:c r="D14" s="7" t="str">
        <x:f>'Catalogo Maestro'!F149</x:f>
        <x:v>Configuración de alerta de fallo</x:v>
      </x:c>
      <x:c r="E14" s="7" t="str">
        <x:f>'Catalogo Maestro'!G149</x:f>
        <x:v>Base incluido</x:v>
      </x:c>
      <x:c r="F14" s="16" t="n">
        <x:f>'Catalogo Maestro'!J149</x:f>
        <x:v>0.75</x:v>
      </x:c>
      <x:c r="G14" s="16" t="n">
        <x:f>'Catalogo Maestro'!K149</x:f>
        <x:v>0.5249999999999999</x:v>
      </x:c>
      <x:c r="H14" s="7" t="str">
        <x:f>'Catalogo Maestro'!L149</x:f>
        <x:v>Fallo, retraso o ausencia de respaldo</x:v>
      </x:c>
      <x:c r="I14" s="12" t="n">
        <x:f>'Catalogo Maestro'!M149</x:f>
        <x:v>0</x:v>
      </x:c>
    </x:row>
    <x:row r="15" ht="24">
      <x:c r="A15" s="11" t="str">
        <x:f>'Catalogo Maestro'!E150</x:f>
        <x:v>BCP1-010</x:v>
      </x:c>
      <x:c r="B15" s="7" t="str">
        <x:f>'Catalogo Maestro'!C150</x:f>
        <x:v>Implementación de respaldos</x:v>
      </x:c>
      <x:c r="C15" s="7" t="str">
        <x:f>'Catalogo Maestro'!D150</x:f>
        <x:v>Operación</x:v>
      </x:c>
      <x:c r="D15" s="7" t="str">
        <x:f>'Catalogo Maestro'!F150</x:f>
        <x:v>Runbook de respaldo y restauración</x:v>
      </x:c>
      <x:c r="E15" s="7" t="str">
        <x:f>'Catalogo Maestro'!G150</x:f>
        <x:v>Base obligatorio</x:v>
      </x:c>
      <x:c r="F15" s="16" t="n">
        <x:f>'Catalogo Maestro'!J150</x:f>
        <x:v>2</x:v>
      </x:c>
      <x:c r="G15" s="16" t="n">
        <x:f>'Catalogo Maestro'!K150</x:f>
        <x:v>1.4</x:v>
      </x:c>
      <x:c r="H15" s="7" t="str">
        <x:f>'Catalogo Maestro'!L150</x:f>
        <x:v>Procedimiento operativo del job, validación, alertas y restauración del respaldo.</x:v>
      </x:c>
      <x:c r="I15" s="12" t="str">
        <x:f>'Catalogo Maestro'!M150</x:f>
        <x:v>No reemplaza el procedimiento integral de recuperación ante desastres de BCP2-005.</x:v>
      </x:c>
    </x:row>
    <x:row r="16">
      <x:c r="A16" s="11" t="str">
        <x:f>'Catalogo Maestro'!E151</x:f>
        <x:v>BCP2-001</x:v>
      </x:c>
      <x:c r="B16" s="7" t="str">
        <x:f>'Catalogo Maestro'!C151</x:f>
        <x:v>Plan de recuperación ante desastres</x:v>
      </x:c>
      <x:c r="C16" s="7" t="str">
        <x:f>'Catalogo Maestro'!D151</x:f>
        <x:v>Análisis</x:v>
      </x:c>
      <x:c r="D16" s="7" t="str">
        <x:f>'Catalogo Maestro'!F151</x:f>
        <x:v>Análisis de impacto del negocio</x:v>
      </x:c>
      <x:c r="E16" s="7" t="str">
        <x:f>'Catalogo Maestro'!G151</x:f>
        <x:v>Base obligatorio</x:v>
      </x:c>
      <x:c r="F16" s="16" t="n">
        <x:f>'Catalogo Maestro'!J151</x:f>
        <x:v>1.25</x:v>
      </x:c>
      <x:c r="G16" s="16" t="n">
        <x:f>'Catalogo Maestro'!K151</x:f>
        <x:v>0.875</x:v>
      </x:c>
      <x:c r="H16" s="7" t="str">
        <x:f>'Catalogo Maestro'!L151</x:f>
        <x:v>Criticidad, dependencia e impacto</x:v>
      </x:c>
      <x:c r="I16" s="12" t="n">
        <x:f>'Catalogo Maestro'!M151</x:f>
        <x:v>0</x:v>
      </x:c>
    </x:row>
    <x:row r="17">
      <x:c r="A17" s="11" t="str">
        <x:f>'Catalogo Maestro'!E152</x:f>
        <x:v>BCP2-002</x:v>
      </x:c>
      <x:c r="B17" s="7" t="str">
        <x:f>'Catalogo Maestro'!C152</x:f>
        <x:v>Plan de recuperación ante desastres</x:v>
      </x:c>
      <x:c r="C17" s="7" t="str">
        <x:f>'Catalogo Maestro'!D152</x:f>
        <x:v>Análisis</x:v>
      </x:c>
      <x:c r="D17" s="7" t="str">
        <x:f>'Catalogo Maestro'!F152</x:f>
        <x:v>Inventario de dependencias críticas</x:v>
      </x:c>
      <x:c r="E17" s="7" t="str">
        <x:f>'Catalogo Maestro'!G152</x:f>
        <x:v>Base obligatorio</x:v>
      </x:c>
      <x:c r="F17" s="16" t="n">
        <x:f>'Catalogo Maestro'!J152</x:f>
        <x:v>0.75</x:v>
      </x:c>
      <x:c r="G17" s="16" t="n">
        <x:f>'Catalogo Maestro'!K152</x:f>
        <x:v>0.5249999999999999</x:v>
      </x:c>
      <x:c r="H17" s="7" t="str">
        <x:f>'Catalogo Maestro'!L152</x:f>
        <x:v>Infraestructura, datos, terceros y personas</x:v>
      </x:c>
      <x:c r="I17" s="12" t="n">
        <x:f>'Catalogo Maestro'!M152</x:f>
        <x:v>0</x:v>
      </x:c>
    </x:row>
    <x:row r="18" ht="24">
      <x:c r="A18" s="11" t="str">
        <x:f>'Catalogo Maestro'!E153</x:f>
        <x:v>BCP2-003</x:v>
      </x:c>
      <x:c r="B18" s="7" t="str">
        <x:f>'Catalogo Maestro'!C153</x:f>
        <x:v>Plan de recuperación ante desastres</x:v>
      </x:c>
      <x:c r="C18" s="7" t="str">
        <x:f>'Catalogo Maestro'!D153</x:f>
        <x:v>Objetivos</x:v>
      </x:c>
      <x:c r="D18" s="7" t="str">
        <x:f>'Catalogo Maestro'!F153</x:f>
        <x:v>Definición formal de RPO y RTO por servicio</x:v>
      </x:c>
      <x:c r="E18" s="7" t="str">
        <x:f>'Catalogo Maestro'!G153</x:f>
        <x:v>Base obligatorio</x:v>
      </x:c>
      <x:c r="F18" s="16" t="n">
        <x:f>'Catalogo Maestro'!J153</x:f>
        <x:v>1</x:v>
      </x:c>
      <x:c r="G18" s="16" t="n">
        <x:f>'Catalogo Maestro'!K153</x:f>
        <x:v>0.7</x:v>
      </x:c>
      <x:c r="H18" s="7" t="str">
        <x:f>'Catalogo Maestro'!L153</x:f>
        <x:v>Objetivos aprobados por servicio crítico, alineados con impacto, dependencias y estrategia de recuperación.</x:v>
      </x:c>
      <x:c r="I18" s="12" t="str">
        <x:f>'Catalogo Maestro'!M153</x:f>
        <x:v>Sustituye la definición básica de BCP1-002 cuando ambos servicios forman parte de la misma propuesta.</x:v>
      </x:c>
    </x:row>
    <x:row r="19">
      <x:c r="A19" s="11" t="str">
        <x:f>'Catalogo Maestro'!E154</x:f>
        <x:v>BCP2-004</x:v>
      </x:c>
      <x:c r="B19" s="7" t="str">
        <x:f>'Catalogo Maestro'!C154</x:f>
        <x:v>Plan de recuperación ante desastres</x:v>
      </x:c>
      <x:c r="C19" s="7" t="str">
        <x:f>'Catalogo Maestro'!D154</x:f>
        <x:v>Estrategia</x:v>
      </x:c>
      <x:c r="D19" s="7" t="str">
        <x:f>'Catalogo Maestro'!F154</x:f>
        <x:v>Diseño de estrategia de recuperación</x:v>
      </x:c>
      <x:c r="E19" s="7" t="str">
        <x:f>'Catalogo Maestro'!G154</x:f>
        <x:v>Base obligatorio</x:v>
      </x:c>
      <x:c r="F19" s="16" t="n">
        <x:f>'Catalogo Maestro'!J154</x:f>
        <x:v>2</x:v>
      </x:c>
      <x:c r="G19" s="16" t="n">
        <x:f>'Catalogo Maestro'!K154</x:f>
        <x:v>1.4</x:v>
      </x:c>
      <x:c r="H19" s="7" t="str">
        <x:f>'Catalogo Maestro'!L154</x:f>
        <x:v>Sitio, restauración, prioridades y secuencia</x:v>
      </x:c>
      <x:c r="I19" s="12" t="n">
        <x:f>'Catalogo Maestro'!M154</x:f>
        <x:v>0</x:v>
      </x:c>
    </x:row>
    <x:row r="20" ht="24">
      <x:c r="A20" s="11" t="str">
        <x:f>'Catalogo Maestro'!E155</x:f>
        <x:v>BCP2-005</x:v>
      </x:c>
      <x:c r="B20" s="7" t="str">
        <x:f>'Catalogo Maestro'!C155</x:f>
        <x:v>Plan de recuperación ante desastres</x:v>
      </x:c>
      <x:c r="C20" s="7" t="str">
        <x:f>'Catalogo Maestro'!D155</x:f>
        <x:v>Procedimientos</x:v>
      </x:c>
      <x:c r="D20" s="7" t="str">
        <x:f>'Catalogo Maestro'!F155</x:f>
        <x:v>Creación de procedimiento de recuperación</x:v>
      </x:c>
      <x:c r="E20" s="7" t="str">
        <x:f>'Catalogo Maestro'!G155</x:f>
        <x:v>Base incluido</x:v>
      </x:c>
      <x:c r="F20" s="16" t="n">
        <x:f>'Catalogo Maestro'!J155</x:f>
        <x:v>2.5</x:v>
      </x:c>
      <x:c r="G20" s="16" t="n">
        <x:f>'Catalogo Maestro'!K155</x:f>
        <x:v>1.75</x:v>
      </x:c>
      <x:c r="H20" s="7" t="str">
        <x:f>'Catalogo Maestro'!L155</x:f>
        <x:v>Secuencia integral para recuperar servicios, dependencias, datos y responsables después de un desastre.</x:v>
      </x:c>
      <x:c r="I20" s="12" t="str">
        <x:f>'Catalogo Maestro'!M155</x:f>
        <x:v>No duplica el procedimiento operativo del job de respaldo documentado en BCP1-010.</x:v>
      </x:c>
    </x:row>
    <x:row r="21">
      <x:c r="A21" s="11" t="str">
        <x:f>'Catalogo Maestro'!E156</x:f>
        <x:v>BCP2-006</x:v>
      </x:c>
      <x:c r="B21" s="7" t="str">
        <x:f>'Catalogo Maestro'!C156</x:f>
        <x:v>Plan de recuperación ante desastres</x:v>
      </x:c>
      <x:c r="C21" s="7" t="str">
        <x:f>'Catalogo Maestro'!D156</x:f>
        <x:v>Comunicación</x:v>
      </x:c>
      <x:c r="D21" s="7" t="str">
        <x:f>'Catalogo Maestro'!F156</x:f>
        <x:v>Plan de comunicación y escalamiento</x:v>
      </x:c>
      <x:c r="E21" s="7" t="str">
        <x:f>'Catalogo Maestro'!G156</x:f>
        <x:v>Base obligatorio</x:v>
      </x:c>
      <x:c r="F21" s="16" t="n">
        <x:f>'Catalogo Maestro'!J156</x:f>
        <x:v>1.5</x:v>
      </x:c>
      <x:c r="G21" s="16" t="n">
        <x:f>'Catalogo Maestro'!K156</x:f>
        <x:v>1.0499999999999998</x:v>
      </x:c>
      <x:c r="H21" s="7" t="str">
        <x:f>'Catalogo Maestro'!L156</x:f>
        <x:v>Contactos, severidad y mensajes</x:v>
      </x:c>
      <x:c r="I21" s="12" t="n">
        <x:f>'Catalogo Maestro'!M156</x:f>
        <x:v>0</x:v>
      </x:c>
    </x:row>
    <x:row r="22">
      <x:c r="A22" s="11" t="str">
        <x:f>'Catalogo Maestro'!E157</x:f>
        <x:v>BCP2-007</x:v>
      </x:c>
      <x:c r="B22" s="7" t="str">
        <x:f>'Catalogo Maestro'!C157</x:f>
        <x:v>Plan de recuperación ante desastres</x:v>
      </x:c>
      <x:c r="C22" s="7" t="str">
        <x:f>'Catalogo Maestro'!D157</x:f>
        <x:v>Pruebas</x:v>
      </x:c>
      <x:c r="D22" s="7" t="str">
        <x:f>'Catalogo Maestro'!F157</x:f>
        <x:v>Diseño de escenario de simulación</x:v>
      </x:c>
      <x:c r="E22" s="7" t="str">
        <x:f>'Catalogo Maestro'!G157</x:f>
        <x:v>Base obligatorio</x:v>
      </x:c>
      <x:c r="F22" s="16" t="n">
        <x:f>'Catalogo Maestro'!J157</x:f>
        <x:v>2</x:v>
      </x:c>
      <x:c r="G22" s="16" t="n">
        <x:f>'Catalogo Maestro'!K157</x:f>
        <x:v>1.4</x:v>
      </x:c>
      <x:c r="H22" s="7" t="str">
        <x:f>'Catalogo Maestro'!L157</x:f>
        <x:v>Alcance, éxito y riesgos</x:v>
      </x:c>
      <x:c r="I22" s="12" t="n">
        <x:f>'Catalogo Maestro'!M157</x:f>
        <x:v>0</x:v>
      </x:c>
    </x:row>
    <x:row r="23">
      <x:c r="A23" s="11" t="str">
        <x:f>'Catalogo Maestro'!E158</x:f>
        <x:v>BCP2-008</x:v>
      </x:c>
      <x:c r="B23" s="7" t="str">
        <x:f>'Catalogo Maestro'!C158</x:f>
        <x:v>Plan de recuperación ante desastres</x:v>
      </x:c>
      <x:c r="C23" s="7" t="str">
        <x:f>'Catalogo Maestro'!D158</x:f>
        <x:v>Pruebas</x:v>
      </x:c>
      <x:c r="D23" s="7" t="str">
        <x:f>'Catalogo Maestro'!F158</x:f>
        <x:v>Ejecución de simulación</x:v>
      </x:c>
      <x:c r="E23" s="7" t="str">
        <x:f>'Catalogo Maestro'!G158</x:f>
        <x:v>Base obligatorio</x:v>
      </x:c>
      <x:c r="F23" s="16" t="n">
        <x:f>'Catalogo Maestro'!J158</x:f>
        <x:v>4</x:v>
      </x:c>
      <x:c r="G23" s="16" t="n">
        <x:f>'Catalogo Maestro'!K158</x:f>
        <x:v>2.8</x:v>
      </x:c>
      <x:c r="H23" s="7" t="str">
        <x:f>'Catalogo Maestro'!L158</x:f>
        <x:v>Tiempos, decisiones y evidencias</x:v>
      </x:c>
      <x:c r="I23" s="12" t="n">
        <x:f>'Catalogo Maestro'!M158</x:f>
        <x:v>0</x:v>
      </x:c>
    </x:row>
    <x:row r="24">
      <x:c r="A24" s="11" t="str">
        <x:f>'Catalogo Maestro'!E159</x:f>
        <x:v>BCP2-009</x:v>
      </x:c>
      <x:c r="B24" s="7" t="str">
        <x:f>'Catalogo Maestro'!C159</x:f>
        <x:v>Plan de recuperación ante desastres</x:v>
      </x:c>
      <x:c r="C24" s="7" t="str">
        <x:f>'Catalogo Maestro'!D159</x:f>
        <x:v>Mejora</x:v>
      </x:c>
      <x:c r="D24" s="7" t="str">
        <x:f>'Catalogo Maestro'!F159</x:f>
        <x:v>Informe de brechas y plan de mejora</x:v>
      </x:c>
      <x:c r="E24" s="7" t="str">
        <x:f>'Catalogo Maestro'!G159</x:f>
        <x:v>Base obligatorio</x:v>
      </x:c>
      <x:c r="F24" s="16" t="n">
        <x:f>'Catalogo Maestro'!J159</x:f>
        <x:v>2</x:v>
      </x:c>
      <x:c r="G24" s="16" t="n">
        <x:f>'Catalogo Maestro'!K159</x:f>
        <x:v>1.4</x:v>
      </x:c>
      <x:c r="H24" s="7" t="str">
        <x:f>'Catalogo Maestro'!L159</x:f>
        <x:v>Hallazgos, responsables y fechas</x:v>
      </x:c>
      <x:c r="I24" s="12" t="n">
        <x:f>'Catalogo Maestro'!M159</x:f>
        <x:v>0</x:v>
      </x:c>
    </x:row>
    <x:row r="25">
      <x:c r="A25" s="11" t="str">
        <x:f>'Catalogo Maestro'!E160</x:f>
        <x:v>BCP2-010</x:v>
      </x:c>
      <x:c r="B25" s="7" t="str">
        <x:f>'Catalogo Maestro'!C160</x:f>
        <x:v>Plan de recuperación ante desastres</x:v>
      </x:c>
      <x:c r="C25" s="7" t="str">
        <x:f>'Catalogo Maestro'!D160</x:f>
        <x:v>Operación</x:v>
      </x:c>
      <x:c r="D25" s="7" t="str">
        <x:f>'Catalogo Maestro'!F160</x:f>
        <x:v>Calendario de pruebas y revisión</x:v>
      </x:c>
      <x:c r="E25" s="7" t="str">
        <x:f>'Catalogo Maestro'!G160</x:f>
        <x:v>Base incluido</x:v>
      </x:c>
      <x:c r="F25" s="16" t="n">
        <x:f>'Catalogo Maestro'!J160</x:f>
        <x:v>1</x:v>
      </x:c>
      <x:c r="G25" s="16" t="n">
        <x:f>'Catalogo Maestro'!K160</x:f>
        <x:v>0.7</x:v>
      </x:c>
      <x:c r="H25" s="7" t="str">
        <x:f>'Catalogo Maestro'!L160</x:f>
        <x:v>Periodicidad y responsables</x:v>
      </x:c>
      <x:c r="I25" s="12" t="n">
        <x:f>'Catalogo Maestro'!M160</x:f>
        <x:v>0</x:v>
      </x:c>
    </x:row>
    <x:row r="26">
      <x:c r="A26" s="11" t="str">
        <x:f>'Catalogo Maestro'!E161</x:f>
        <x:v>BCP3-001</x:v>
      </x:c>
      <x:c r="B26" s="7" t="str">
        <x:f>'Catalogo Maestro'!C161</x:f>
        <x:v>Retención y ciclo de vida de datos</x:v>
      </x:c>
      <x:c r="C26" s="7" t="str">
        <x:f>'Catalogo Maestro'!D161</x:f>
        <x:v>Diagnóstico</x:v>
      </x:c>
      <x:c r="D26" s="7" t="str">
        <x:f>'Catalogo Maestro'!F161</x:f>
        <x:v>Inventario y clasificación de información</x:v>
      </x:c>
      <x:c r="E26" s="7" t="str">
        <x:f>'Catalogo Maestro'!G161</x:f>
        <x:v>Base obligatorio</x:v>
      </x:c>
      <x:c r="F26" s="16" t="n">
        <x:f>'Catalogo Maestro'!J161</x:f>
        <x:v>0.75</x:v>
      </x:c>
      <x:c r="G26" s="16" t="n">
        <x:f>'Catalogo Maestro'!K161</x:f>
        <x:v>0.5249999999999999</x:v>
      </x:c>
      <x:c r="H26" s="7" t="str">
        <x:f>'Catalogo Maestro'!L161</x:f>
        <x:v>Tipo, criticidad y propietario</x:v>
      </x:c>
      <x:c r="I26" s="12" t="n">
        <x:f>'Catalogo Maestro'!M161</x:f>
        <x:v>0</x:v>
      </x:c>
    </x:row>
    <x:row r="27">
      <x:c r="A27" s="11" t="str">
        <x:f>'Catalogo Maestro'!E162</x:f>
        <x:v>BCP3-002</x:v>
      </x:c>
      <x:c r="B27" s="7" t="str">
        <x:f>'Catalogo Maestro'!C162</x:f>
        <x:v>Retención y ciclo de vida de datos</x:v>
      </x:c>
      <x:c r="C27" s="7" t="str">
        <x:f>'Catalogo Maestro'!D162</x:f>
        <x:v>Requisitos</x:v>
      </x:c>
      <x:c r="D27" s="7" t="str">
        <x:f>'Catalogo Maestro'!F162</x:f>
        <x:v>Levantamiento de obligaciones de retención</x:v>
      </x:c>
      <x:c r="E27" s="7" t="str">
        <x:f>'Catalogo Maestro'!G162</x:f>
        <x:v>Base obligatorio</x:v>
      </x:c>
      <x:c r="F27" s="16" t="n">
        <x:f>'Catalogo Maestro'!J162</x:f>
        <x:v>1</x:v>
      </x:c>
      <x:c r="G27" s="16" t="n">
        <x:f>'Catalogo Maestro'!K162</x:f>
        <x:v>0.7</x:v>
      </x:c>
      <x:c r="H27" s="7" t="str">
        <x:f>'Catalogo Maestro'!L162</x:f>
        <x:v>Necesidades contractuales y operativas</x:v>
      </x:c>
      <x:c r="I27" s="12" t="n">
        <x:f>'Catalogo Maestro'!M162</x:f>
        <x:v>0</x:v>
      </x:c>
    </x:row>
    <x:row r="28">
      <x:c r="A28" s="11" t="str">
        <x:f>'Catalogo Maestro'!E163</x:f>
        <x:v>BCP3-003</x:v>
      </x:c>
      <x:c r="B28" s="7" t="str">
        <x:f>'Catalogo Maestro'!C163</x:f>
        <x:v>Retención y ciclo de vida de datos</x:v>
      </x:c>
      <x:c r="C28" s="7" t="str">
        <x:f>'Catalogo Maestro'!D163</x:f>
        <x:v>Diseño</x:v>
      </x:c>
      <x:c r="D28" s="7" t="str">
        <x:f>'Catalogo Maestro'!F163</x:f>
        <x:v>Diseño de matriz de retención</x:v>
      </x:c>
      <x:c r="E28" s="7" t="str">
        <x:f>'Catalogo Maestro'!G163</x:f>
        <x:v>Base obligatorio</x:v>
      </x:c>
      <x:c r="F28" s="16" t="n">
        <x:f>'Catalogo Maestro'!J163</x:f>
        <x:v>1</x:v>
      </x:c>
      <x:c r="G28" s="16" t="n">
        <x:f>'Catalogo Maestro'!K163</x:f>
        <x:v>0.7</x:v>
      </x:c>
      <x:c r="H28" s="7" t="str">
        <x:f>'Catalogo Maestro'!L163</x:f>
        <x:v>Periodo, evento inicial y disposición</x:v>
      </x:c>
      <x:c r="I28" s="12" t="n">
        <x:f>'Catalogo Maestro'!M163</x:f>
        <x:v>0</x:v>
      </x:c>
    </x:row>
    <x:row r="29">
      <x:c r="A29" s="11" t="str">
        <x:f>'Catalogo Maestro'!E164</x:f>
        <x:v>BCP3-004</x:v>
      </x:c>
      <x:c r="B29" s="7" t="str">
        <x:f>'Catalogo Maestro'!C164</x:f>
        <x:v>Retención y ciclo de vida de datos</x:v>
      </x:c>
      <x:c r="C29" s="7" t="str">
        <x:f>'Catalogo Maestro'!D164</x:f>
        <x:v>Implementación</x:v>
      </x:c>
      <x:c r="D29" s="7" t="str">
        <x:f>'Catalogo Maestro'!F164</x:f>
        <x:v>Configuración de política de retención</x:v>
      </x:c>
      <x:c r="E29" s="7" t="str">
        <x:f>'Catalogo Maestro'!G164</x:f>
        <x:v>Base incluido</x:v>
      </x:c>
      <x:c r="F29" s="16" t="n">
        <x:f>'Catalogo Maestro'!J164</x:f>
        <x:v>2</x:v>
      </x:c>
      <x:c r="G29" s="16" t="n">
        <x:f>'Catalogo Maestro'!K164</x:f>
        <x:v>1.4</x:v>
      </x:c>
      <x:c r="H29" s="7" t="str">
        <x:f>'Catalogo Maestro'!L164</x:f>
        <x:v>Archivado, conservación y eliminación</x:v>
      </x:c>
      <x:c r="I29" s="12" t="n">
        <x:f>'Catalogo Maestro'!M164</x:f>
        <x:v>0</x:v>
      </x:c>
    </x:row>
    <x:row r="30">
      <x:c r="A30" s="11" t="str">
        <x:f>'Catalogo Maestro'!E165</x:f>
        <x:v>BCP3-005</x:v>
      </x:c>
      <x:c r="B30" s="7" t="str">
        <x:f>'Catalogo Maestro'!C165</x:f>
        <x:v>Retención y ciclo de vida de datos</x:v>
      </x:c>
      <x:c r="C30" s="7" t="str">
        <x:f>'Catalogo Maestro'!D165</x:f>
        <x:v>Implementación</x:v>
      </x:c>
      <x:c r="D30" s="7" t="str">
        <x:f>'Catalogo Maestro'!F165</x:f>
        <x:v>Configuración de almacenamiento de archivo</x:v>
      </x:c>
      <x:c r="E30" s="7" t="str">
        <x:f>'Catalogo Maestro'!G165</x:f>
        <x:v>Opcional</x:v>
      </x:c>
      <x:c r="F30" s="16" t="n">
        <x:f>'Catalogo Maestro'!J165</x:f>
        <x:v>2</x:v>
      </x:c>
      <x:c r="G30" s="16" t="n">
        <x:f>'Catalogo Maestro'!K165</x:f>
        <x:v>1.4</x:v>
      </x:c>
      <x:c r="H30" s="7" t="str">
        <x:f>'Catalogo Maestro'!L165</x:f>
        <x:v>Ubicación, acceso y costos</x:v>
      </x:c>
      <x:c r="I30" s="12" t="n">
        <x:f>'Catalogo Maestro'!M165</x:f>
        <x:v>0</x:v>
      </x:c>
    </x:row>
    <x:row r="31">
      <x:c r="A31" s="11" t="str">
        <x:f>'Catalogo Maestro'!E166</x:f>
        <x:v>BCP3-006</x:v>
      </x:c>
      <x:c r="B31" s="7" t="str">
        <x:f>'Catalogo Maestro'!C166</x:f>
        <x:v>Retención y ciclo de vida de datos</x:v>
      </x:c>
      <x:c r="C31" s="7" t="str">
        <x:f>'Catalogo Maestro'!D166</x:f>
        <x:v>Control</x:v>
      </x:c>
      <x:c r="D31" s="7" t="str">
        <x:f>'Catalogo Maestro'!F166</x:f>
        <x:v>Revisión de excepciones y bloqueos</x:v>
      </x:c>
      <x:c r="E31" s="7" t="str">
        <x:f>'Catalogo Maestro'!G166</x:f>
        <x:v>Base incluido</x:v>
      </x:c>
      <x:c r="F31" s="16" t="n">
        <x:f>'Catalogo Maestro'!J166</x:f>
        <x:v>0.75</x:v>
      </x:c>
      <x:c r="G31" s="16" t="n">
        <x:f>'Catalogo Maestro'!K166</x:f>
        <x:v>0.5249999999999999</x:v>
      </x:c>
      <x:c r="H31" s="7" t="str">
        <x:f>'Catalogo Maestro'!L166</x:f>
        <x:v>Litigio, auditoría o necesidad especial</x:v>
      </x:c>
      <x:c r="I31" s="12" t="n">
        <x:f>'Catalogo Maestro'!M166</x:f>
        <x:v>0</x:v>
      </x:c>
    </x:row>
    <x:row r="32">
      <x:c r="A32" s="11" t="str">
        <x:f>'Catalogo Maestro'!E167</x:f>
        <x:v>BCP3-007</x:v>
      </x:c>
      <x:c r="B32" s="7" t="str">
        <x:f>'Catalogo Maestro'!C167</x:f>
        <x:v>Retención y ciclo de vida de datos</x:v>
      </x:c>
      <x:c r="C32" s="7" t="str">
        <x:f>'Catalogo Maestro'!D167</x:f>
        <x:v>Validación</x:v>
      </x:c>
      <x:c r="D32" s="7" t="str">
        <x:f>'Catalogo Maestro'!F167</x:f>
        <x:v>Prueba de aplicación de política</x:v>
      </x:c>
      <x:c r="E32" s="7" t="str">
        <x:f>'Catalogo Maestro'!G167</x:f>
        <x:v>Base obligatorio</x:v>
      </x:c>
      <x:c r="F32" s="16" t="n">
        <x:f>'Catalogo Maestro'!J167</x:f>
        <x:v>1</x:v>
      </x:c>
      <x:c r="G32" s="16" t="n">
        <x:f>'Catalogo Maestro'!K167</x:f>
        <x:v>0.7</x:v>
      </x:c>
      <x:c r="H32" s="7" t="str">
        <x:f>'Catalogo Maestro'!L167</x:f>
        <x:v>Conservación, archivo y eliminación</x:v>
      </x:c>
      <x:c r="I32" s="12" t="n">
        <x:f>'Catalogo Maestro'!M167</x:f>
        <x:v>0</x:v>
      </x:c>
    </x:row>
    <x:row r="33">
      <x:c r="A33" s="11" t="str">
        <x:f>'Catalogo Maestro'!E168</x:f>
        <x:v>BCP3-008</x:v>
      </x:c>
      <x:c r="B33" s="7" t="str">
        <x:f>'Catalogo Maestro'!C168</x:f>
        <x:v>Retención y ciclo de vida de datos</x:v>
      </x:c>
      <x:c r="C33" s="7" t="str">
        <x:f>'Catalogo Maestro'!D168</x:f>
        <x:v>Gobierno</x:v>
      </x:c>
      <x:c r="D33" s="7" t="str">
        <x:f>'Catalogo Maestro'!F168</x:f>
        <x:v>Definición de responsables y revisión</x:v>
      </x:c>
      <x:c r="E33" s="7" t="str">
        <x:f>'Catalogo Maestro'!G168</x:f>
        <x:v>Base obligatorio</x:v>
      </x:c>
      <x:c r="F33" s="16" t="n">
        <x:f>'Catalogo Maestro'!J168</x:f>
        <x:v>1</x:v>
      </x:c>
      <x:c r="G33" s="16" t="n">
        <x:f>'Catalogo Maestro'!K168</x:f>
        <x:v>0.7</x:v>
      </x:c>
      <x:c r="H33" s="7" t="str">
        <x:f>'Catalogo Maestro'!L168</x:f>
        <x:v>Propietario, aprobador y periodicidad</x:v>
      </x:c>
      <x:c r="I33" s="12" t="n">
        <x:f>'Catalogo Maestro'!M168</x:f>
        <x:v>0</x:v>
      </x:c>
    </x:row>
    <x:row r="34">
      <x:c r="A34" s="13" t="str">
        <x:f>'Catalogo Maestro'!E169</x:f>
        <x:v>BCP3-009</x:v>
      </x:c>
      <x:c r="B34" s="14" t="str">
        <x:f>'Catalogo Maestro'!C169</x:f>
        <x:v>Retención y ciclo de vida de datos</x:v>
      </x:c>
      <x:c r="C34" s="14" t="str">
        <x:f>'Catalogo Maestro'!D169</x:f>
        <x:v>Cierre</x:v>
      </x:c>
      <x:c r="D34" s="14" t="str">
        <x:f>'Catalogo Maestro'!F169</x:f>
        <x:v>Documentación y entrega</x:v>
      </x:c>
      <x:c r="E34" s="14" t="str">
        <x:f>'Catalogo Maestro'!G169</x:f>
        <x:v>Base obligatorio</x:v>
      </x:c>
      <x:c r="F34" s="22" t="n">
        <x:f>'Catalogo Maestro'!J169</x:f>
        <x:v>1.5</x:v>
      </x:c>
      <x:c r="G34" s="22" t="n">
        <x:f>'Catalogo Maestro'!K169</x:f>
        <x:v>1.0499999999999998</x:v>
      </x:c>
      <x:c r="H34" s="14" t="str">
        <x:f>'Catalogo Maestro'!L169</x:f>
        <x:v>Matriz, reglas y operación</x:v>
      </x:c>
      <x:c r="I34" s="15" t="n">
        <x:f>'Catalogo Maestro'!M169</x:f>
        <x:v>0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42" customWidth="1"/>
    <x:col min="3" max="3" width="18" customWidth="1"/>
    <x:col min="4" max="4" width="48" customWidth="1"/>
    <x:col min="5" max="5" width="18" customWidth="1"/>
    <x:col min="6" max="7" width="16" customWidth="1"/>
    <x:col min="8" max="8" width="62" customWidth="1"/>
    <x:col min="9" max="9" width="52" customWidth="1"/>
  </x:cols>
  <x:sheetData>
    <x:row r="1" ht="33.95000076293945" customHeight="1">
      <x:c r="A1" s="36" t="s">
        <x:v>1144</x:v>
      </x:c>
      <x:c r="B1" s="36"/>
      <x:c r="C1" s="36"/>
      <x:c r="D1" s="36"/>
      <x:c r="E1" s="36"/>
      <x:c r="F1" s="36"/>
      <x:c r="G1" s="36"/>
      <x:c r="H1" s="36"/>
      <x:c r="I1" s="36"/>
    </x:row>
    <x:row r="3" ht="33.95000076293945" customHeight="1">
      <x:c r="A3" s="37" t="s">
        <x:v>1139</x:v>
      </x:c>
      <x:c r="B3" s="37"/>
      <x:c r="C3" s="37"/>
      <x:c r="D3" s="37"/>
      <x:c r="E3" s="37"/>
      <x:c r="F3" s="37"/>
      <x:c r="G3" s="37"/>
      <x:c r="H3" s="37"/>
      <x:c r="I3" s="37"/>
    </x:row>
    <x:row r="5" ht="27.950000762939453" customHeight="1">
      <x:c r="A5" s="6" t="s">
        <x:v>95</x:v>
      </x:c>
      <x:c r="B5" s="6" t="s">
        <x:v>496</x:v>
      </x:c>
      <x:c r="C5" s="6" t="s">
        <x:v>149</x:v>
      </x:c>
      <x:c r="D5" s="6" t="s">
        <x:v>151</x:v>
      </x:c>
      <x:c r="E5" s="6" t="s">
        <x:v>152</x:v>
      </x:c>
      <x:c r="F5" s="6" t="s">
        <x:v>1140</x:v>
      </x:c>
      <x:c r="G5" s="6" t="s">
        <x:v>99</x:v>
      </x:c>
      <x:c r="H5" s="6" t="s">
        <x:v>156</x:v>
      </x:c>
      <x:c r="I5" s="6" t="s">
        <x:v>157</x:v>
      </x:c>
    </x:row>
    <x:row r="6">
      <x:c r="A6" s="8" t="str">
        <x:f>'Catalogo Maestro'!E170</x:f>
        <x:v>SEC1-001</x:v>
      </x:c>
      <x:c r="B6" s="9" t="str">
        <x:f>'Catalogo Maestro'!C170</x:f>
        <x:v>Hardening de plataforma</x:v>
      </x:c>
      <x:c r="C6" s="9" t="str">
        <x:f>'Catalogo Maestro'!D170</x:f>
        <x:v>Diagnóstico</x:v>
      </x:c>
      <x:c r="D6" s="9" t="str">
        <x:f>'Catalogo Maestro'!F170</x:f>
        <x:v>Inventario de componentes, versiones y servicios</x:v>
      </x:c>
      <x:c r="E6" s="9" t="str">
        <x:f>'Catalogo Maestro'!G170</x:f>
        <x:v>Base obligatorio</x:v>
      </x:c>
      <x:c r="F6" s="21" t="n">
        <x:f>'Catalogo Maestro'!J170</x:f>
        <x:v>0.75</x:v>
      </x:c>
      <x:c r="G6" s="21" t="n">
        <x:f>'Catalogo Maestro'!K170</x:f>
        <x:v>0.5249999999999999</x:v>
      </x:c>
      <x:c r="H6" s="9" t="str">
        <x:f>'Catalogo Maestro'!L170</x:f>
        <x:v>Sistemas, aplicaciones, bases y servicios</x:v>
      </x:c>
      <x:c r="I6" s="10" t="n">
        <x:f>'Catalogo Maestro'!M170</x:f>
        <x:v>0</x:v>
      </x:c>
    </x:row>
    <x:row r="7">
      <x:c r="A7" s="11" t="str">
        <x:f>'Catalogo Maestro'!E171</x:f>
        <x:v>SEC1-002</x:v>
      </x:c>
      <x:c r="B7" s="7" t="str">
        <x:f>'Catalogo Maestro'!C171</x:f>
        <x:v>Hardening de plataforma</x:v>
      </x:c>
      <x:c r="C7" s="7" t="str">
        <x:f>'Catalogo Maestro'!D171</x:f>
        <x:v>Diagnóstico</x:v>
      </x:c>
      <x:c r="D7" s="7" t="str">
        <x:f>'Catalogo Maestro'!F171</x:f>
        <x:v>Levantamiento de línea base de configuración</x:v>
      </x:c>
      <x:c r="E7" s="7" t="str">
        <x:f>'Catalogo Maestro'!G171</x:f>
        <x:v>Base obligatorio</x:v>
      </x:c>
      <x:c r="F7" s="16" t="n">
        <x:f>'Catalogo Maestro'!J171</x:f>
        <x:v>1.5</x:v>
      </x:c>
      <x:c r="G7" s="16" t="n">
        <x:f>'Catalogo Maestro'!K171</x:f>
        <x:v>1.0499999999999998</x:v>
      </x:c>
      <x:c r="H7" s="7" t="str">
        <x:f>'Catalogo Maestro'!L171</x:f>
        <x:v>Configuraciones, puertos, cuentas y políticas</x:v>
      </x:c>
      <x:c r="I7" s="12" t="n">
        <x:f>'Catalogo Maestro'!M171</x:f>
        <x:v>0</x:v>
      </x:c>
    </x:row>
    <x:row r="8">
      <x:c r="A8" s="11" t="str">
        <x:f>'Catalogo Maestro'!E172</x:f>
        <x:v>SEC1-003</x:v>
      </x:c>
      <x:c r="B8" s="7" t="str">
        <x:f>'Catalogo Maestro'!C172</x:f>
        <x:v>Hardening de plataforma</x:v>
      </x:c>
      <x:c r="C8" s="7" t="str">
        <x:f>'Catalogo Maestro'!D172</x:f>
        <x:v>Accesos</x:v>
      </x:c>
      <x:c r="D8" s="7" t="str">
        <x:f>'Catalogo Maestro'!F172</x:f>
        <x:v>Revisión de cuentas y privilegios</x:v>
      </x:c>
      <x:c r="E8" s="7" t="str">
        <x:f>'Catalogo Maestro'!G172</x:f>
        <x:v>Base obligatorio</x:v>
      </x:c>
      <x:c r="F8" s="16" t="n">
        <x:f>'Catalogo Maestro'!J172</x:f>
        <x:v>0.25</x:v>
      </x:c>
      <x:c r="G8" s="16" t="n">
        <x:f>'Catalogo Maestro'!K172</x:f>
        <x:v>0.175</x:v>
      </x:c>
      <x:c r="H8" s="7" t="str">
        <x:f>'Catalogo Maestro'!L172</x:f>
        <x:v>Cuentas activas, privilegios y propietarios</x:v>
      </x:c>
      <x:c r="I8" s="12" t="n">
        <x:f>'Catalogo Maestro'!M172</x:f>
        <x:v>0</x:v>
      </x:c>
    </x:row>
    <x:row r="9">
      <x:c r="A9" s="11" t="str">
        <x:f>'Catalogo Maestro'!E173</x:f>
        <x:v>SEC1-004</x:v>
      </x:c>
      <x:c r="B9" s="7" t="str">
        <x:f>'Catalogo Maestro'!C173</x:f>
        <x:v>Hardening de plataforma</x:v>
      </x:c>
      <x:c r="C9" s="7" t="str">
        <x:f>'Catalogo Maestro'!D173</x:f>
        <x:v>Accesos</x:v>
      </x:c>
      <x:c r="D9" s="7" t="str">
        <x:f>'Catalogo Maestro'!F173</x:f>
        <x:v>Deshabilitación o corrección de cuentas inseguras</x:v>
      </x:c>
      <x:c r="E9" s="7" t="str">
        <x:f>'Catalogo Maestro'!G173</x:f>
        <x:v>Base incluido</x:v>
      </x:c>
      <x:c r="F9" s="16" t="n">
        <x:f>'Catalogo Maestro'!J173</x:f>
        <x:v>0.25</x:v>
      </x:c>
      <x:c r="G9" s="16" t="n">
        <x:f>'Catalogo Maestro'!K173</x:f>
        <x:v>0.175</x:v>
      </x:c>
      <x:c r="H9" s="7" t="str">
        <x:f>'Catalogo Maestro'!L173</x:f>
        <x:v>Cuentas por defecto, huérfanas o excesivas</x:v>
      </x:c>
      <x:c r="I9" s="12" t="n">
        <x:f>'Catalogo Maestro'!M173</x:f>
        <x:v>0</x:v>
      </x:c>
    </x:row>
    <x:row r="10">
      <x:c r="A10" s="11" t="str">
        <x:f>'Catalogo Maestro'!E174</x:f>
        <x:v>SEC1-005</x:v>
      </x:c>
      <x:c r="B10" s="7" t="str">
        <x:f>'Catalogo Maestro'!C174</x:f>
        <x:v>Hardening de plataforma</x:v>
      </x:c>
      <x:c r="C10" s="7" t="str">
        <x:f>'Catalogo Maestro'!D174</x:f>
        <x:v>Configuración</x:v>
      </x:c>
      <x:c r="D10" s="7" t="str">
        <x:f>'Catalogo Maestro'!F174</x:f>
        <x:v>Aplicación de hardening de sistema operativo</x:v>
      </x:c>
      <x:c r="E10" s="7" t="str">
        <x:f>'Catalogo Maestro'!G174</x:f>
        <x:v>Base incluido</x:v>
      </x:c>
      <x:c r="F10" s="16" t="n">
        <x:f>'Catalogo Maestro'!J174</x:f>
        <x:v>4</x:v>
      </x:c>
      <x:c r="G10" s="16" t="n">
        <x:f>'Catalogo Maestro'!K174</x:f>
        <x:v>2.8</x:v>
      </x:c>
      <x:c r="H10" s="7" t="str">
        <x:f>'Catalogo Maestro'!L174</x:f>
        <x:v>Servicios, políticas, permisos y auditoría</x:v>
      </x:c>
      <x:c r="I10" s="12" t="n">
        <x:f>'Catalogo Maestro'!M174</x:f>
        <x:v>0</x:v>
      </x:c>
    </x:row>
    <x:row r="11">
      <x:c r="A11" s="11" t="str">
        <x:f>'Catalogo Maestro'!E175</x:f>
        <x:v>SEC1-006</x:v>
      </x:c>
      <x:c r="B11" s="7" t="str">
        <x:f>'Catalogo Maestro'!C175</x:f>
        <x:v>Hardening de plataforma</x:v>
      </x:c>
      <x:c r="C11" s="7" t="str">
        <x:f>'Catalogo Maestro'!D175</x:f>
        <x:v>Configuración</x:v>
      </x:c>
      <x:c r="D11" s="7" t="str">
        <x:f>'Catalogo Maestro'!F175</x:f>
        <x:v>Aplicación de hardening de aplicación</x:v>
      </x:c>
      <x:c r="E11" s="7" t="str">
        <x:f>'Catalogo Maestro'!G175</x:f>
        <x:v>Opcional</x:v>
      </x:c>
      <x:c r="F11" s="16" t="n">
        <x:f>'Catalogo Maestro'!J175</x:f>
        <x:v>3</x:v>
      </x:c>
      <x:c r="G11" s="16" t="n">
        <x:f>'Catalogo Maestro'!K175</x:f>
        <x:v>2.0999999999999996</x:v>
      </x:c>
      <x:c r="H11" s="7" t="str">
        <x:f>'Catalogo Maestro'!L175</x:f>
        <x:v>Cabeceras, configuración, secretos y errores</x:v>
      </x:c>
      <x:c r="I11" s="12" t="n">
        <x:f>'Catalogo Maestro'!M175</x:f>
        <x:v>0</x:v>
      </x:c>
    </x:row>
    <x:row r="12">
      <x:c r="A12" s="11" t="str">
        <x:f>'Catalogo Maestro'!E176</x:f>
        <x:v>SEC1-007</x:v>
      </x:c>
      <x:c r="B12" s="7" t="str">
        <x:f>'Catalogo Maestro'!C176</x:f>
        <x:v>Hardening de plataforma</x:v>
      </x:c>
      <x:c r="C12" s="7" t="str">
        <x:f>'Catalogo Maestro'!D176</x:f>
        <x:v>Configuración</x:v>
      </x:c>
      <x:c r="D12" s="7" t="str">
        <x:f>'Catalogo Maestro'!F176</x:f>
        <x:v>Aplicación de hardening de base de datos</x:v>
      </x:c>
      <x:c r="E12" s="7" t="str">
        <x:f>'Catalogo Maestro'!G176</x:f>
        <x:v>Opcional</x:v>
      </x:c>
      <x:c r="F12" s="16" t="n">
        <x:f>'Catalogo Maestro'!J176</x:f>
        <x:v>3</x:v>
      </x:c>
      <x:c r="G12" s="16" t="n">
        <x:f>'Catalogo Maestro'!K176</x:f>
        <x:v>2.0999999999999996</x:v>
      </x:c>
      <x:c r="H12" s="7" t="str">
        <x:f>'Catalogo Maestro'!L176</x:f>
        <x:v>Usuarios, red, cifrado y auditoría</x:v>
      </x:c>
      <x:c r="I12" s="12" t="n">
        <x:f>'Catalogo Maestro'!M176</x:f>
        <x:v>0</x:v>
      </x:c>
    </x:row>
    <x:row r="13">
      <x:c r="A13" s="11" t="str">
        <x:f>'Catalogo Maestro'!E177</x:f>
        <x:v>SEC1-008</x:v>
      </x:c>
      <x:c r="B13" s="7" t="str">
        <x:f>'Catalogo Maestro'!C177</x:f>
        <x:v>Hardening de plataforma</x:v>
      </x:c>
      <x:c r="C13" s="7" t="str">
        <x:f>'Catalogo Maestro'!D177</x:f>
        <x:v>Red</x:v>
      </x:c>
      <x:c r="D13" s="7" t="str">
        <x:f>'Catalogo Maestro'!F177</x:f>
        <x:v>Cierre de puertos y servicios no requeridos</x:v>
      </x:c>
      <x:c r="E13" s="7" t="str">
        <x:f>'Catalogo Maestro'!G177</x:f>
        <x:v>Base incluido</x:v>
      </x:c>
      <x:c r="F13" s="16" t="n">
        <x:f>'Catalogo Maestro'!J177</x:f>
        <x:v>1.5</x:v>
      </x:c>
      <x:c r="G13" s="16" t="n">
        <x:f>'Catalogo Maestro'!K177</x:f>
        <x:v>1.0499999999999998</x:v>
      </x:c>
      <x:c r="H13" s="7" t="str">
        <x:f>'Catalogo Maestro'!L177</x:f>
        <x:v>Puertos, protocolos y servicios</x:v>
      </x:c>
      <x:c r="I13" s="12" t="n">
        <x:f>'Catalogo Maestro'!M177</x:f>
        <x:v>0</x:v>
      </x:c>
    </x:row>
    <x:row r="14">
      <x:c r="A14" s="11" t="str">
        <x:f>'Catalogo Maestro'!E178</x:f>
        <x:v>SEC1-009</x:v>
      </x:c>
      <x:c r="B14" s="7" t="str">
        <x:f>'Catalogo Maestro'!C178</x:f>
        <x:v>Hardening de plataforma</x:v>
      </x:c>
      <x:c r="C14" s="7" t="str">
        <x:f>'Catalogo Maestro'!D178</x:f>
        <x:v>Criptografía</x:v>
      </x:c>
      <x:c r="D14" s="7" t="str">
        <x:f>'Catalogo Maestro'!F178</x:f>
        <x:v>Configuración de cifrado y protocolos seguros</x:v>
      </x:c>
      <x:c r="E14" s="7" t="str">
        <x:f>'Catalogo Maestro'!G178</x:f>
        <x:v>Base incluido</x:v>
      </x:c>
      <x:c r="F14" s="16" t="n">
        <x:f>'Catalogo Maestro'!J178</x:f>
        <x:v>1.5</x:v>
      </x:c>
      <x:c r="G14" s="16" t="n">
        <x:f>'Catalogo Maestro'!K178</x:f>
        <x:v>1.0499999999999998</x:v>
      </x:c>
      <x:c r="H14" s="7" t="str">
        <x:f>'Catalogo Maestro'!L178</x:f>
        <x:v>TLS, algoritmos y configuración</x:v>
      </x:c>
      <x:c r="I14" s="12" t="n">
        <x:f>'Catalogo Maestro'!M178</x:f>
        <x:v>0</x:v>
      </x:c>
    </x:row>
    <x:row r="15">
      <x:c r="A15" s="11" t="str">
        <x:f>'Catalogo Maestro'!E179</x:f>
        <x:v>SEC1-010</x:v>
      </x:c>
      <x:c r="B15" s="7" t="str">
        <x:f>'Catalogo Maestro'!C179</x:f>
        <x:v>Hardening de plataforma</x:v>
      </x:c>
      <x:c r="C15" s="7" t="str">
        <x:f>'Catalogo Maestro'!D179</x:f>
        <x:v>Auditoría</x:v>
      </x:c>
      <x:c r="D15" s="7" t="str">
        <x:f>'Catalogo Maestro'!F179</x:f>
        <x:v>Configuración de logs de seguridad</x:v>
      </x:c>
      <x:c r="E15" s="7" t="str">
        <x:f>'Catalogo Maestro'!G179</x:f>
        <x:v>Base incluido</x:v>
      </x:c>
      <x:c r="F15" s="16" t="n">
        <x:f>'Catalogo Maestro'!J179</x:f>
        <x:v>1.5</x:v>
      </x:c>
      <x:c r="G15" s="16" t="n">
        <x:f>'Catalogo Maestro'!K179</x:f>
        <x:v>1.0499999999999998</x:v>
      </x:c>
      <x:c r="H15" s="7" t="str">
        <x:f>'Catalogo Maestro'!L179</x:f>
        <x:v>Accesos, cambios y eventos críticos</x:v>
      </x:c>
      <x:c r="I15" s="12" t="n">
        <x:f>'Catalogo Maestro'!M179</x:f>
        <x:v>0</x:v>
      </x:c>
    </x:row>
    <x:row r="16">
      <x:c r="A16" s="11" t="str">
        <x:f>'Catalogo Maestro'!E180</x:f>
        <x:v>SEC1-011</x:v>
      </x:c>
      <x:c r="B16" s="7" t="str">
        <x:f>'Catalogo Maestro'!C180</x:f>
        <x:v>Hardening de plataforma</x:v>
      </x:c>
      <x:c r="C16" s="7" t="str">
        <x:f>'Catalogo Maestro'!D180</x:f>
        <x:v>Validación</x:v>
      </x:c>
      <x:c r="D16" s="7" t="str">
        <x:f>'Catalogo Maestro'!F180</x:f>
        <x:v>Revisión posterior contra línea base</x:v>
      </x:c>
      <x:c r="E16" s="7" t="str">
        <x:f>'Catalogo Maestro'!G180</x:f>
        <x:v>Base obligatorio</x:v>
      </x:c>
      <x:c r="F16" s="16" t="n">
        <x:f>'Catalogo Maestro'!J180</x:f>
        <x:v>1</x:v>
      </x:c>
      <x:c r="G16" s="16" t="n">
        <x:f>'Catalogo Maestro'!K180</x:f>
        <x:v>0.7</x:v>
      </x:c>
      <x:c r="H16" s="7" t="str">
        <x:f>'Catalogo Maestro'!L180</x:f>
        <x:v>Comparación y evidencias</x:v>
      </x:c>
      <x:c r="I16" s="12" t="n">
        <x:f>'Catalogo Maestro'!M180</x:f>
        <x:v>0</x:v>
      </x:c>
    </x:row>
    <x:row r="17">
      <x:c r="A17" s="11" t="str">
        <x:f>'Catalogo Maestro'!E181</x:f>
        <x:v>SEC1-012</x:v>
      </x:c>
      <x:c r="B17" s="7" t="str">
        <x:f>'Catalogo Maestro'!C181</x:f>
        <x:v>Hardening de plataforma</x:v>
      </x:c>
      <x:c r="C17" s="7" t="str">
        <x:f>'Catalogo Maestro'!D181</x:f>
        <x:v>Calidad</x:v>
      </x:c>
      <x:c r="D17" s="7" t="str">
        <x:f>'Catalogo Maestro'!F181</x:f>
        <x:v>Pruebas de acceso y operación</x:v>
      </x:c>
      <x:c r="E17" s="7" t="str">
        <x:f>'Catalogo Maestro'!G181</x:f>
        <x:v>Base obligatorio</x:v>
      </x:c>
      <x:c r="F17" s="16" t="n">
        <x:f>'Catalogo Maestro'!J181</x:f>
        <x:v>0.5</x:v>
      </x:c>
      <x:c r="G17" s="16" t="n">
        <x:f>'Catalogo Maestro'!K181</x:f>
        <x:v>0.35</x:v>
      </x:c>
      <x:c r="H17" s="7" t="str">
        <x:f>'Catalogo Maestro'!L181</x:f>
        <x:v>Operación posterior al hardening</x:v>
      </x:c>
      <x:c r="I17" s="12" t="n">
        <x:f>'Catalogo Maestro'!M181</x:f>
        <x:v>0</x:v>
      </x:c>
    </x:row>
    <x:row r="18">
      <x:c r="A18" s="11" t="str">
        <x:f>'Catalogo Maestro'!E182</x:f>
        <x:v>SEC1-013</x:v>
      </x:c>
      <x:c r="B18" s="7" t="str">
        <x:f>'Catalogo Maestro'!C182</x:f>
        <x:v>Hardening de plataforma</x:v>
      </x:c>
      <x:c r="C18" s="7" t="str">
        <x:f>'Catalogo Maestro'!D182</x:f>
        <x:v>Cierre</x:v>
      </x:c>
      <x:c r="D18" s="7" t="str">
        <x:f>'Catalogo Maestro'!F182</x:f>
        <x:v>Informe de cambios y riesgos pendientes</x:v>
      </x:c>
      <x:c r="E18" s="7" t="str">
        <x:f>'Catalogo Maestro'!G182</x:f>
        <x:v>Base obligatorio</x:v>
      </x:c>
      <x:c r="F18" s="16" t="n">
        <x:f>'Catalogo Maestro'!J182</x:f>
        <x:v>2</x:v>
      </x:c>
      <x:c r="G18" s="16" t="n">
        <x:f>'Catalogo Maestro'!K182</x:f>
        <x:v>1.4</x:v>
      </x:c>
      <x:c r="H18" s="7" t="str">
        <x:f>'Catalogo Maestro'!L182</x:f>
        <x:v>Cambios, excepciones y recomendaciones</x:v>
      </x:c>
      <x:c r="I18" s="12" t="n">
        <x:f>'Catalogo Maestro'!M182</x:f>
        <x:v>0</x:v>
      </x:c>
    </x:row>
    <x:row r="19">
      <x:c r="A19" s="11" t="str">
        <x:f>'Catalogo Maestro'!E183</x:f>
        <x:v>SEC2-001</x:v>
      </x:c>
      <x:c r="B19" s="7" t="str">
        <x:f>'Catalogo Maestro'!C183</x:f>
        <x:v>Gestión de vulnerabilidades y parches</x:v>
      </x:c>
      <x:c r="C19" s="7" t="str">
        <x:f>'Catalogo Maestro'!D183</x:f>
        <x:v>Alcance</x:v>
      </x:c>
      <x:c r="D19" s="7" t="str">
        <x:f>'Catalogo Maestro'!F183</x:f>
        <x:v>Inventario de activos y alcance de revisión</x:v>
      </x:c>
      <x:c r="E19" s="7" t="str">
        <x:f>'Catalogo Maestro'!G183</x:f>
        <x:v>Base obligatorio</x:v>
      </x:c>
      <x:c r="F19" s="16" t="n">
        <x:f>'Catalogo Maestro'!J183</x:f>
        <x:v>0.5</x:v>
      </x:c>
      <x:c r="G19" s="16" t="n">
        <x:f>'Catalogo Maestro'!K183</x:f>
        <x:v>0.35</x:v>
      </x:c>
      <x:c r="H19" s="7" t="str">
        <x:f>'Catalogo Maestro'!L183</x:f>
        <x:v>Activos, propietarios y criticidad</x:v>
      </x:c>
      <x:c r="I19" s="12" t="n">
        <x:f>'Catalogo Maestro'!M183</x:f>
        <x:v>0</x:v>
      </x:c>
    </x:row>
    <x:row r="20">
      <x:c r="A20" s="11" t="str">
        <x:f>'Catalogo Maestro'!E184</x:f>
        <x:v>SEC2-002</x:v>
      </x:c>
      <x:c r="B20" s="7" t="str">
        <x:f>'Catalogo Maestro'!C184</x:f>
        <x:v>Gestión de vulnerabilidades y parches</x:v>
      </x:c>
      <x:c r="C20" s="7" t="str">
        <x:f>'Catalogo Maestro'!D184</x:f>
        <x:v>Preparación</x:v>
      </x:c>
      <x:c r="D20" s="7" t="str">
        <x:f>'Catalogo Maestro'!F184</x:f>
        <x:v>Configuración de credenciales y ventanas</x:v>
      </x:c>
      <x:c r="E20" s="7" t="str">
        <x:f>'Catalogo Maestro'!G184</x:f>
        <x:v>Base obligatorio</x:v>
      </x:c>
      <x:c r="F20" s="16" t="n">
        <x:f>'Catalogo Maestro'!J184</x:f>
        <x:v>0.75</x:v>
      </x:c>
      <x:c r="G20" s="16" t="n">
        <x:f>'Catalogo Maestro'!K184</x:f>
        <x:v>0.5249999999999999</x:v>
      </x:c>
      <x:c r="H20" s="7" t="str">
        <x:f>'Catalogo Maestro'!L184</x:f>
        <x:v>Credenciales, horarios y respaldo</x:v>
      </x:c>
      <x:c r="I20" s="12" t="n">
        <x:f>'Catalogo Maestro'!M184</x:f>
        <x:v>0</x:v>
      </x:c>
    </x:row>
    <x:row r="21">
      <x:c r="A21" s="11" t="str">
        <x:f>'Catalogo Maestro'!E185</x:f>
        <x:v>SEC2-003</x:v>
      </x:c>
      <x:c r="B21" s="7" t="str">
        <x:f>'Catalogo Maestro'!C185</x:f>
        <x:v>Gestión de vulnerabilidades y parches</x:v>
      </x:c>
      <x:c r="C21" s="7" t="str">
        <x:f>'Catalogo Maestro'!D185</x:f>
        <x:v>Detección</x:v>
      </x:c>
      <x:c r="D21" s="7" t="str">
        <x:f>'Catalogo Maestro'!F185</x:f>
        <x:v>Escaneo de vulnerabilidades</x:v>
      </x:c>
      <x:c r="E21" s="7" t="str">
        <x:f>'Catalogo Maestro'!G185</x:f>
        <x:v>Base incluido</x:v>
      </x:c>
      <x:c r="F21" s="16" t="n">
        <x:f>'Catalogo Maestro'!J185</x:f>
        <x:v>2</x:v>
      </x:c>
      <x:c r="G21" s="16" t="n">
        <x:f>'Catalogo Maestro'!K185</x:f>
        <x:v>1.4</x:v>
      </x:c>
      <x:c r="H21" s="7" t="str">
        <x:f>'Catalogo Maestro'!L185</x:f>
        <x:v>Hallazgos técnicos y evidencia</x:v>
      </x:c>
      <x:c r="I21" s="12" t="n">
        <x:f>'Catalogo Maestro'!M185</x:f>
        <x:v>0</x:v>
      </x:c>
    </x:row>
    <x:row r="22">
      <x:c r="A22" s="11" t="str">
        <x:f>'Catalogo Maestro'!E186</x:f>
        <x:v>SEC2-004</x:v>
      </x:c>
      <x:c r="B22" s="7" t="str">
        <x:f>'Catalogo Maestro'!C186</x:f>
        <x:v>Gestión de vulnerabilidades y parches</x:v>
      </x:c>
      <x:c r="C22" s="7" t="str">
        <x:f>'Catalogo Maestro'!D186</x:f>
        <x:v>Análisis</x:v>
      </x:c>
      <x:c r="D22" s="7" t="str">
        <x:f>'Catalogo Maestro'!F186</x:f>
        <x:v>Validación y descarte de falsos positivos</x:v>
      </x:c>
      <x:c r="E22" s="7" t="str">
        <x:f>'Catalogo Maestro'!G186</x:f>
        <x:v>Base obligatorio</x:v>
      </x:c>
      <x:c r="F22" s="16" t="n">
        <x:f>'Catalogo Maestro'!J186</x:f>
        <x:v>0.2</x:v>
      </x:c>
      <x:c r="G22" s="16" t="n">
        <x:f>'Catalogo Maestro'!K186</x:f>
        <x:v>0.13999999999999999</x:v>
      </x:c>
      <x:c r="H22" s="7" t="str">
        <x:f>'Catalogo Maestro'!L186</x:f>
        <x:v>Evidencia y aplicabilidad</x:v>
      </x:c>
      <x:c r="I22" s="12" t="n">
        <x:f>'Catalogo Maestro'!M186</x:f>
        <x:v>0</x:v>
      </x:c>
    </x:row>
    <x:row r="23">
      <x:c r="A23" s="11" t="str">
        <x:f>'Catalogo Maestro'!E187</x:f>
        <x:v>SEC2-005</x:v>
      </x:c>
      <x:c r="B23" s="7" t="str">
        <x:f>'Catalogo Maestro'!C187</x:f>
        <x:v>Gestión de vulnerabilidades y parches</x:v>
      </x:c>
      <x:c r="C23" s="7" t="str">
        <x:f>'Catalogo Maestro'!D187</x:f>
        <x:v>Riesgo</x:v>
      </x:c>
      <x:c r="D23" s="7" t="str">
        <x:f>'Catalogo Maestro'!F187</x:f>
        <x:v>Priorización por criticidad e impacto</x:v>
      </x:c>
      <x:c r="E23" s="7" t="str">
        <x:f>'Catalogo Maestro'!G187</x:f>
        <x:v>Base obligatorio</x:v>
      </x:c>
      <x:c r="F23" s="16" t="n">
        <x:f>'Catalogo Maestro'!J187</x:f>
        <x:v>0.2</x:v>
      </x:c>
      <x:c r="G23" s="16" t="n">
        <x:f>'Catalogo Maestro'!K187</x:f>
        <x:v>0.13999999999999999</x:v>
      </x:c>
      <x:c r="H23" s="7" t="str">
        <x:f>'Catalogo Maestro'!L187</x:f>
        <x:v>Severidad, exposición e impacto</x:v>
      </x:c>
      <x:c r="I23" s="12" t="n">
        <x:f>'Catalogo Maestro'!M187</x:f>
        <x:v>0</x:v>
      </x:c>
    </x:row>
    <x:row r="24">
      <x:c r="A24" s="11" t="str">
        <x:f>'Catalogo Maestro'!E188</x:f>
        <x:v>SEC2-006</x:v>
      </x:c>
      <x:c r="B24" s="7" t="str">
        <x:f>'Catalogo Maestro'!C188</x:f>
        <x:v>Gestión de vulnerabilidades y parches</x:v>
      </x:c>
      <x:c r="C24" s="7" t="str">
        <x:f>'Catalogo Maestro'!D188</x:f>
        <x:v>Planificación</x:v>
      </x:c>
      <x:c r="D24" s="7" t="str">
        <x:f>'Catalogo Maestro'!F188</x:f>
        <x:v>Plan de remediación y ventanas</x:v>
      </x:c>
      <x:c r="E24" s="7" t="str">
        <x:f>'Catalogo Maestro'!G188</x:f>
        <x:v>Base obligatorio</x:v>
      </x:c>
      <x:c r="F24" s="16" t="n">
        <x:f>'Catalogo Maestro'!J188</x:f>
        <x:v>2</x:v>
      </x:c>
      <x:c r="G24" s="16" t="n">
        <x:f>'Catalogo Maestro'!K188</x:f>
        <x:v>1.4</x:v>
      </x:c>
      <x:c r="H24" s="7" t="str">
        <x:f>'Catalogo Maestro'!L188</x:f>
        <x:v>Orden, responsables, riesgo y reversa</x:v>
      </x:c>
      <x:c r="I24" s="12" t="n">
        <x:f>'Catalogo Maestro'!M188</x:f>
        <x:v>0</x:v>
      </x:c>
    </x:row>
    <x:row r="25">
      <x:c r="A25" s="11" t="str">
        <x:f>'Catalogo Maestro'!E189</x:f>
        <x:v>SEC2-007</x:v>
      </x:c>
      <x:c r="B25" s="7" t="str">
        <x:f>'Catalogo Maestro'!C189</x:f>
        <x:v>Gestión de vulnerabilidades y parches</x:v>
      </x:c>
      <x:c r="C25" s="7" t="str">
        <x:f>'Catalogo Maestro'!D189</x:f>
        <x:v>Remediación</x:v>
      </x:c>
      <x:c r="D25" s="7" t="str">
        <x:f>'Catalogo Maestro'!F189</x:f>
        <x:v>Aplicación de parche estándar</x:v>
      </x:c>
      <x:c r="E25" s="7" t="str">
        <x:f>'Catalogo Maestro'!G189</x:f>
        <x:v>Base incluido</x:v>
      </x:c>
      <x:c r="F25" s="16" t="n">
        <x:f>'Catalogo Maestro'!J189</x:f>
        <x:v>1</x:v>
      </x:c>
      <x:c r="G25" s="16" t="n">
        <x:f>'Catalogo Maestro'!K189</x:f>
        <x:v>0.7</x:v>
      </x:c>
      <x:c r="H25" s="7" t="str">
        <x:f>'Catalogo Maestro'!L189</x:f>
        <x:v>Respaldo, actualización y validación</x:v>
      </x:c>
      <x:c r="I25" s="12" t="n">
        <x:f>'Catalogo Maestro'!M189</x:f>
        <x:v>0</x:v>
      </x:c>
    </x:row>
    <x:row r="26">
      <x:c r="A26" s="11" t="str">
        <x:f>'Catalogo Maestro'!E190</x:f>
        <x:v>SEC2-008</x:v>
      </x:c>
      <x:c r="B26" s="7" t="str">
        <x:f>'Catalogo Maestro'!C190</x:f>
        <x:v>Gestión de vulnerabilidades y parches</x:v>
      </x:c>
      <x:c r="C26" s="7" t="str">
        <x:f>'Catalogo Maestro'!D190</x:f>
        <x:v>Remediación</x:v>
      </x:c>
      <x:c r="D26" s="7" t="str">
        <x:f>'Catalogo Maestro'!F190</x:f>
        <x:v>Aplicación de mitigación de configuración</x:v>
      </x:c>
      <x:c r="E26" s="7" t="str">
        <x:f>'Catalogo Maestro'!G190</x:f>
        <x:v>Opcional</x:v>
      </x:c>
      <x:c r="F26" s="16" t="n">
        <x:f>'Catalogo Maestro'!J190</x:f>
        <x:v>1</x:v>
      </x:c>
      <x:c r="G26" s="16" t="n">
        <x:f>'Catalogo Maestro'!K190</x:f>
        <x:v>0.7</x:v>
      </x:c>
      <x:c r="H26" s="7" t="str">
        <x:f>'Catalogo Maestro'!L190</x:f>
        <x:v>Cambio compensatorio o configuración</x:v>
      </x:c>
      <x:c r="I26" s="12" t="n">
        <x:f>'Catalogo Maestro'!M190</x:f>
        <x:v>0</x:v>
      </x:c>
    </x:row>
    <x:row r="27">
      <x:c r="A27" s="11" t="str">
        <x:f>'Catalogo Maestro'!E191</x:f>
        <x:v>SEC2-009</x:v>
      </x:c>
      <x:c r="B27" s="7" t="str">
        <x:f>'Catalogo Maestro'!C191</x:f>
        <x:v>Gestión de vulnerabilidades y parches</x:v>
      </x:c>
      <x:c r="C27" s="7" t="str">
        <x:f>'Catalogo Maestro'!D191</x:f>
        <x:v>Calidad</x:v>
      </x:c>
      <x:c r="D27" s="7" t="str">
        <x:f>'Catalogo Maestro'!F191</x:f>
        <x:v>Prueba funcional posterior</x:v>
      </x:c>
      <x:c r="E27" s="7" t="str">
        <x:f>'Catalogo Maestro'!G191</x:f>
        <x:v>Base obligatorio</x:v>
      </x:c>
      <x:c r="F27" s="16" t="n">
        <x:f>'Catalogo Maestro'!J191</x:f>
        <x:v>0.5</x:v>
      </x:c>
      <x:c r="G27" s="16" t="n">
        <x:f>'Catalogo Maestro'!K191</x:f>
        <x:v>0.35</x:v>
      </x:c>
      <x:c r="H27" s="7" t="str">
        <x:f>'Catalogo Maestro'!L191</x:f>
        <x:v>Funciones críticas después del parche</x:v>
      </x:c>
      <x:c r="I27" s="12" t="n">
        <x:f>'Catalogo Maestro'!M191</x:f>
        <x:v>0</x:v>
      </x:c>
    </x:row>
    <x:row r="28">
      <x:c r="A28" s="11" t="str">
        <x:f>'Catalogo Maestro'!E192</x:f>
        <x:v>SEC2-010</x:v>
      </x:c>
      <x:c r="B28" s="7" t="str">
        <x:f>'Catalogo Maestro'!C192</x:f>
        <x:v>Gestión de vulnerabilidades y parches</x:v>
      </x:c>
      <x:c r="C28" s="7" t="str">
        <x:f>'Catalogo Maestro'!D192</x:f>
        <x:v>Revalidación</x:v>
      </x:c>
      <x:c r="D28" s="7" t="str">
        <x:f>'Catalogo Maestro'!F192</x:f>
        <x:v>Nuevo escaneo de verificación</x:v>
      </x:c>
      <x:c r="E28" s="7" t="str">
        <x:f>'Catalogo Maestro'!G192</x:f>
        <x:v>Base obligatorio</x:v>
      </x:c>
      <x:c r="F28" s="16" t="n">
        <x:f>'Catalogo Maestro'!J192</x:f>
        <x:v>1.5</x:v>
      </x:c>
      <x:c r="G28" s="16" t="n">
        <x:f>'Catalogo Maestro'!K192</x:f>
        <x:v>1.0499999999999998</x:v>
      </x:c>
      <x:c r="H28" s="7" t="str">
        <x:f>'Catalogo Maestro'!L192</x:f>
        <x:v>Cierre o riesgo residual</x:v>
      </x:c>
      <x:c r="I28" s="12" t="n">
        <x:f>'Catalogo Maestro'!M192</x:f>
        <x:v>0</x:v>
      </x:c>
    </x:row>
    <x:row r="29">
      <x:c r="A29" s="11" t="str">
        <x:f>'Catalogo Maestro'!E193</x:f>
        <x:v>SEC2-011</x:v>
      </x:c>
      <x:c r="B29" s="7" t="str">
        <x:f>'Catalogo Maestro'!C193</x:f>
        <x:v>Gestión de vulnerabilidades y parches</x:v>
      </x:c>
      <x:c r="C29" s="7" t="str">
        <x:f>'Catalogo Maestro'!D193</x:f>
        <x:v>Cierre</x:v>
      </x:c>
      <x:c r="D29" s="7" t="str">
        <x:f>'Catalogo Maestro'!F193</x:f>
        <x:v>Informe ejecutivo y técnico</x:v>
      </x:c>
      <x:c r="E29" s="7" t="str">
        <x:f>'Catalogo Maestro'!G193</x:f>
        <x:v>Base obligatorio</x:v>
      </x:c>
      <x:c r="F29" s="16" t="n">
        <x:f>'Catalogo Maestro'!J193</x:f>
        <x:v>2</x:v>
      </x:c>
      <x:c r="G29" s="16" t="n">
        <x:f>'Catalogo Maestro'!K193</x:f>
        <x:v>1.4</x:v>
      </x:c>
      <x:c r="H29" s="7" t="str">
        <x:f>'Catalogo Maestro'!L193</x:f>
        <x:v>Estado, riesgo residual y recomendaciones</x:v>
      </x:c>
      <x:c r="I29" s="12" t="n">
        <x:f>'Catalogo Maestro'!M193</x:f>
        <x:v>0</x:v>
      </x:c>
    </x:row>
    <x:row r="30">
      <x:c r="A30" s="11" t="str">
        <x:f>'Catalogo Maestro'!E194</x:f>
        <x:v>SEC3-001</x:v>
      </x:c>
      <x:c r="B30" s="7" t="str">
        <x:f>'Catalogo Maestro'!C194</x:f>
        <x:v>Identidad y control de accesos</x:v>
      </x:c>
      <x:c r="C30" s="7" t="str">
        <x:f>'Catalogo Maestro'!D194</x:f>
        <x:v>Diagnóstico</x:v>
      </x:c>
      <x:c r="D30" s="7" t="str">
        <x:f>'Catalogo Maestro'!F194</x:f>
        <x:v>Inventario de usuarios, roles y accesos</x:v>
      </x:c>
      <x:c r="E30" s="7" t="str">
        <x:f>'Catalogo Maestro'!G194</x:f>
        <x:v>Base obligatorio</x:v>
      </x:c>
      <x:c r="F30" s="16" t="n">
        <x:f>'Catalogo Maestro'!J194</x:f>
        <x:v>1.5</x:v>
      </x:c>
      <x:c r="G30" s="16" t="n">
        <x:f>'Catalogo Maestro'!K194</x:f>
        <x:v>1.0499999999999998</x:v>
      </x:c>
      <x:c r="H30" s="7" t="str">
        <x:f>'Catalogo Maestro'!L194</x:f>
        <x:v>Usuarios, grupos, permisos y propietarios</x:v>
      </x:c>
      <x:c r="I30" s="12" t="n">
        <x:f>'Catalogo Maestro'!M194</x:f>
        <x:v>0</x:v>
      </x:c>
    </x:row>
    <x:row r="31">
      <x:c r="A31" s="11" t="str">
        <x:f>'Catalogo Maestro'!E195</x:f>
        <x:v>SEC3-002</x:v>
      </x:c>
      <x:c r="B31" s="7" t="str">
        <x:f>'Catalogo Maestro'!C195</x:f>
        <x:v>Identidad y control de accesos</x:v>
      </x:c>
      <x:c r="C31" s="7" t="str">
        <x:f>'Catalogo Maestro'!D195</x:f>
        <x:v>Diseño</x:v>
      </x:c>
      <x:c r="D31" s="7" t="str">
        <x:f>'Catalogo Maestro'!F195</x:f>
        <x:v>Diseño de roles y segregación de funciones</x:v>
      </x:c>
      <x:c r="E31" s="7" t="str">
        <x:f>'Catalogo Maestro'!G195</x:f>
        <x:v>Base obligatorio</x:v>
      </x:c>
      <x:c r="F31" s="16" t="n">
        <x:f>'Catalogo Maestro'!J195</x:f>
        <x:v>1</x:v>
      </x:c>
      <x:c r="G31" s="16" t="n">
        <x:f>'Catalogo Maestro'!K195</x:f>
        <x:v>0.7</x:v>
      </x:c>
      <x:c r="H31" s="7" t="str">
        <x:f>'Catalogo Maestro'!L195</x:f>
        <x:v>Responsabilidades, permisos y conflictos</x:v>
      </x:c>
      <x:c r="I31" s="12" t="n">
        <x:f>'Catalogo Maestro'!M195</x:f>
        <x:v>0</x:v>
      </x:c>
    </x:row>
    <x:row r="32">
      <x:c r="A32" s="11" t="str">
        <x:f>'Catalogo Maestro'!E196</x:f>
        <x:v>SEC3-003</x:v>
      </x:c>
      <x:c r="B32" s="7" t="str">
        <x:f>'Catalogo Maestro'!C196</x:f>
        <x:v>Identidad y control de accesos</x:v>
      </x:c>
      <x:c r="C32" s="7" t="str">
        <x:f>'Catalogo Maestro'!D196</x:f>
        <x:v>Diseño</x:v>
      </x:c>
      <x:c r="D32" s="7" t="str">
        <x:f>'Catalogo Maestro'!F196</x:f>
        <x:v>Matriz de acceso por recurso</x:v>
      </x:c>
      <x:c r="E32" s="7" t="str">
        <x:f>'Catalogo Maestro'!G196</x:f>
        <x:v>Base obligatorio</x:v>
      </x:c>
      <x:c r="F32" s="16" t="n">
        <x:f>'Catalogo Maestro'!J196</x:f>
        <x:v>1</x:v>
      </x:c>
      <x:c r="G32" s="16" t="n">
        <x:f>'Catalogo Maestro'!K196</x:f>
        <x:v>0.7</x:v>
      </x:c>
      <x:c r="H32" s="7" t="str">
        <x:f>'Catalogo Maestro'!L196</x:f>
        <x:v>Lectura, edición, aprobación y administración</x:v>
      </x:c>
      <x:c r="I32" s="12" t="n">
        <x:f>'Catalogo Maestro'!M196</x:f>
        <x:v>0</x:v>
      </x:c>
    </x:row>
    <x:row r="33">
      <x:c r="A33" s="11" t="str">
        <x:f>'Catalogo Maestro'!E197</x:f>
        <x:v>SEC3-004</x:v>
      </x:c>
      <x:c r="B33" s="7" t="str">
        <x:f>'Catalogo Maestro'!C197</x:f>
        <x:v>Identidad y control de accesos</x:v>
      </x:c>
      <x:c r="C33" s="7" t="str">
        <x:f>'Catalogo Maestro'!D197</x:f>
        <x:v>Autenticación</x:v>
      </x:c>
      <x:c r="D33" s="7" t="str">
        <x:f>'Catalogo Maestro'!F197</x:f>
        <x:v>Configuración de autenticación multifactor</x:v>
      </x:c>
      <x:c r="E33" s="7" t="str">
        <x:f>'Catalogo Maestro'!G197</x:f>
        <x:v>Base incluido</x:v>
      </x:c>
      <x:c r="F33" s="16" t="n">
        <x:f>'Catalogo Maestro'!J197</x:f>
        <x:v>3</x:v>
      </x:c>
      <x:c r="G33" s="16" t="n">
        <x:f>'Catalogo Maestro'!K197</x:f>
        <x:v>2.0999999999999996</x:v>
      </x:c>
      <x:c r="H33" s="7" t="str">
        <x:f>'Catalogo Maestro'!L197</x:f>
        <x:v>Enrolamiento, recuperación y excepción</x:v>
      </x:c>
      <x:c r="I33" s="12" t="n">
        <x:f>'Catalogo Maestro'!M197</x:f>
        <x:v>0</x:v>
      </x:c>
    </x:row>
    <x:row r="34">
      <x:c r="A34" s="11" t="str">
        <x:f>'Catalogo Maestro'!E198</x:f>
        <x:v>SEC3-005</x:v>
      </x:c>
      <x:c r="B34" s="7" t="str">
        <x:f>'Catalogo Maestro'!C198</x:f>
        <x:v>Identidad y control de accesos</x:v>
      </x:c>
      <x:c r="C34" s="7" t="str">
        <x:f>'Catalogo Maestro'!D198</x:f>
        <x:v>Autenticación</x:v>
      </x:c>
      <x:c r="D34" s="7" t="str">
        <x:f>'Catalogo Maestro'!F198</x:f>
        <x:v>Política de contraseñas y sesión</x:v>
      </x:c>
      <x:c r="E34" s="7" t="str">
        <x:f>'Catalogo Maestro'!G198</x:f>
        <x:v>Base incluido</x:v>
      </x:c>
      <x:c r="F34" s="16" t="n">
        <x:f>'Catalogo Maestro'!J198</x:f>
        <x:v>1.5</x:v>
      </x:c>
      <x:c r="G34" s="16" t="n">
        <x:f>'Catalogo Maestro'!K198</x:f>
        <x:v>1.0499999999999998</x:v>
      </x:c>
      <x:c r="H34" s="7" t="str">
        <x:f>'Catalogo Maestro'!L198</x:f>
        <x:v>Complejidad, bloqueo, duración y recuperación</x:v>
      </x:c>
      <x:c r="I34" s="12" t="n">
        <x:f>'Catalogo Maestro'!M198</x:f>
        <x:v>0</x:v>
      </x:c>
    </x:row>
    <x:row r="35">
      <x:c r="A35" s="11" t="str">
        <x:f>'Catalogo Maestro'!E199</x:f>
        <x:v>SEC3-006</x:v>
      </x:c>
      <x:c r="B35" s="7" t="str">
        <x:f>'Catalogo Maestro'!C199</x:f>
        <x:v>Identidad y control de accesos</x:v>
      </x:c>
      <x:c r="C35" s="7" t="str">
        <x:f>'Catalogo Maestro'!D199</x:f>
        <x:v>Autorización</x:v>
      </x:c>
      <x:c r="D35" s="7" t="str">
        <x:f>'Catalogo Maestro'!F199</x:f>
        <x:v>Aplicación de mínimo privilegio</x:v>
      </x:c>
      <x:c r="E35" s="7" t="str">
        <x:f>'Catalogo Maestro'!G199</x:f>
        <x:v>Base incluido</x:v>
      </x:c>
      <x:c r="F35" s="16" t="n">
        <x:f>'Catalogo Maestro'!J199</x:f>
        <x:v>1</x:v>
      </x:c>
      <x:c r="G35" s="16" t="n">
        <x:f>'Catalogo Maestro'!K199</x:f>
        <x:v>0.7</x:v>
      </x:c>
      <x:c r="H35" s="7" t="str">
        <x:f>'Catalogo Maestro'!L199</x:f>
        <x:v>Reducción de privilegios y accesos heredados</x:v>
      </x:c>
      <x:c r="I35" s="12" t="n">
        <x:f>'Catalogo Maestro'!M199</x:f>
        <x:v>0</x:v>
      </x:c>
    </x:row>
    <x:row r="36">
      <x:c r="A36" s="11" t="str">
        <x:f>'Catalogo Maestro'!E200</x:f>
        <x:v>SEC3-007</x:v>
      </x:c>
      <x:c r="B36" s="7" t="str">
        <x:f>'Catalogo Maestro'!C200</x:f>
        <x:v>Identidad y control de accesos</x:v>
      </x:c>
      <x:c r="C36" s="7" t="str">
        <x:f>'Catalogo Maestro'!D200</x:f>
        <x:v>Ciclo de vida</x:v>
      </x:c>
      <x:c r="D36" s="7" t="str">
        <x:f>'Catalogo Maestro'!F200</x:f>
        <x:v>Proceso de alta, cambio y baja de usuarios</x:v>
      </x:c>
      <x:c r="E36" s="7" t="str">
        <x:f>'Catalogo Maestro'!G200</x:f>
        <x:v>Base obligatorio</x:v>
      </x:c>
      <x:c r="F36" s="16" t="n">
        <x:f>'Catalogo Maestro'!J200</x:f>
        <x:v>2</x:v>
      </x:c>
      <x:c r="G36" s="16" t="n">
        <x:f>'Catalogo Maestro'!K200</x:f>
        <x:v>1.4</x:v>
      </x:c>
      <x:c r="H36" s="7" t="str">
        <x:f>'Catalogo Maestro'!L200</x:f>
        <x:v>Solicitud, aprobación, ejecución y evidencia</x:v>
      </x:c>
      <x:c r="I36" s="12" t="n">
        <x:f>'Catalogo Maestro'!M200</x:f>
        <x:v>0</x:v>
      </x:c>
    </x:row>
    <x:row r="37">
      <x:c r="A37" s="11" t="str">
        <x:f>'Catalogo Maestro'!E201</x:f>
        <x:v>SEC3-008</x:v>
      </x:c>
      <x:c r="B37" s="7" t="str">
        <x:f>'Catalogo Maestro'!C201</x:f>
        <x:v>Identidad y control de accesos</x:v>
      </x:c>
      <x:c r="C37" s="7" t="str">
        <x:f>'Catalogo Maestro'!D201</x:f>
        <x:v>Cuentas</x:v>
      </x:c>
      <x:c r="D37" s="7" t="str">
        <x:f>'Catalogo Maestro'!F201</x:f>
        <x:v>Control de cuentas de servicio</x:v>
      </x:c>
      <x:c r="E37" s="7" t="str">
        <x:f>'Catalogo Maestro'!G201</x:f>
        <x:v>Opcional</x:v>
      </x:c>
      <x:c r="F37" s="16" t="n">
        <x:f>'Catalogo Maestro'!J201</x:f>
        <x:v>0.5</x:v>
      </x:c>
      <x:c r="G37" s="16" t="n">
        <x:f>'Catalogo Maestro'!K201</x:f>
        <x:v>0.35</x:v>
      </x:c>
      <x:c r="H37" s="7" t="str">
        <x:f>'Catalogo Maestro'!L201</x:f>
        <x:v>Propietario, secreto, uso y rotación</x:v>
      </x:c>
      <x:c r="I37" s="12" t="n">
        <x:f>'Catalogo Maestro'!M201</x:f>
        <x:v>0</x:v>
      </x:c>
    </x:row>
    <x:row r="38">
      <x:c r="A38" s="11" t="str">
        <x:f>'Catalogo Maestro'!E202</x:f>
        <x:v>SEC3-009</x:v>
      </x:c>
      <x:c r="B38" s="7" t="str">
        <x:f>'Catalogo Maestro'!C202</x:f>
        <x:v>Identidad y control de accesos</x:v>
      </x:c>
      <x:c r="C38" s="7" t="str">
        <x:f>'Catalogo Maestro'!D202</x:f>
        <x:v>Auditoría</x:v>
      </x:c>
      <x:c r="D38" s="7" t="str">
        <x:f>'Catalogo Maestro'!F202</x:f>
        <x:v>Registro de eventos de autenticación</x:v>
      </x:c>
      <x:c r="E38" s="7" t="str">
        <x:f>'Catalogo Maestro'!G202</x:f>
        <x:v>Base incluido</x:v>
      </x:c>
      <x:c r="F38" s="16" t="n">
        <x:f>'Catalogo Maestro'!J202</x:f>
        <x:v>1.5</x:v>
      </x:c>
      <x:c r="G38" s="16" t="n">
        <x:f>'Catalogo Maestro'!K202</x:f>
        <x:v>1.0499999999999998</x:v>
      </x:c>
      <x:c r="H38" s="7" t="str">
        <x:f>'Catalogo Maestro'!L202</x:f>
        <x:v>Ingreso, fallo, bloqueo y cambios</x:v>
      </x:c>
      <x:c r="I38" s="12" t="n">
        <x:f>'Catalogo Maestro'!M202</x:f>
        <x:v>0</x:v>
      </x:c>
    </x:row>
    <x:row r="39">
      <x:c r="A39" s="11" t="str">
        <x:f>'Catalogo Maestro'!E203</x:f>
        <x:v>SEC3-010</x:v>
      </x:c>
      <x:c r="B39" s="7" t="str">
        <x:f>'Catalogo Maestro'!C203</x:f>
        <x:v>Identidad y control de accesos</x:v>
      </x:c>
      <x:c r="C39" s="7" t="str">
        <x:f>'Catalogo Maestro'!D203</x:f>
        <x:v>Calidad</x:v>
      </x:c>
      <x:c r="D39" s="7" t="str">
        <x:f>'Catalogo Maestro'!F203</x:f>
        <x:v>Pruebas de acceso por rol</x:v>
      </x:c>
      <x:c r="E39" s="7" t="str">
        <x:f>'Catalogo Maestro'!G203</x:f>
        <x:v>Base obligatorio</x:v>
      </x:c>
      <x:c r="F39" s="16" t="n">
        <x:f>'Catalogo Maestro'!J203</x:f>
        <x:v>0.5</x:v>
      </x:c>
      <x:c r="G39" s="16" t="n">
        <x:f>'Catalogo Maestro'!K203</x:f>
        <x:v>0.35</x:v>
      </x:c>
      <x:c r="H39" s="7" t="str">
        <x:f>'Catalogo Maestro'!L203</x:f>
        <x:v>Permitidos, denegados y recuperación</x:v>
      </x:c>
      <x:c r="I39" s="12" t="n">
        <x:f>'Catalogo Maestro'!M203</x:f>
        <x:v>0</x:v>
      </x:c>
    </x:row>
    <x:row r="40">
      <x:c r="A40" s="11" t="str">
        <x:f>'Catalogo Maestro'!E204</x:f>
        <x:v>SEC3-011</x:v>
      </x:c>
      <x:c r="B40" s="7" t="str">
        <x:f>'Catalogo Maestro'!C204</x:f>
        <x:v>Identidad y control de accesos</x:v>
      </x:c>
      <x:c r="C40" s="7" t="str">
        <x:f>'Catalogo Maestro'!D204</x:f>
        <x:v>Cierre</x:v>
      </x:c>
      <x:c r="D40" s="7" t="str">
        <x:f>'Catalogo Maestro'!F204</x:f>
        <x:v>Documentación y transferencia</x:v>
      </x:c>
      <x:c r="E40" s="7" t="str">
        <x:f>'Catalogo Maestro'!G204</x:f>
        <x:v>Base obligatorio</x:v>
      </x:c>
      <x:c r="F40" s="16" t="n">
        <x:f>'Catalogo Maestro'!J204</x:f>
        <x:v>2</x:v>
      </x:c>
      <x:c r="G40" s="16" t="n">
        <x:f>'Catalogo Maestro'!K204</x:f>
        <x:v>1.4</x:v>
      </x:c>
      <x:c r="H40" s="7" t="str">
        <x:f>'Catalogo Maestro'!L204</x:f>
        <x:v>Roles, accesos y operación</x:v>
      </x:c>
      <x:c r="I40" s="12" t="n">
        <x:f>'Catalogo Maestro'!M204</x:f>
        <x:v>0</x:v>
      </x:c>
    </x:row>
    <x:row r="41">
      <x:c r="A41" s="11" t="str">
        <x:f>'Catalogo Maestro'!E205</x:f>
        <x:v>SEC4-001</x:v>
      </x:c>
      <x:c r="B41" s="7" t="str">
        <x:f>'Catalogo Maestro'!C205</x:f>
        <x:v>Preparación para respuesta a incidentes</x:v>
      </x:c>
      <x:c r="C41" s="7" t="str">
        <x:f>'Catalogo Maestro'!D205</x:f>
        <x:v>Escenarios</x:v>
      </x:c>
      <x:c r="D41" s="7" t="str">
        <x:f>'Catalogo Maestro'!F205</x:f>
        <x:v>Definición de escenarios prioritarios</x:v>
      </x:c>
      <x:c r="E41" s="7" t="str">
        <x:f>'Catalogo Maestro'!G205</x:f>
        <x:v>Base obligatorio</x:v>
      </x:c>
      <x:c r="F41" s="16" t="n">
        <x:f>'Catalogo Maestro'!J205</x:f>
        <x:v>0.75</x:v>
      </x:c>
      <x:c r="G41" s="16" t="n">
        <x:f>'Catalogo Maestro'!K205</x:f>
        <x:v>0.5249999999999999</x:v>
      </x:c>
      <x:c r="H41" s="7" t="str">
        <x:f>'Catalogo Maestro'!L205</x:f>
        <x:v>Acceso, malware, fuga e indisponibilidad</x:v>
      </x:c>
      <x:c r="I41" s="12" t="n">
        <x:f>'Catalogo Maestro'!M205</x:f>
        <x:v>0</x:v>
      </x:c>
    </x:row>
    <x:row r="42">
      <x:c r="A42" s="11" t="str">
        <x:f>'Catalogo Maestro'!E206</x:f>
        <x:v>SEC4-002</x:v>
      </x:c>
      <x:c r="B42" s="7" t="str">
        <x:f>'Catalogo Maestro'!C206</x:f>
        <x:v>Preparación para respuesta a incidentes</x:v>
      </x:c>
      <x:c r="C42" s="7" t="str">
        <x:f>'Catalogo Maestro'!D206</x:f>
        <x:v>Clasificación</x:v>
      </x:c>
      <x:c r="D42" s="7" t="str">
        <x:f>'Catalogo Maestro'!F206</x:f>
        <x:v>Definición de severidades y criterios</x:v>
      </x:c>
      <x:c r="E42" s="7" t="str">
        <x:f>'Catalogo Maestro'!G206</x:f>
        <x:v>Base obligatorio</x:v>
      </x:c>
      <x:c r="F42" s="16" t="n">
        <x:f>'Catalogo Maestro'!J206</x:f>
        <x:v>1.5</x:v>
      </x:c>
      <x:c r="G42" s="16" t="n">
        <x:f>'Catalogo Maestro'!K206</x:f>
        <x:v>1.0499999999999998</x:v>
      </x:c>
      <x:c r="H42" s="7" t="str">
        <x:f>'Catalogo Maestro'!L206</x:f>
        <x:v>Impacto, urgencia y escalamiento</x:v>
      </x:c>
      <x:c r="I42" s="12" t="n">
        <x:f>'Catalogo Maestro'!M206</x:f>
        <x:v>0</x:v>
      </x:c>
    </x:row>
    <x:row r="43">
      <x:c r="A43" s="11" t="str">
        <x:f>'Catalogo Maestro'!E207</x:f>
        <x:v>SEC4-003</x:v>
      </x:c>
      <x:c r="B43" s="7" t="str">
        <x:f>'Catalogo Maestro'!C207</x:f>
        <x:v>Preparación para respuesta a incidentes</x:v>
      </x:c>
      <x:c r="C43" s="7" t="str">
        <x:f>'Catalogo Maestro'!D207</x:f>
        <x:v>Organización</x:v>
      </x:c>
      <x:c r="D43" s="7" t="str">
        <x:f>'Catalogo Maestro'!F207</x:f>
        <x:v>Definición de roles y contactos</x:v>
      </x:c>
      <x:c r="E43" s="7" t="str">
        <x:f>'Catalogo Maestro'!G207</x:f>
        <x:v>Base obligatorio</x:v>
      </x:c>
      <x:c r="F43" s="16" t="n">
        <x:f>'Catalogo Maestro'!J207</x:f>
        <x:v>0.5</x:v>
      </x:c>
      <x:c r="G43" s="16" t="n">
        <x:f>'Catalogo Maestro'!K207</x:f>
        <x:v>0.35</x:v>
      </x:c>
      <x:c r="H43" s="7" t="str">
        <x:f>'Catalogo Maestro'!L207</x:f>
        <x:v>Responsables, suplentes y contactos</x:v>
      </x:c>
      <x:c r="I43" s="12" t="n">
        <x:f>'Catalogo Maestro'!M207</x:f>
        <x:v>0</x:v>
      </x:c>
    </x:row>
    <x:row r="44">
      <x:c r="A44" s="11" t="str">
        <x:f>'Catalogo Maestro'!E208</x:f>
        <x:v>SEC4-004</x:v>
      </x:c>
      <x:c r="B44" s="7" t="str">
        <x:f>'Catalogo Maestro'!C208</x:f>
        <x:v>Preparación para respuesta a incidentes</x:v>
      </x:c>
      <x:c r="C44" s="7" t="str">
        <x:f>'Catalogo Maestro'!D208</x:f>
        <x:v>Procedimientos</x:v>
      </x:c>
      <x:c r="D44" s="7" t="str">
        <x:f>'Catalogo Maestro'!F208</x:f>
        <x:v>Playbook de detección y análisis</x:v>
      </x:c>
      <x:c r="E44" s="7" t="str">
        <x:f>'Catalogo Maestro'!G208</x:f>
        <x:v>Base incluido</x:v>
      </x:c>
      <x:c r="F44" s="16" t="n">
        <x:f>'Catalogo Maestro'!J208</x:f>
        <x:v>1.5</x:v>
      </x:c>
      <x:c r="G44" s="16" t="n">
        <x:f>'Catalogo Maestro'!K208</x:f>
        <x:v>1.0499999999999998</x:v>
      </x:c>
      <x:c r="H44" s="7" t="str">
        <x:f>'Catalogo Maestro'!L208</x:f>
        <x:v>Evidencia, validación y clasificación</x:v>
      </x:c>
      <x:c r="I44" s="12" t="n">
        <x:f>'Catalogo Maestro'!M208</x:f>
        <x:v>0</x:v>
      </x:c>
    </x:row>
    <x:row r="45">
      <x:c r="A45" s="11" t="str">
        <x:f>'Catalogo Maestro'!E209</x:f>
        <x:v>SEC4-005</x:v>
      </x:c>
      <x:c r="B45" s="7" t="str">
        <x:f>'Catalogo Maestro'!C209</x:f>
        <x:v>Preparación para respuesta a incidentes</x:v>
      </x:c>
      <x:c r="C45" s="7" t="str">
        <x:f>'Catalogo Maestro'!D209</x:f>
        <x:v>Procedimientos</x:v>
      </x:c>
      <x:c r="D45" s="7" t="str">
        <x:f>'Catalogo Maestro'!F209</x:f>
        <x:v>Playbook de contención y erradicación</x:v>
      </x:c>
      <x:c r="E45" s="7" t="str">
        <x:f>'Catalogo Maestro'!G209</x:f>
        <x:v>Base incluido</x:v>
      </x:c>
      <x:c r="F45" s="16" t="n">
        <x:f>'Catalogo Maestro'!J209</x:f>
        <x:v>2</x:v>
      </x:c>
      <x:c r="G45" s="16" t="n">
        <x:f>'Catalogo Maestro'!K209</x:f>
        <x:v>1.4</x:v>
      </x:c>
      <x:c r="H45" s="7" t="str">
        <x:f>'Catalogo Maestro'!L209</x:f>
        <x:v>Aislamiento, bloqueo y limpieza</x:v>
      </x:c>
      <x:c r="I45" s="12" t="n">
        <x:f>'Catalogo Maestro'!M209</x:f>
        <x:v>0</x:v>
      </x:c>
    </x:row>
    <x:row r="46">
      <x:c r="A46" s="11" t="str">
        <x:f>'Catalogo Maestro'!E210</x:f>
        <x:v>SEC4-006</x:v>
      </x:c>
      <x:c r="B46" s="7" t="str">
        <x:f>'Catalogo Maestro'!C210</x:f>
        <x:v>Preparación para respuesta a incidentes</x:v>
      </x:c>
      <x:c r="C46" s="7" t="str">
        <x:f>'Catalogo Maestro'!D210</x:f>
        <x:v>Procedimientos</x:v>
      </x:c>
      <x:c r="D46" s="7" t="str">
        <x:f>'Catalogo Maestro'!F210</x:f>
        <x:v>Playbook de recuperación</x:v>
      </x:c>
      <x:c r="E46" s="7" t="str">
        <x:f>'Catalogo Maestro'!G210</x:f>
        <x:v>Base incluido</x:v>
      </x:c>
      <x:c r="F46" s="16" t="n">
        <x:f>'Catalogo Maestro'!J210</x:f>
        <x:v>1.5</x:v>
      </x:c>
      <x:c r="G46" s="16" t="n">
        <x:f>'Catalogo Maestro'!K210</x:f>
        <x:v>1.0499999999999998</x:v>
      </x:c>
      <x:c r="H46" s="7" t="str">
        <x:f>'Catalogo Maestro'!L210</x:f>
        <x:v>Restauración, validación y retorno</x:v>
      </x:c>
      <x:c r="I46" s="12" t="n">
        <x:f>'Catalogo Maestro'!M210</x:f>
        <x:v>0</x:v>
      </x:c>
    </x:row>
    <x:row r="47">
      <x:c r="A47" s="11" t="str">
        <x:f>'Catalogo Maestro'!E211</x:f>
        <x:v>SEC4-007</x:v>
      </x:c>
      <x:c r="B47" s="7" t="str">
        <x:f>'Catalogo Maestro'!C211</x:f>
        <x:v>Preparación para respuesta a incidentes</x:v>
      </x:c>
      <x:c r="C47" s="7" t="str">
        <x:f>'Catalogo Maestro'!D211</x:f>
        <x:v>Comunicación</x:v>
      </x:c>
      <x:c r="D47" s="7" t="str">
        <x:f>'Catalogo Maestro'!F211</x:f>
        <x:v>Plan de comunicación de incidentes</x:v>
      </x:c>
      <x:c r="E47" s="7" t="str">
        <x:f>'Catalogo Maestro'!G211</x:f>
        <x:v>Base obligatorio</x:v>
      </x:c>
      <x:c r="F47" s="16" t="n">
        <x:f>'Catalogo Maestro'!J211</x:f>
        <x:v>1.5</x:v>
      </x:c>
      <x:c r="G47" s="16" t="n">
        <x:f>'Catalogo Maestro'!K211</x:f>
        <x:v>1.0499999999999998</x:v>
      </x:c>
      <x:c r="H47" s="7" t="str">
        <x:f>'Catalogo Maestro'!L211</x:f>
        <x:v>Interna, cliente y terceros</x:v>
      </x:c>
      <x:c r="I47" s="12" t="n">
        <x:f>'Catalogo Maestro'!M211</x:f>
        <x:v>0</x:v>
      </x:c>
    </x:row>
    <x:row r="48">
      <x:c r="A48" s="11" t="str">
        <x:f>'Catalogo Maestro'!E212</x:f>
        <x:v>SEC4-008</x:v>
      </x:c>
      <x:c r="B48" s="7" t="str">
        <x:f>'Catalogo Maestro'!C212</x:f>
        <x:v>Preparación para respuesta a incidentes</x:v>
      </x:c>
      <x:c r="C48" s="7" t="str">
        <x:f>'Catalogo Maestro'!D212</x:f>
        <x:v>Evidencia</x:v>
      </x:c>
      <x:c r="D48" s="7" t="str">
        <x:f>'Catalogo Maestro'!F212</x:f>
        <x:v>Preparación de fuentes de evidencia</x:v>
      </x:c>
      <x:c r="E48" s="7" t="str">
        <x:f>'Catalogo Maestro'!G212</x:f>
        <x:v>Base incluido</x:v>
      </x:c>
      <x:c r="F48" s="16" t="n">
        <x:f>'Catalogo Maestro'!J212</x:f>
        <x:v>0.75</x:v>
      </x:c>
      <x:c r="G48" s="16" t="n">
        <x:f>'Catalogo Maestro'!K212</x:f>
        <x:v>0.5249999999999999</x:v>
      </x:c>
      <x:c r="H48" s="7" t="str">
        <x:f>'Catalogo Maestro'!L212</x:f>
        <x:v>Logs, respaldos y auditoría</x:v>
      </x:c>
      <x:c r="I48" s="12" t="n">
        <x:f>'Catalogo Maestro'!M212</x:f>
        <x:v>0</x:v>
      </x:c>
    </x:row>
    <x:row r="49">
      <x:c r="A49" s="11" t="str">
        <x:f>'Catalogo Maestro'!E213</x:f>
        <x:v>SEC4-009</x:v>
      </x:c>
      <x:c r="B49" s="7" t="str">
        <x:f>'Catalogo Maestro'!C213</x:f>
        <x:v>Preparación para respuesta a incidentes</x:v>
      </x:c>
      <x:c r="C49" s="7" t="str">
        <x:f>'Catalogo Maestro'!D213</x:f>
        <x:v>Simulación</x:v>
      </x:c>
      <x:c r="D49" s="7" t="str">
        <x:f>'Catalogo Maestro'!F213</x:f>
        <x:v>Diseño de ejercicio de mesa</x:v>
      </x:c>
      <x:c r="E49" s="7" t="str">
        <x:f>'Catalogo Maestro'!G213</x:f>
        <x:v>Base obligatorio</x:v>
      </x:c>
      <x:c r="F49" s="16" t="n">
        <x:f>'Catalogo Maestro'!J213</x:f>
        <x:v>2</x:v>
      </x:c>
      <x:c r="G49" s="16" t="n">
        <x:f>'Catalogo Maestro'!K213</x:f>
        <x:v>1.4</x:v>
      </x:c>
      <x:c r="H49" s="7" t="str">
        <x:f>'Catalogo Maestro'!L213</x:f>
        <x:v>Escenario, decisiones y criterios</x:v>
      </x:c>
      <x:c r="I49" s="12" t="n">
        <x:f>'Catalogo Maestro'!M213</x:f>
        <x:v>0</x:v>
      </x:c>
    </x:row>
    <x:row r="50">
      <x:c r="A50" s="11" t="str">
        <x:f>'Catalogo Maestro'!E214</x:f>
        <x:v>SEC4-010</x:v>
      </x:c>
      <x:c r="B50" s="7" t="str">
        <x:f>'Catalogo Maestro'!C214</x:f>
        <x:v>Preparación para respuesta a incidentes</x:v>
      </x:c>
      <x:c r="C50" s="7" t="str">
        <x:f>'Catalogo Maestro'!D214</x:f>
        <x:v>Simulación</x:v>
      </x:c>
      <x:c r="D50" s="7" t="str">
        <x:f>'Catalogo Maestro'!F214</x:f>
        <x:v>Ejecución de ejercicio de mesa</x:v>
      </x:c>
      <x:c r="E50" s="7" t="str">
        <x:f>'Catalogo Maestro'!G214</x:f>
        <x:v>Base obligatorio</x:v>
      </x:c>
      <x:c r="F50" s="16" t="n">
        <x:f>'Catalogo Maestro'!J214</x:f>
        <x:v>3</x:v>
      </x:c>
      <x:c r="G50" s="16" t="n">
        <x:f>'Catalogo Maestro'!K214</x:f>
        <x:v>2.0999999999999996</x:v>
      </x:c>
      <x:c r="H50" s="7" t="str">
        <x:f>'Catalogo Maestro'!L214</x:f>
        <x:v>Tiempos, coordinación y evidencia</x:v>
      </x:c>
      <x:c r="I50" s="12" t="n">
        <x:f>'Catalogo Maestro'!M214</x:f>
        <x:v>0</x:v>
      </x:c>
    </x:row>
    <x:row r="51">
      <x:c r="A51" s="13" t="str">
        <x:f>'Catalogo Maestro'!E215</x:f>
        <x:v>SEC4-011</x:v>
      </x:c>
      <x:c r="B51" s="14" t="str">
        <x:f>'Catalogo Maestro'!C215</x:f>
        <x:v>Preparación para respuesta a incidentes</x:v>
      </x:c>
      <x:c r="C51" s="14" t="str">
        <x:f>'Catalogo Maestro'!D215</x:f>
        <x:v>Mejora</x:v>
      </x:c>
      <x:c r="D51" s="14" t="str">
        <x:f>'Catalogo Maestro'!F215</x:f>
        <x:v>Informe de brechas y plan de mejora</x:v>
      </x:c>
      <x:c r="E51" s="14" t="str">
        <x:f>'Catalogo Maestro'!G215</x:f>
        <x:v>Base obligatorio</x:v>
      </x:c>
      <x:c r="F51" s="22" t="n">
        <x:f>'Catalogo Maestro'!J215</x:f>
        <x:v>2</x:v>
      </x:c>
      <x:c r="G51" s="22" t="n">
        <x:f>'Catalogo Maestro'!K215</x:f>
        <x:v>1.4</x:v>
      </x:c>
      <x:c r="H51" s="14" t="str">
        <x:f>'Catalogo Maestro'!L215</x:f>
        <x:v>Hallazgos, acciones y responsables</x:v>
      </x:c>
      <x:c r="I51" s="15" t="n">
        <x:f>'Catalogo Maestro'!M215</x:f>
        <x:v>0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9" defaultRowHeight="14.25"/>
  <x:cols>
    <x:col min="1" max="1" width="14" customWidth="1"/>
    <x:col min="2" max="2" width="42" customWidth="1"/>
    <x:col min="3" max="3" width="18" customWidth="1"/>
    <x:col min="4" max="4" width="48" customWidth="1"/>
    <x:col min="5" max="5" width="18" customWidth="1"/>
    <x:col min="6" max="7" width="16" customWidth="1"/>
    <x:col min="8" max="8" width="62" customWidth="1"/>
    <x:col min="9" max="9" width="52" customWidth="1"/>
  </x:cols>
  <x:sheetData>
    <x:row r="1" ht="33.95000076293945" customHeight="1">
      <x:c r="A1" s="36" t="s">
        <x:v>1145</x:v>
      </x:c>
      <x:c r="B1" s="36"/>
      <x:c r="C1" s="36"/>
      <x:c r="D1" s="36"/>
      <x:c r="E1" s="36"/>
      <x:c r="F1" s="36"/>
      <x:c r="G1" s="36"/>
      <x:c r="H1" s="36"/>
      <x:c r="I1" s="36"/>
    </x:row>
    <x:row r="3" ht="33.95000076293945" customHeight="1">
      <x:c r="A3" s="37" t="s">
        <x:v>1139</x:v>
      </x:c>
      <x:c r="B3" s="37"/>
      <x:c r="C3" s="37"/>
      <x:c r="D3" s="37"/>
      <x:c r="E3" s="37"/>
      <x:c r="F3" s="37"/>
      <x:c r="G3" s="37"/>
      <x:c r="H3" s="37"/>
      <x:c r="I3" s="37"/>
    </x:row>
    <x:row r="5" ht="27.950000762939453" customHeight="1">
      <x:c r="A5" s="6" t="s">
        <x:v>95</x:v>
      </x:c>
      <x:c r="B5" s="6" t="s">
        <x:v>496</x:v>
      </x:c>
      <x:c r="C5" s="6" t="s">
        <x:v>149</x:v>
      </x:c>
      <x:c r="D5" s="6" t="s">
        <x:v>151</x:v>
      </x:c>
      <x:c r="E5" s="6" t="s">
        <x:v>152</x:v>
      </x:c>
      <x:c r="F5" s="6" t="s">
        <x:v>1140</x:v>
      </x:c>
      <x:c r="G5" s="6" t="s">
        <x:v>99</x:v>
      </x:c>
      <x:c r="H5" s="6" t="s">
        <x:v>156</x:v>
      </x:c>
      <x:c r="I5" s="6" t="s">
        <x:v>157</x:v>
      </x:c>
    </x:row>
    <x:row r="6">
      <x:c r="A6" s="8" t="str">
        <x:f>'Catalogo Maestro'!E216</x:f>
        <x:v>SUP1-001</x:v>
      </x:c>
      <x:c r="B6" s="9" t="str">
        <x:f>'Catalogo Maestro'!C216</x:f>
        <x:v>Implementación de mesa de ayuda</x:v>
      </x:c>
      <x:c r="C6" s="9" t="str">
        <x:f>'Catalogo Maestro'!D216</x:f>
        <x:v>Diseño</x:v>
      </x:c>
      <x:c r="D6" s="9" t="str">
        <x:f>'Catalogo Maestro'!F216</x:f>
        <x:v>Definición del catálogo de atención</x:v>
      </x:c>
      <x:c r="E6" s="9" t="str">
        <x:f>'Catalogo Maestro'!G216</x:f>
        <x:v>Base obligatorio</x:v>
      </x:c>
      <x:c r="F6" s="21" t="n">
        <x:f>'Catalogo Maestro'!J216</x:f>
        <x:v>0.5</x:v>
      </x:c>
      <x:c r="G6" s="21" t="n">
        <x:f>'Catalogo Maestro'!K216</x:f>
        <x:v>0.35</x:v>
      </x:c>
      <x:c r="H6" s="9" t="str">
        <x:f>'Catalogo Maestro'!L216</x:f>
        <x:v>Servicios, solicitudes y exclusiones</x:v>
      </x:c>
      <x:c r="I6" s="10" t="n">
        <x:f>'Catalogo Maestro'!M216</x:f>
        <x:v>0</x:v>
      </x:c>
    </x:row>
    <x:row r="7">
      <x:c r="A7" s="11" t="str">
        <x:f>'Catalogo Maestro'!E217</x:f>
        <x:v>SUP1-002</x:v>
      </x:c>
      <x:c r="B7" s="7" t="str">
        <x:f>'Catalogo Maestro'!C217</x:f>
        <x:v>Implementación de mesa de ayuda</x:v>
      </x:c>
      <x:c r="C7" s="7" t="str">
        <x:f>'Catalogo Maestro'!D217</x:f>
        <x:v>Diseño</x:v>
      </x:c>
      <x:c r="D7" s="7" t="str">
        <x:f>'Catalogo Maestro'!F217</x:f>
        <x:v>Definición de canales de ingreso</x:v>
      </x:c>
      <x:c r="E7" s="7" t="str">
        <x:f>'Catalogo Maestro'!G217</x:f>
        <x:v>Base obligatorio</x:v>
      </x:c>
      <x:c r="F7" s="16" t="n">
        <x:f>'Catalogo Maestro'!J217</x:f>
        <x:v>0.75</x:v>
      </x:c>
      <x:c r="G7" s="16" t="n">
        <x:f>'Catalogo Maestro'!K217</x:f>
        <x:v>0.5249999999999999</x:v>
      </x:c>
      <x:c r="H7" s="7" t="str">
        <x:f>'Catalogo Maestro'!L217</x:f>
        <x:v>Formulario, correo o portal</x:v>
      </x:c>
      <x:c r="I7" s="12" t="n">
        <x:f>'Catalogo Maestro'!M217</x:f>
        <x:v>0</x:v>
      </x:c>
    </x:row>
    <x:row r="8">
      <x:c r="A8" s="11" t="str">
        <x:f>'Catalogo Maestro'!E218</x:f>
        <x:v>SUP1-003</x:v>
      </x:c>
      <x:c r="B8" s="7" t="str">
        <x:f>'Catalogo Maestro'!C218</x:f>
        <x:v>Implementación de mesa de ayuda</x:v>
      </x:c>
      <x:c r="C8" s="7" t="str">
        <x:f>'Catalogo Maestro'!D218</x:f>
        <x:v>Proceso</x:v>
      </x:c>
      <x:c r="D8" s="7" t="str">
        <x:f>'Catalogo Maestro'!F218</x:f>
        <x:v>Parametrización del flujo básico de tickets</x:v>
      </x:c>
      <x:c r="E8" s="7" t="str">
        <x:f>'Catalogo Maestro'!G218</x:f>
        <x:v>Base obligatorio</x:v>
      </x:c>
      <x:c r="F8" s="16" t="n">
        <x:f>'Catalogo Maestro'!J218</x:f>
        <x:v>2.5</x:v>
      </x:c>
      <x:c r="G8" s="16" t="n">
        <x:f>'Catalogo Maestro'!K218</x:f>
        <x:v>1.75</x:v>
      </x:c>
      <x:c r="H8" s="7" t="str">
        <x:f>'Catalogo Maestro'!L218</x:f>
        <x:v>Configuración operativa de estados, asignación y cierre sobre una definición básica.</x:v>
      </x:c>
      <x:c r="I8" s="12" t="str">
        <x:f>'Catalogo Maestro'!M218</x:f>
        <x:v>El diseño formal de procesos ITSM se cotiza en SUP-02.</x:v>
      </x:c>
    </x:row>
    <x:row r="9">
      <x:c r="A9" s="11" t="str">
        <x:f>'Catalogo Maestro'!E219</x:f>
        <x:v>SUP1-004</x:v>
      </x:c>
      <x:c r="B9" s="7" t="str">
        <x:f>'Catalogo Maestro'!C219</x:f>
        <x:v>Implementación de mesa de ayuda</x:v>
      </x:c>
      <x:c r="C9" s="7" t="str">
        <x:f>'Catalogo Maestro'!D219</x:f>
        <x:v>Proceso</x:v>
      </x:c>
      <x:c r="D9" s="7" t="str">
        <x:f>'Catalogo Maestro'!F219</x:f>
        <x:v>Parametrización de prioridades y severidades</x:v>
      </x:c>
      <x:c r="E9" s="7" t="str">
        <x:f>'Catalogo Maestro'!G219</x:f>
        <x:v>Base obligatorio</x:v>
      </x:c>
      <x:c r="F9" s="16" t="n">
        <x:f>'Catalogo Maestro'!J219</x:f>
        <x:v>0.5</x:v>
      </x:c>
      <x:c r="G9" s="16" t="n">
        <x:f>'Catalogo Maestro'!K219</x:f>
        <x:v>0.35</x:v>
      </x:c>
      <x:c r="H9" s="7" t="str">
        <x:f>'Catalogo Maestro'!L219</x:f>
        <x:v>Configuración en la herramienta de niveles previamente acordados.</x:v>
      </x:c>
      <x:c r="I9" s="12" t="str">
        <x:f>'Catalogo Maestro'!M219</x:f>
        <x:v>La definición metodológica completa se cotiza en SUP-02.</x:v>
      </x:c>
    </x:row>
    <x:row r="10">
      <x:c r="A10" s="11" t="str">
        <x:f>'Catalogo Maestro'!E220</x:f>
        <x:v>SUP1-005</x:v>
      </x:c>
      <x:c r="B10" s="7" t="str">
        <x:f>'Catalogo Maestro'!C220</x:f>
        <x:v>Implementación de mesa de ayuda</x:v>
      </x:c>
      <x:c r="C10" s="7" t="str">
        <x:f>'Catalogo Maestro'!D220</x:f>
        <x:v>SLA</x:v>
      </x:c>
      <x:c r="D10" s="7" t="str">
        <x:f>'Catalogo Maestro'!F220</x:f>
        <x:v>Parametrización de SLA definidos</x:v>
      </x:c>
      <x:c r="E10" s="7" t="str">
        <x:f>'Catalogo Maestro'!G220</x:f>
        <x:v>Base obligatorio</x:v>
      </x:c>
      <x:c r="F10" s="16" t="n">
        <x:f>'Catalogo Maestro'!J220</x:f>
        <x:v>0.5</x:v>
      </x:c>
      <x:c r="G10" s="16" t="n">
        <x:f>'Catalogo Maestro'!K220</x:f>
        <x:v>0.35</x:v>
      </x:c>
      <x:c r="H10" s="7" t="str">
        <x:f>'Catalogo Maestro'!L220</x:f>
        <x:v>Configuración de tiempos de respuesta, resolución y cobertura en la herramienta.</x:v>
      </x:c>
      <x:c r="I10" s="12" t="str">
        <x:f>'Catalogo Maestro'!M220</x:f>
        <x:v>La definición y gobierno formal de SLA se cotizan en SUP-02.</x:v>
      </x:c>
    </x:row>
    <x:row r="11">
      <x:c r="A11" s="11" t="str">
        <x:f>'Catalogo Maestro'!E221</x:f>
        <x:v>SUP1-006</x:v>
      </x:c>
      <x:c r="B11" s="7" t="str">
        <x:f>'Catalogo Maestro'!C221</x:f>
        <x:v>Implementación de mesa de ayuda</x:v>
      </x:c>
      <x:c r="C11" s="7" t="str">
        <x:f>'Catalogo Maestro'!D221</x:f>
        <x:v>Configuración</x:v>
      </x:c>
      <x:c r="D11" s="7" t="str">
        <x:f>'Catalogo Maestro'!F221</x:f>
        <x:v>Configuración de campos y formularios</x:v>
      </x:c>
      <x:c r="E11" s="7" t="str">
        <x:f>'Catalogo Maestro'!G221</x:f>
        <x:v>Base incluido</x:v>
      </x:c>
      <x:c r="F11" s="16" t="n">
        <x:f>'Catalogo Maestro'!J221</x:f>
        <x:v>1</x:v>
      </x:c>
      <x:c r="G11" s="16" t="n">
        <x:f>'Catalogo Maestro'!K221</x:f>
        <x:v>0.7</x:v>
      </x:c>
      <x:c r="H11" s="7" t="str">
        <x:f>'Catalogo Maestro'!L221</x:f>
        <x:v>Campos, validaciones y clasificación</x:v>
      </x:c>
      <x:c r="I11" s="12" t="n">
        <x:f>'Catalogo Maestro'!M221</x:f>
        <x:v>0</x:v>
      </x:c>
    </x:row>
    <x:row r="12">
      <x:c r="A12" s="11" t="str">
        <x:f>'Catalogo Maestro'!E222</x:f>
        <x:v>SUP1-007</x:v>
      </x:c>
      <x:c r="B12" s="7" t="str">
        <x:f>'Catalogo Maestro'!C222</x:f>
        <x:v>Implementación de mesa de ayuda</x:v>
      </x:c>
      <x:c r="C12" s="7" t="str">
        <x:f>'Catalogo Maestro'!D222</x:f>
        <x:v>Configuración</x:v>
      </x:c>
      <x:c r="D12" s="7" t="str">
        <x:f>'Catalogo Maestro'!F222</x:f>
        <x:v>Configuración de estados y automatizaciones</x:v>
      </x:c>
      <x:c r="E12" s="7" t="str">
        <x:f>'Catalogo Maestro'!G222</x:f>
        <x:v>Base incluido</x:v>
      </x:c>
      <x:c r="F12" s="16" t="n">
        <x:f>'Catalogo Maestro'!J222</x:f>
        <x:v>1.5</x:v>
      </x:c>
      <x:c r="G12" s="16" t="n">
        <x:f>'Catalogo Maestro'!K222</x:f>
        <x:v>1.0499999999999998</x:v>
      </x:c>
      <x:c r="H12" s="7" t="str">
        <x:f>'Catalogo Maestro'!L222</x:f>
        <x:v>Asignación, notificación y escalamiento</x:v>
      </x:c>
      <x:c r="I12" s="12" t="n">
        <x:f>'Catalogo Maestro'!M222</x:f>
        <x:v>0</x:v>
      </x:c>
    </x:row>
    <x:row r="13">
      <x:c r="A13" s="11" t="str">
        <x:f>'Catalogo Maestro'!E223</x:f>
        <x:v>SUP1-008</x:v>
      </x:c>
      <x:c r="B13" s="7" t="str">
        <x:f>'Catalogo Maestro'!C223</x:f>
        <x:v>Implementación de mesa de ayuda</x:v>
      </x:c>
      <x:c r="C13" s="7" t="str">
        <x:f>'Catalogo Maestro'!D223</x:f>
        <x:v>Configuración</x:v>
      </x:c>
      <x:c r="D13" s="7" t="str">
        <x:f>'Catalogo Maestro'!F223</x:f>
        <x:v>Configuración de usuarios y permisos</x:v>
      </x:c>
      <x:c r="E13" s="7" t="str">
        <x:f>'Catalogo Maestro'!G223</x:f>
        <x:v>Base incluido</x:v>
      </x:c>
      <x:c r="F13" s="16" t="n">
        <x:f>'Catalogo Maestro'!J223</x:f>
        <x:v>0.75</x:v>
      </x:c>
      <x:c r="G13" s="16" t="n">
        <x:f>'Catalogo Maestro'!K223</x:f>
        <x:v>0.5249999999999999</x:v>
      </x:c>
      <x:c r="H13" s="7" t="str">
        <x:f>'Catalogo Maestro'!L223</x:f>
        <x:v>Agentes, administradores y solicitantes</x:v>
      </x:c>
      <x:c r="I13" s="12" t="n">
        <x:f>'Catalogo Maestro'!M223</x:f>
        <x:v>0</x:v>
      </x:c>
    </x:row>
    <x:row r="14">
      <x:c r="A14" s="11" t="str">
        <x:f>'Catalogo Maestro'!E224</x:f>
        <x:v>SUP1-009</x:v>
      </x:c>
      <x:c r="B14" s="7" t="str">
        <x:f>'Catalogo Maestro'!C224</x:f>
        <x:v>Implementación de mesa de ayuda</x:v>
      </x:c>
      <x:c r="C14" s="7" t="str">
        <x:f>'Catalogo Maestro'!D224</x:f>
        <x:v>Comunicación</x:v>
      </x:c>
      <x:c r="D14" s="7" t="str">
        <x:f>'Catalogo Maestro'!F224</x:f>
        <x:v>Plantillas de comunicación</x:v>
      </x:c>
      <x:c r="E14" s="7" t="str">
        <x:f>'Catalogo Maestro'!G224</x:f>
        <x:v>Base incluido</x:v>
      </x:c>
      <x:c r="F14" s="16" t="n">
        <x:f>'Catalogo Maestro'!J224</x:f>
        <x:v>0.5</x:v>
      </x:c>
      <x:c r="G14" s="16" t="n">
        <x:f>'Catalogo Maestro'!K224</x:f>
        <x:v>0.35</x:v>
      </x:c>
      <x:c r="H14" s="7" t="str">
        <x:f>'Catalogo Maestro'!L224</x:f>
        <x:v>Recepción, actualización y cierre</x:v>
      </x:c>
      <x:c r="I14" s="12" t="n">
        <x:f>'Catalogo Maestro'!M224</x:f>
        <x:v>0</x:v>
      </x:c>
    </x:row>
    <x:row r="15">
      <x:c r="A15" s="11" t="str">
        <x:f>'Catalogo Maestro'!E225</x:f>
        <x:v>SUP1-010</x:v>
      </x:c>
      <x:c r="B15" s="7" t="str">
        <x:f>'Catalogo Maestro'!C225</x:f>
        <x:v>Implementación de mesa de ayuda</x:v>
      </x:c>
      <x:c r="C15" s="7" t="str">
        <x:f>'Catalogo Maestro'!D225</x:f>
        <x:v>Reportes</x:v>
      </x:c>
      <x:c r="D15" s="7" t="str">
        <x:f>'Catalogo Maestro'!F225</x:f>
        <x:v>Dashboard y reporte inicial de puesta en marcha</x:v>
      </x:c>
      <x:c r="E15" s="7" t="str">
        <x:f>'Catalogo Maestro'!G225</x:f>
        <x:v>Base incluido</x:v>
      </x:c>
      <x:c r="F15" s="16" t="n">
        <x:f>'Catalogo Maestro'!J225</x:f>
        <x:v>2</x:v>
      </x:c>
      <x:c r="G15" s="16" t="n">
        <x:f>'Catalogo Maestro'!K225</x:f>
        <x:v>1.4</x:v>
      </x:c>
      <x:c r="H15" s="7" t="str">
        <x:f>'Catalogo Maestro'!L225</x:f>
        <x:v>Vista inicial de volumen, tiempos y estado para validar la operación.</x:v>
      </x:c>
      <x:c r="I15" s="12" t="str">
        <x:f>'Catalogo Maestro'!M225</x:f>
        <x:v>La reportería operacional avanzada se contabiliza en SUP2-010.</x:v>
      </x:c>
    </x:row>
    <x:row r="16">
      <x:c r="A16" s="11" t="str">
        <x:f>'Catalogo Maestro'!E226</x:f>
        <x:v>SUP1-011</x:v>
      </x:c>
      <x:c r="B16" s="7" t="str">
        <x:f>'Catalogo Maestro'!C226</x:f>
        <x:v>Implementación de mesa de ayuda</x:v>
      </x:c>
      <x:c r="C16" s="7" t="str">
        <x:f>'Catalogo Maestro'!D226</x:f>
        <x:v>Calidad</x:v>
      </x:c>
      <x:c r="D16" s="7" t="str">
        <x:f>'Catalogo Maestro'!F226</x:f>
        <x:v>Piloto con casos de atención</x:v>
      </x:c>
      <x:c r="E16" s="7" t="str">
        <x:f>'Catalogo Maestro'!G226</x:f>
        <x:v>Base obligatorio</x:v>
      </x:c>
      <x:c r="F16" s="16" t="n">
        <x:f>'Catalogo Maestro'!J226</x:f>
        <x:v>0.5</x:v>
      </x:c>
      <x:c r="G16" s="16" t="n">
        <x:f>'Catalogo Maestro'!K226</x:f>
        <x:v>0.35</x:v>
      </x:c>
      <x:c r="H16" s="7" t="str">
        <x:f>'Catalogo Maestro'!L226</x:f>
        <x:v>Creación, asignación, atención y cierre</x:v>
      </x:c>
      <x:c r="I16" s="12" t="n">
        <x:f>'Catalogo Maestro'!M226</x:f>
        <x:v>0</x:v>
      </x:c>
    </x:row>
    <x:row r="17">
      <x:c r="A17" s="11" t="str">
        <x:f>'Catalogo Maestro'!E227</x:f>
        <x:v>SUP1-012</x:v>
      </x:c>
      <x:c r="B17" s="7" t="str">
        <x:f>'Catalogo Maestro'!C227</x:f>
        <x:v>Implementación de mesa de ayuda</x:v>
      </x:c>
      <x:c r="C17" s="7" t="str">
        <x:f>'Catalogo Maestro'!D227</x:f>
        <x:v>Entrega</x:v>
      </x:c>
      <x:c r="D17" s="7" t="str">
        <x:f>'Catalogo Maestro'!F227</x:f>
        <x:v>Capacitación y documentación</x:v>
      </x:c>
      <x:c r="E17" s="7" t="str">
        <x:f>'Catalogo Maestro'!G227</x:f>
        <x:v>Base obligatorio</x:v>
      </x:c>
      <x:c r="F17" s="16" t="n">
        <x:f>'Catalogo Maestro'!J227</x:f>
        <x:v>2</x:v>
      </x:c>
      <x:c r="G17" s="16" t="n">
        <x:f>'Catalogo Maestro'!K227</x:f>
        <x:v>1.4</x:v>
      </x:c>
      <x:c r="H17" s="7" t="str">
        <x:f>'Catalogo Maestro'!L227</x:f>
        <x:v>Uso, administración y soporte</x:v>
      </x:c>
      <x:c r="I17" s="12" t="n">
        <x:f>'Catalogo Maestro'!M227</x:f>
        <x:v>0</x:v>
      </x:c>
    </x:row>
    <x:row r="18">
      <x:c r="A18" s="11" t="str">
        <x:f>'Catalogo Maestro'!E228</x:f>
        <x:v>SUP2-001</x:v>
      </x:c>
      <x:c r="B18" s="7" t="str">
        <x:f>'Catalogo Maestro'!C228</x:f>
        <x:v>Gestión de incidentes, solicitudes y cambios</x:v>
      </x:c>
      <x:c r="C18" s="7" t="str">
        <x:f>'Catalogo Maestro'!D228</x:f>
        <x:v>Gobierno</x:v>
      </x:c>
      <x:c r="D18" s="7" t="str">
        <x:f>'Catalogo Maestro'!F228</x:f>
        <x:v>Definición de alcance de procesos ITSM</x:v>
      </x:c>
      <x:c r="E18" s="7" t="str">
        <x:f>'Catalogo Maestro'!G228</x:f>
        <x:v>Base obligatorio</x:v>
      </x:c>
      <x:c r="F18" s="16" t="n">
        <x:f>'Catalogo Maestro'!J228</x:f>
        <x:v>0.75</x:v>
      </x:c>
      <x:c r="G18" s="16" t="n">
        <x:f>'Catalogo Maestro'!K228</x:f>
        <x:v>0.5249999999999999</x:v>
      </x:c>
      <x:c r="H18" s="7" t="str">
        <x:f>'Catalogo Maestro'!L228</x:f>
        <x:v>Incidente, solicitud, problema y cambio</x:v>
      </x:c>
      <x:c r="I18" s="12" t="n">
        <x:f>'Catalogo Maestro'!M228</x:f>
        <x:v>0</x:v>
      </x:c>
    </x:row>
    <x:row r="19">
      <x:c r="A19" s="11" t="str">
        <x:f>'Catalogo Maestro'!E229</x:f>
        <x:v>SUP2-002</x:v>
      </x:c>
      <x:c r="B19" s="7" t="str">
        <x:f>'Catalogo Maestro'!C229</x:f>
        <x:v>Gestión de incidentes, solicitudes y cambios</x:v>
      </x:c>
      <x:c r="C19" s="7" t="str">
        <x:f>'Catalogo Maestro'!D229</x:f>
        <x:v>Proceso</x:v>
      </x:c>
      <x:c r="D19" s="7" t="str">
        <x:f>'Catalogo Maestro'!F229</x:f>
        <x:v>Diseño formal del proceso de incidentes</x:v>
      </x:c>
      <x:c r="E19" s="7" t="str">
        <x:f>'Catalogo Maestro'!G229</x:f>
        <x:v>Base obligatorio</x:v>
      </x:c>
      <x:c r="F19" s="16" t="n">
        <x:f>'Catalogo Maestro'!J229</x:f>
        <x:v>2</x:v>
      </x:c>
      <x:c r="G19" s="16" t="n">
        <x:f>'Catalogo Maestro'!K229</x:f>
        <x:v>1.4</x:v>
      </x:c>
      <x:c r="H19" s="7" t="str">
        <x:f>'Catalogo Maestro'!L229</x:f>
        <x:v>Registro, clasificación, escalamiento y cierre</x:v>
      </x:c>
      <x:c r="I19" s="12" t="n">
        <x:f>'Catalogo Maestro'!M229</x:f>
        <x:v>0</x:v>
      </x:c>
    </x:row>
    <x:row r="20">
      <x:c r="A20" s="11" t="str">
        <x:f>'Catalogo Maestro'!E230</x:f>
        <x:v>SUP2-003</x:v>
      </x:c>
      <x:c r="B20" s="7" t="str">
        <x:f>'Catalogo Maestro'!C230</x:f>
        <x:v>Gestión de incidentes, solicitudes y cambios</x:v>
      </x:c>
      <x:c r="C20" s="7" t="str">
        <x:f>'Catalogo Maestro'!D230</x:f>
        <x:v>Proceso</x:v>
      </x:c>
      <x:c r="D20" s="7" t="str">
        <x:f>'Catalogo Maestro'!F230</x:f>
        <x:v>Diseño formal del proceso de solicitudes</x:v>
      </x:c>
      <x:c r="E20" s="7" t="str">
        <x:f>'Catalogo Maestro'!G230</x:f>
        <x:v>Base obligatorio</x:v>
      </x:c>
      <x:c r="F20" s="16" t="n">
        <x:f>'Catalogo Maestro'!J230</x:f>
        <x:v>1.5</x:v>
      </x:c>
      <x:c r="G20" s="16" t="n">
        <x:f>'Catalogo Maestro'!K230</x:f>
        <x:v>1.0499999999999998</x:v>
      </x:c>
      <x:c r="H20" s="7" t="str">
        <x:f>'Catalogo Maestro'!L230</x:f>
        <x:v>Catálogo, aprobación y entrega</x:v>
      </x:c>
      <x:c r="I20" s="12" t="n">
        <x:f>'Catalogo Maestro'!M230</x:f>
        <x:v>0</x:v>
      </x:c>
    </x:row>
    <x:row r="21">
      <x:c r="A21" s="11" t="str">
        <x:f>'Catalogo Maestro'!E231</x:f>
        <x:v>SUP2-004</x:v>
      </x:c>
      <x:c r="B21" s="7" t="str">
        <x:f>'Catalogo Maestro'!C231</x:f>
        <x:v>Gestión de incidentes, solicitudes y cambios</x:v>
      </x:c>
      <x:c r="C21" s="7" t="str">
        <x:f>'Catalogo Maestro'!D231</x:f>
        <x:v>Proceso</x:v>
      </x:c>
      <x:c r="D21" s="7" t="str">
        <x:f>'Catalogo Maestro'!F231</x:f>
        <x:v>Diseño formal del proceso de cambios</x:v>
      </x:c>
      <x:c r="E21" s="7" t="str">
        <x:f>'Catalogo Maestro'!G231</x:f>
        <x:v>Base obligatorio</x:v>
      </x:c>
      <x:c r="F21" s="16" t="n">
        <x:f>'Catalogo Maestro'!J231</x:f>
        <x:v>2</x:v>
      </x:c>
      <x:c r="G21" s="16" t="n">
        <x:f>'Catalogo Maestro'!K231</x:f>
        <x:v>1.4</x:v>
      </x:c>
      <x:c r="H21" s="7" t="str">
        <x:f>'Catalogo Maestro'!L231</x:f>
        <x:v>Riesgo, aprobación, reversa y validación</x:v>
      </x:c>
      <x:c r="I21" s="12" t="n">
        <x:f>'Catalogo Maestro'!M231</x:f>
        <x:v>0</x:v>
      </x:c>
    </x:row>
    <x:row r="22">
      <x:c r="A22" s="11" t="str">
        <x:f>'Catalogo Maestro'!E232</x:f>
        <x:v>SUP2-005</x:v>
      </x:c>
      <x:c r="B22" s="7" t="str">
        <x:f>'Catalogo Maestro'!C232</x:f>
        <x:v>Gestión de incidentes, solicitudes y cambios</x:v>
      </x:c>
      <x:c r="C22" s="7" t="str">
        <x:f>'Catalogo Maestro'!D232</x:f>
        <x:v>Proceso</x:v>
      </x:c>
      <x:c r="D22" s="7" t="str">
        <x:f>'Catalogo Maestro'!F232</x:f>
        <x:v>Diseño formal del proceso de problemas</x:v>
      </x:c>
      <x:c r="E22" s="7" t="str">
        <x:f>'Catalogo Maestro'!G232</x:f>
        <x:v>Opcional</x:v>
      </x:c>
      <x:c r="F22" s="16" t="n">
        <x:f>'Catalogo Maestro'!J232</x:f>
        <x:v>1.5</x:v>
      </x:c>
      <x:c r="G22" s="16" t="n">
        <x:f>'Catalogo Maestro'!K232</x:f>
        <x:v>1.0499999999999998</x:v>
      </x:c>
      <x:c r="H22" s="7" t="str">
        <x:f>'Catalogo Maestro'!L232</x:f>
        <x:v>Causa raíz y error conocido</x:v>
      </x:c>
      <x:c r="I22" s="12" t="n">
        <x:f>'Catalogo Maestro'!M232</x:f>
        <x:v>0</x:v>
      </x:c>
    </x:row>
    <x:row r="23">
      <x:c r="A23" s="11" t="str">
        <x:f>'Catalogo Maestro'!E233</x:f>
        <x:v>SUP2-006</x:v>
      </x:c>
      <x:c r="B23" s="7" t="str">
        <x:f>'Catalogo Maestro'!C233</x:f>
        <x:v>Gestión de incidentes, solicitudes y cambios</x:v>
      </x:c>
      <x:c r="C23" s="7" t="str">
        <x:f>'Catalogo Maestro'!D233</x:f>
        <x:v>Roles</x:v>
      </x:c>
      <x:c r="D23" s="7" t="str">
        <x:f>'Catalogo Maestro'!F233</x:f>
        <x:v>Definición de roles y responsabilidades</x:v>
      </x:c>
      <x:c r="E23" s="7" t="str">
        <x:f>'Catalogo Maestro'!G233</x:f>
        <x:v>Base obligatorio</x:v>
      </x:c>
      <x:c r="F23" s="16" t="n">
        <x:f>'Catalogo Maestro'!J233</x:f>
        <x:v>0.5</x:v>
      </x:c>
      <x:c r="G23" s="16" t="n">
        <x:f>'Catalogo Maestro'!K233</x:f>
        <x:v>0.35</x:v>
      </x:c>
      <x:c r="H23" s="7" t="str">
        <x:f>'Catalogo Maestro'!L233</x:f>
        <x:v>Responsables y escalamiento</x:v>
      </x:c>
      <x:c r="I23" s="12" t="n">
        <x:f>'Catalogo Maestro'!M233</x:f>
        <x:v>0</x:v>
      </x:c>
    </x:row>
    <x:row r="24">
      <x:c r="A24" s="11" t="str">
        <x:f>'Catalogo Maestro'!E234</x:f>
        <x:v>SUP2-007</x:v>
      </x:c>
      <x:c r="B24" s="7" t="str">
        <x:f>'Catalogo Maestro'!C234</x:f>
        <x:v>Gestión de incidentes, solicitudes y cambios</x:v>
      </x:c>
      <x:c r="C24" s="7" t="str">
        <x:f>'Catalogo Maestro'!D234</x:f>
        <x:v>Herramienta</x:v>
      </x:c>
      <x:c r="D24" s="7" t="str">
        <x:f>'Catalogo Maestro'!F234</x:f>
        <x:v>Configuración de herramienta o tablero</x:v>
      </x:c>
      <x:c r="E24" s="7" t="str">
        <x:f>'Catalogo Maestro'!G234</x:f>
        <x:v>Base incluido</x:v>
      </x:c>
      <x:c r="F24" s="16" t="n">
        <x:f>'Catalogo Maestro'!J234</x:f>
        <x:v>1.5</x:v>
      </x:c>
      <x:c r="G24" s="16" t="n">
        <x:f>'Catalogo Maestro'!K234</x:f>
        <x:v>1.0499999999999998</x:v>
      </x:c>
      <x:c r="H24" s="7" t="str">
        <x:f>'Catalogo Maestro'!L234</x:f>
        <x:v>Campos, vistas, estados y permisos</x:v>
      </x:c>
      <x:c r="I24" s="12" t="n">
        <x:f>'Catalogo Maestro'!M234</x:f>
        <x:v>0</x:v>
      </x:c>
    </x:row>
    <x:row r="25">
      <x:c r="A25" s="11" t="str">
        <x:f>'Catalogo Maestro'!E235</x:f>
        <x:v>SUP2-008</x:v>
      </x:c>
      <x:c r="B25" s="7" t="str">
        <x:f>'Catalogo Maestro'!C235</x:f>
        <x:v>Gestión de incidentes, solicitudes y cambios</x:v>
      </x:c>
      <x:c r="C25" s="7" t="str">
        <x:f>'Catalogo Maestro'!D235</x:f>
        <x:v>Automatización</x:v>
      </x:c>
      <x:c r="D25" s="7" t="str">
        <x:f>'Catalogo Maestro'!F235</x:f>
        <x:v>Automatización de asignación y escalamiento</x:v>
      </x:c>
      <x:c r="E25" s="7" t="str">
        <x:f>'Catalogo Maestro'!G235</x:f>
        <x:v>Opcional</x:v>
      </x:c>
      <x:c r="F25" s="16" t="n">
        <x:f>'Catalogo Maestro'!J235</x:f>
        <x:v>0.75</x:v>
      </x:c>
      <x:c r="G25" s="16" t="n">
        <x:f>'Catalogo Maestro'!K235</x:f>
        <x:v>0.5249999999999999</x:v>
      </x:c>
      <x:c r="H25" s="7" t="str">
        <x:f>'Catalogo Maestro'!L235</x:f>
        <x:v>Condiciones, responsables y avisos</x:v>
      </x:c>
      <x:c r="I25" s="12" t="n">
        <x:f>'Catalogo Maestro'!M235</x:f>
        <x:v>0</x:v>
      </x:c>
    </x:row>
    <x:row r="26">
      <x:c r="A26" s="11" t="str">
        <x:f>'Catalogo Maestro'!E236</x:f>
        <x:v>SUP2-009</x:v>
      </x:c>
      <x:c r="B26" s="7" t="str">
        <x:f>'Catalogo Maestro'!C236</x:f>
        <x:v>Gestión de incidentes, solicitudes y cambios</x:v>
      </x:c>
      <x:c r="C26" s="7" t="str">
        <x:f>'Catalogo Maestro'!D236</x:f>
        <x:v>Indicadores</x:v>
      </x:c>
      <x:c r="D26" s="7" t="str">
        <x:f>'Catalogo Maestro'!F236</x:f>
        <x:v>Definición de indicadores de gestión</x:v>
      </x:c>
      <x:c r="E26" s="7" t="str">
        <x:f>'Catalogo Maestro'!G236</x:f>
        <x:v>Base obligatorio</x:v>
      </x:c>
      <x:c r="F26" s="16" t="n">
        <x:f>'Catalogo Maestro'!J236</x:f>
        <x:v>0.5</x:v>
      </x:c>
      <x:c r="G26" s="16" t="n">
        <x:f>'Catalogo Maestro'!K236</x:f>
        <x:v>0.35</x:v>
      </x:c>
      <x:c r="H26" s="7" t="str">
        <x:f>'Catalogo Maestro'!L236</x:f>
        <x:v>Volumen, cumplimiento y tendencia</x:v>
      </x:c>
      <x:c r="I26" s="12" t="n">
        <x:f>'Catalogo Maestro'!M236</x:f>
        <x:v>0</x:v>
      </x:c>
    </x:row>
    <x:row r="27">
      <x:c r="A27" s="11" t="str">
        <x:f>'Catalogo Maestro'!E237</x:f>
        <x:v>SUP2-010</x:v>
      </x:c>
      <x:c r="B27" s="7" t="str">
        <x:f>'Catalogo Maestro'!C237</x:f>
        <x:v>Gestión de incidentes, solicitudes y cambios</x:v>
      </x:c>
      <x:c r="C27" s="7" t="str">
        <x:f>'Catalogo Maestro'!D237</x:f>
        <x:v>Reportes</x:v>
      </x:c>
      <x:c r="D27" s="7" t="str">
        <x:f>'Catalogo Maestro'!F237</x:f>
        <x:v>Configuración de reportes operacionales avanzados</x:v>
      </x:c>
      <x:c r="E27" s="7" t="str">
        <x:f>'Catalogo Maestro'!G237</x:f>
        <x:v>Base incluido</x:v>
      </x:c>
      <x:c r="F27" s="16" t="n">
        <x:f>'Catalogo Maestro'!J237</x:f>
        <x:v>1.5</x:v>
      </x:c>
      <x:c r="G27" s="16" t="n">
        <x:f>'Catalogo Maestro'!K237</x:f>
        <x:v>1.0499999999999998</x:v>
      </x:c>
      <x:c r="H27" s="7" t="str">
        <x:f>'Catalogo Maestro'!L237</x:f>
        <x:v>Reportes periódicos por estado, SLA, carga, tendencia y cumplimiento.</x:v>
      </x:c>
      <x:c r="I27" s="12" t="str">
        <x:f>'Catalogo Maestro'!M237</x:f>
        <x:v>No vuelve a incluir el reporte inicial de puesta en marcha de SUP1-010.</x:v>
      </x:c>
    </x:row>
    <x:row r="28">
      <x:c r="A28" s="11" t="str">
        <x:f>'Catalogo Maestro'!E238</x:f>
        <x:v>SUP2-011</x:v>
      </x:c>
      <x:c r="B28" s="7" t="str">
        <x:f>'Catalogo Maestro'!C238</x:f>
        <x:v>Gestión de incidentes, solicitudes y cambios</x:v>
      </x:c>
      <x:c r="C28" s="7" t="str">
        <x:f>'Catalogo Maestro'!D238</x:f>
        <x:v>Piloto</x:v>
      </x:c>
      <x:c r="D28" s="7" t="str">
        <x:f>'Catalogo Maestro'!F238</x:f>
        <x:v>Piloto con casos reales</x:v>
      </x:c>
      <x:c r="E28" s="7" t="str">
        <x:f>'Catalogo Maestro'!G238</x:f>
        <x:v>Base obligatorio</x:v>
      </x:c>
      <x:c r="F28" s="16" t="n">
        <x:f>'Catalogo Maestro'!J238</x:f>
        <x:v>0.5</x:v>
      </x:c>
      <x:c r="G28" s="16" t="n">
        <x:f>'Catalogo Maestro'!K238</x:f>
        <x:v>0.35</x:v>
      </x:c>
      <x:c r="H28" s="7" t="str">
        <x:f>'Catalogo Maestro'!L238</x:f>
        <x:v>Casos y retroalimentación</x:v>
      </x:c>
      <x:c r="I28" s="12" t="n">
        <x:f>'Catalogo Maestro'!M238</x:f>
        <x:v>0</x:v>
      </x:c>
    </x:row>
    <x:row r="29">
      <x:c r="A29" s="11" t="str">
        <x:f>'Catalogo Maestro'!E239</x:f>
        <x:v>SUP2-012</x:v>
      </x:c>
      <x:c r="B29" s="7" t="str">
        <x:f>'Catalogo Maestro'!C239</x:f>
        <x:v>Gestión de incidentes, solicitudes y cambios</x:v>
      </x:c>
      <x:c r="C29" s="7" t="str">
        <x:f>'Catalogo Maestro'!D239</x:f>
        <x:v>Cierre</x:v>
      </x:c>
      <x:c r="D29" s="7" t="str">
        <x:f>'Catalogo Maestro'!F239</x:f>
        <x:v>Ajustes y documentación final</x:v>
      </x:c>
      <x:c r="E29" s="7" t="str">
        <x:f>'Catalogo Maestro'!G239</x:f>
        <x:v>Base obligatorio</x:v>
      </x:c>
      <x:c r="F29" s="16" t="n">
        <x:f>'Catalogo Maestro'!J239</x:f>
        <x:v>2</x:v>
      </x:c>
      <x:c r="G29" s="16" t="n">
        <x:f>'Catalogo Maestro'!K239</x:f>
        <x:v>1.4</x:v>
      </x:c>
      <x:c r="H29" s="7" t="str">
        <x:f>'Catalogo Maestro'!L239</x:f>
        <x:v>Procedimientos y mejoras</x:v>
      </x:c>
      <x:c r="I29" s="12" t="n">
        <x:f>'Catalogo Maestro'!M239</x:f>
        <x:v>0</x:v>
      </x:c>
    </x:row>
    <x:row r="30">
      <x:c r="A30" s="11" t="str">
        <x:f>'Catalogo Maestro'!E240</x:f>
        <x:v>SUP3-001</x:v>
      </x:c>
      <x:c r="B30" s="7" t="str">
        <x:f>'Catalogo Maestro'!C240</x:f>
        <x:v>Bolsa mensual de soporte evolutivo</x:v>
      </x:c>
      <x:c r="C30" s="7" t="str">
        <x:f>'Catalogo Maestro'!D240</x:f>
        <x:v>Gestión</x:v>
      </x:c>
      <x:c r="D30" s="7" t="str">
        <x:f>'Catalogo Maestro'!F240</x:f>
        <x:v>Reunión de priorización y planificación</x:v>
      </x:c>
      <x:c r="E30" s="7" t="str">
        <x:f>'Catalogo Maestro'!G240</x:f>
        <x:v>Base obligatorio</x:v>
      </x:c>
      <x:c r="F30" s="16" t="n">
        <x:f>'Catalogo Maestro'!J240</x:f>
        <x:v>0.5</x:v>
      </x:c>
      <x:c r="G30" s="16" t="n">
        <x:f>'Catalogo Maestro'!K240</x:f>
        <x:v>0.35</x:v>
      </x:c>
      <x:c r="H30" s="7" t="str">
        <x:f>'Catalogo Maestro'!L240</x:f>
        <x:v>Prioridades, responsables y consumo</x:v>
      </x:c>
      <x:c r="I30" s="12" t="n">
        <x:f>'Catalogo Maestro'!M240</x:f>
        <x:v>0</x:v>
      </x:c>
    </x:row>
    <x:row r="31">
      <x:c r="A31" s="11" t="str">
        <x:f>'Catalogo Maestro'!E241</x:f>
        <x:v>SUP3-002</x:v>
      </x:c>
      <x:c r="B31" s="7" t="str">
        <x:f>'Catalogo Maestro'!C241</x:f>
        <x:v>Bolsa mensual de soporte evolutivo</x:v>
      </x:c>
      <x:c r="C31" s="7" t="str">
        <x:f>'Catalogo Maestro'!D241</x:f>
        <x:v>Gestión</x:v>
      </x:c>
      <x:c r="D31" s="7" t="str">
        <x:f>'Catalogo Maestro'!F241</x:f>
        <x:v>Triage de solicitudes e incidentes</x:v>
      </x:c>
      <x:c r="E31" s="7" t="str">
        <x:f>'Catalogo Maestro'!G241</x:f>
        <x:v>Base obligatorio</x:v>
      </x:c>
      <x:c r="F31" s="16" t="n">
        <x:f>'Catalogo Maestro'!J241</x:f>
        <x:v>0.25</x:v>
      </x:c>
      <x:c r="G31" s="16" t="n">
        <x:f>'Catalogo Maestro'!K241</x:f>
        <x:v>0.175</x:v>
      </x:c>
      <x:c r="H31" s="7" t="str">
        <x:f>'Catalogo Maestro'!L241</x:f>
        <x:v>Impacto, urgencia y estimación</x:v>
      </x:c>
      <x:c r="I31" s="12" t="n">
        <x:f>'Catalogo Maestro'!M241</x:f>
        <x:v>0</x:v>
      </x:c>
    </x:row>
    <x:row r="32">
      <x:c r="A32" s="11" t="str">
        <x:f>'Catalogo Maestro'!E242</x:f>
        <x:v>SUP3-003</x:v>
      </x:c>
      <x:c r="B32" s="7" t="str">
        <x:f>'Catalogo Maestro'!C242</x:f>
        <x:v>Bolsa mensual de soporte evolutivo</x:v>
      </x:c>
      <x:c r="C32" s="7" t="str">
        <x:f>'Catalogo Maestro'!D242</x:f>
        <x:v>Soporte</x:v>
      </x:c>
      <x:c r="D32" s="7" t="str">
        <x:f>'Catalogo Maestro'!F242</x:f>
        <x:v>Atención de incidente menor</x:v>
      </x:c>
      <x:c r="E32" s="7" t="str">
        <x:f>'Catalogo Maestro'!G242</x:f>
        <x:v>Base incluido</x:v>
      </x:c>
      <x:c r="F32" s="16" t="n">
        <x:f>'Catalogo Maestro'!J242</x:f>
        <x:v>1.5</x:v>
      </x:c>
      <x:c r="G32" s="16" t="n">
        <x:f>'Catalogo Maestro'!K242</x:f>
        <x:v>1.0499999999999998</x:v>
      </x:c>
      <x:c r="H32" s="7" t="str">
        <x:f>'Catalogo Maestro'!L242</x:f>
        <x:v>Diagnóstico, corrección y cierre</x:v>
      </x:c>
      <x:c r="I32" s="12" t="n">
        <x:f>'Catalogo Maestro'!M242</x:f>
        <x:v>0</x:v>
      </x:c>
    </x:row>
    <x:row r="33">
      <x:c r="A33" s="11" t="str">
        <x:f>'Catalogo Maestro'!E243</x:f>
        <x:v>SUP3-004</x:v>
      </x:c>
      <x:c r="B33" s="7" t="str">
        <x:f>'Catalogo Maestro'!C243</x:f>
        <x:v>Bolsa mensual de soporte evolutivo</x:v>
      </x:c>
      <x:c r="C33" s="7" t="str">
        <x:f>'Catalogo Maestro'!D243</x:f>
        <x:v>Soporte</x:v>
      </x:c>
      <x:c r="D33" s="7" t="str">
        <x:f>'Catalogo Maestro'!F243</x:f>
        <x:v>Atención de solicitud operativa</x:v>
      </x:c>
      <x:c r="E33" s="7" t="str">
        <x:f>'Catalogo Maestro'!G243</x:f>
        <x:v>Base incluido</x:v>
      </x:c>
      <x:c r="F33" s="16" t="n">
        <x:f>'Catalogo Maestro'!J243</x:f>
        <x:v>1</x:v>
      </x:c>
      <x:c r="G33" s="16" t="n">
        <x:f>'Catalogo Maestro'!K243</x:f>
        <x:v>0.7</x:v>
      </x:c>
      <x:c r="H33" s="7" t="str">
        <x:f>'Catalogo Maestro'!L243</x:f>
        <x:v>Configuración o apoyo funcional</x:v>
      </x:c>
      <x:c r="I33" s="12" t="n">
        <x:f>'Catalogo Maestro'!M243</x:f>
        <x:v>0</x:v>
      </x:c>
    </x:row>
    <x:row r="34">
      <x:c r="A34" s="11" t="str">
        <x:f>'Catalogo Maestro'!E244</x:f>
        <x:v>SUP3-005</x:v>
      </x:c>
      <x:c r="B34" s="7" t="str">
        <x:f>'Catalogo Maestro'!C244</x:f>
        <x:v>Bolsa mensual de soporte evolutivo</x:v>
      </x:c>
      <x:c r="C34" s="7" t="str">
        <x:f>'Catalogo Maestro'!D244</x:f>
        <x:v>Evolución</x:v>
      </x:c>
      <x:c r="D34" s="7" t="str">
        <x:f>'Catalogo Maestro'!F244</x:f>
        <x:v>Cambio menor de aplicación</x:v>
      </x:c>
      <x:c r="E34" s="7" t="str">
        <x:f>'Catalogo Maestro'!G244</x:f>
        <x:v>Base incluido</x:v>
      </x:c>
      <x:c r="F34" s="16" t="n">
        <x:f>'Catalogo Maestro'!J244</x:f>
        <x:v>2</x:v>
      </x:c>
      <x:c r="G34" s="16" t="n">
        <x:f>'Catalogo Maestro'!K244</x:f>
        <x:v>1.4</x:v>
      </x:c>
      <x:c r="H34" s="7" t="str">
        <x:f>'Catalogo Maestro'!L244</x:f>
        <x:v>Ajuste acotado con pruebas</x:v>
      </x:c>
      <x:c r="I34" s="12" t="n">
        <x:f>'Catalogo Maestro'!M244</x:f>
        <x:v>0</x:v>
      </x:c>
    </x:row>
    <x:row r="35">
      <x:c r="A35" s="11" t="str">
        <x:f>'Catalogo Maestro'!E245</x:f>
        <x:v>SUP3-006</x:v>
      </x:c>
      <x:c r="B35" s="7" t="str">
        <x:f>'Catalogo Maestro'!C245</x:f>
        <x:v>Bolsa mensual de soporte evolutivo</x:v>
      </x:c>
      <x:c r="C35" s="7" t="str">
        <x:f>'Catalogo Maestro'!D245</x:f>
        <x:v>Prevención</x:v>
      </x:c>
      <x:c r="D35" s="7" t="str">
        <x:f>'Catalogo Maestro'!F245</x:f>
        <x:v>Revisión preventiva de logs y alertas</x:v>
      </x:c>
      <x:c r="E35" s="7" t="str">
        <x:f>'Catalogo Maestro'!G245</x:f>
        <x:v>Opcional</x:v>
      </x:c>
      <x:c r="F35" s="16" t="n">
        <x:f>'Catalogo Maestro'!J245</x:f>
        <x:v>0.5</x:v>
      </x:c>
      <x:c r="G35" s="16" t="n">
        <x:f>'Catalogo Maestro'!K245</x:f>
        <x:v>0.35</x:v>
      </x:c>
      <x:c r="H35" s="7" t="str">
        <x:f>'Catalogo Maestro'!L245</x:f>
        <x:v>Eventos y riesgos recurrentes</x:v>
      </x:c>
      <x:c r="I35" s="12" t="n">
        <x:f>'Catalogo Maestro'!M245</x:f>
        <x:v>0</x:v>
      </x:c>
    </x:row>
    <x:row r="36">
      <x:c r="A36" s="11" t="str">
        <x:f>'Catalogo Maestro'!E246</x:f>
        <x:v>SUP3-007</x:v>
      </x:c>
      <x:c r="B36" s="7" t="str">
        <x:f>'Catalogo Maestro'!C246</x:f>
        <x:v>Bolsa mensual de soporte evolutivo</x:v>
      </x:c>
      <x:c r="C36" s="7" t="str">
        <x:f>'Catalogo Maestro'!D246</x:f>
        <x:v>Documentación</x:v>
      </x:c>
      <x:c r="D36" s="7" t="str">
        <x:f>'Catalogo Maestro'!F246</x:f>
        <x:v>Actualización de documentación</x:v>
      </x:c>
      <x:c r="E36" s="7" t="str">
        <x:f>'Catalogo Maestro'!G246</x:f>
        <x:v>Base incluido</x:v>
      </x:c>
      <x:c r="F36" s="16" t="n">
        <x:f>'Catalogo Maestro'!J246</x:f>
        <x:v>1</x:v>
      </x:c>
      <x:c r="G36" s="16" t="n">
        <x:f>'Catalogo Maestro'!K246</x:f>
        <x:v>0.7</x:v>
      </x:c>
      <x:c r="H36" s="7" t="str">
        <x:f>'Catalogo Maestro'!L246</x:f>
        <x:v>Cambios y soluciones recurrentes</x:v>
      </x:c>
      <x:c r="I36" s="12" t="n">
        <x:f>'Catalogo Maestro'!M246</x:f>
        <x:v>0</x:v>
      </x:c>
    </x:row>
    <x:row r="37">
      <x:c r="A37" s="11" t="str">
        <x:f>'Catalogo Maestro'!E247</x:f>
        <x:v>SUP3-008</x:v>
      </x:c>
      <x:c r="B37" s="7" t="str">
        <x:f>'Catalogo Maestro'!C247</x:f>
        <x:v>Bolsa mensual de soporte evolutivo</x:v>
      </x:c>
      <x:c r="C37" s="7" t="str">
        <x:f>'Catalogo Maestro'!D247</x:f>
        <x:v>Reporte</x:v>
      </x:c>
      <x:c r="D37" s="7" t="str">
        <x:f>'Catalogo Maestro'!F247</x:f>
        <x:v>Reporte mensual de servicio</x:v>
      </x:c>
      <x:c r="E37" s="7" t="str">
        <x:f>'Catalogo Maestro'!G247</x:f>
        <x:v>Base obligatorio</x:v>
      </x:c>
      <x:c r="F37" s="16" t="n">
        <x:f>'Catalogo Maestro'!J247</x:f>
        <x:v>1.5</x:v>
      </x:c>
      <x:c r="G37" s="16" t="n">
        <x:f>'Catalogo Maestro'!K247</x:f>
        <x:v>1.0499999999999998</x:v>
      </x:c>
      <x:c r="H37" s="7" t="str">
        <x:f>'Catalogo Maestro'!L247</x:f>
        <x:v>Consumo, cumplimiento y recomendaciones</x:v>
      </x:c>
      <x:c r="I37" s="12" t="n">
        <x:f>'Catalogo Maestro'!M247</x:f>
        <x:v>0</x:v>
      </x:c>
    </x:row>
    <x:row r="38">
      <x:c r="A38" s="11" t="str">
        <x:f>'Catalogo Maestro'!E248</x:f>
        <x:v>SUP3-009</x:v>
      </x:c>
      <x:c r="B38" s="7" t="str">
        <x:f>'Catalogo Maestro'!C248</x:f>
        <x:v>Bolsa mensual de soporte evolutivo</x:v>
      </x:c>
      <x:c r="C38" s="7" t="str">
        <x:f>'Catalogo Maestro'!D248</x:f>
        <x:v>Coordinación</x:v>
      </x:c>
      <x:c r="D38" s="7" t="str">
        <x:f>'Catalogo Maestro'!F248</x:f>
        <x:v>Gestión de pendientes y terceros</x:v>
      </x:c>
      <x:c r="E38" s="7" t="str">
        <x:f>'Catalogo Maestro'!G248</x:f>
        <x:v>Base incluido</x:v>
      </x:c>
      <x:c r="F38" s="16" t="n">
        <x:f>'Catalogo Maestro'!J248</x:f>
        <x:v>1</x:v>
      </x:c>
      <x:c r="G38" s="16" t="n">
        <x:f>'Catalogo Maestro'!K248</x:f>
        <x:v>0.7</x:v>
      </x:c>
      <x:c r="H38" s="7" t="str">
        <x:f>'Catalogo Maestro'!L248</x:f>
        <x:v>Dependencias, accesos y coordinaciones</x:v>
      </x:c>
      <x:c r="I38" s="12" t="n">
        <x:f>'Catalogo Maestro'!M248</x:f>
        <x:v>0</x:v>
      </x:c>
    </x:row>
    <x:row r="39">
      <x:c r="A39" s="11" t="str">
        <x:f>'Catalogo Maestro'!E249</x:f>
        <x:v>SUP4-001</x:v>
      </x:c>
      <x:c r="B39" s="7" t="str">
        <x:f>'Catalogo Maestro'!C249</x:f>
        <x:v>Documentación y base de conocimiento</x:v>
      </x:c>
      <x:c r="C39" s="7" t="str">
        <x:f>'Catalogo Maestro'!D249</x:f>
        <x:v>Inventario</x:v>
      </x:c>
      <x:c r="D39" s="7" t="str">
        <x:f>'Catalogo Maestro'!F249</x:f>
        <x:v>Inventario de procesos y documentos existentes</x:v>
      </x:c>
      <x:c r="E39" s="7" t="str">
        <x:f>'Catalogo Maestro'!G249</x:f>
        <x:v>Base obligatorio</x:v>
      </x:c>
      <x:c r="F39" s="16" t="n">
        <x:f>'Catalogo Maestro'!J249</x:f>
        <x:v>0.5</x:v>
      </x:c>
      <x:c r="G39" s="16" t="n">
        <x:f>'Catalogo Maestro'!K249</x:f>
        <x:v>0.35</x:v>
      </x:c>
      <x:c r="H39" s="7" t="str">
        <x:f>'Catalogo Maestro'!L249</x:f>
        <x:v>Documentos, responsables y vigencia</x:v>
      </x:c>
      <x:c r="I39" s="12" t="n">
        <x:f>'Catalogo Maestro'!M249</x:f>
        <x:v>0</x:v>
      </x:c>
    </x:row>
    <x:row r="40">
      <x:c r="A40" s="11" t="str">
        <x:f>'Catalogo Maestro'!E250</x:f>
        <x:v>SUP4-002</x:v>
      </x:c>
      <x:c r="B40" s="7" t="str">
        <x:f>'Catalogo Maestro'!C250</x:f>
        <x:v>Documentación y base de conocimiento</x:v>
      </x:c>
      <x:c r="C40" s="7" t="str">
        <x:f>'Catalogo Maestro'!D250</x:f>
        <x:v>Diseño</x:v>
      </x:c>
      <x:c r="D40" s="7" t="str">
        <x:f>'Catalogo Maestro'!F250</x:f>
        <x:v>Diseño de estructura documental</x:v>
      </x:c>
      <x:c r="E40" s="7" t="str">
        <x:f>'Catalogo Maestro'!G250</x:f>
        <x:v>Base obligatorio</x:v>
      </x:c>
      <x:c r="F40" s="16" t="n">
        <x:f>'Catalogo Maestro'!J250</x:f>
        <x:v>1.5</x:v>
      </x:c>
      <x:c r="G40" s="16" t="n">
        <x:f>'Catalogo Maestro'!K250</x:f>
        <x:v>1.0499999999999998</x:v>
      </x:c>
      <x:c r="H40" s="7" t="str">
        <x:f>'Catalogo Maestro'!L250</x:f>
        <x:v>Categorías, nomenclatura y acceso</x:v>
      </x:c>
      <x:c r="I40" s="12" t="n">
        <x:f>'Catalogo Maestro'!M250</x:f>
        <x:v>0</x:v>
      </x:c>
    </x:row>
    <x:row r="41">
      <x:c r="A41" s="11" t="str">
        <x:f>'Catalogo Maestro'!E251</x:f>
        <x:v>SUP4-003</x:v>
      </x:c>
      <x:c r="B41" s="7" t="str">
        <x:f>'Catalogo Maestro'!C251</x:f>
        <x:v>Documentación y base de conocimiento</x:v>
      </x:c>
      <x:c r="C41" s="7" t="str">
        <x:f>'Catalogo Maestro'!D251</x:f>
        <x:v>Gobierno</x:v>
      </x:c>
      <x:c r="D41" s="7" t="str">
        <x:f>'Catalogo Maestro'!F251</x:f>
        <x:v>Definición de control de versiones y aprobación</x:v>
      </x:c>
      <x:c r="E41" s="7" t="str">
        <x:f>'Catalogo Maestro'!G251</x:f>
        <x:v>Base obligatorio</x:v>
      </x:c>
      <x:c r="F41" s="16" t="n">
        <x:f>'Catalogo Maestro'!J251</x:f>
        <x:v>1.5</x:v>
      </x:c>
      <x:c r="G41" s="16" t="n">
        <x:f>'Catalogo Maestro'!K251</x:f>
        <x:v>1.0499999999999998</x:v>
      </x:c>
      <x:c r="H41" s="7" t="str">
        <x:f>'Catalogo Maestro'!L251</x:f>
        <x:v>Estados, responsables y publicación</x:v>
      </x:c>
      <x:c r="I41" s="12" t="n">
        <x:f>'Catalogo Maestro'!M251</x:f>
        <x:v>0</x:v>
      </x:c>
    </x:row>
    <x:row r="42">
      <x:c r="A42" s="11" t="str">
        <x:f>'Catalogo Maestro'!E252</x:f>
        <x:v>SUP4-004</x:v>
      </x:c>
      <x:c r="B42" s="7" t="str">
        <x:f>'Catalogo Maestro'!C252</x:f>
        <x:v>Documentación y base de conocimiento</x:v>
      </x:c>
      <x:c r="C42" s="7" t="str">
        <x:f>'Catalogo Maestro'!D252</x:f>
        <x:v>Documentación</x:v>
      </x:c>
      <x:c r="D42" s="7" t="str">
        <x:f>'Catalogo Maestro'!F252</x:f>
        <x:v>Creación de manual de usuario</x:v>
      </x:c>
      <x:c r="E42" s="7" t="str">
        <x:f>'Catalogo Maestro'!G252</x:f>
        <x:v>Base incluido</x:v>
      </x:c>
      <x:c r="F42" s="16" t="n">
        <x:f>'Catalogo Maestro'!J252</x:f>
        <x:v>4</x:v>
      </x:c>
      <x:c r="G42" s="16" t="n">
        <x:f>'Catalogo Maestro'!K252</x:f>
        <x:v>2.8</x:v>
      </x:c>
      <x:c r="H42" s="7" t="str">
        <x:f>'Catalogo Maestro'!L252</x:f>
        <x:v>Flujos, pantallas y preguntas frecuentes</x:v>
      </x:c>
      <x:c r="I42" s="12" t="n">
        <x:f>'Catalogo Maestro'!M252</x:f>
        <x:v>0</x:v>
      </x:c>
    </x:row>
    <x:row r="43">
      <x:c r="A43" s="11" t="str">
        <x:f>'Catalogo Maestro'!E253</x:f>
        <x:v>SUP4-005</x:v>
      </x:c>
      <x:c r="B43" s="7" t="str">
        <x:f>'Catalogo Maestro'!C253</x:f>
        <x:v>Documentación y base de conocimiento</x:v>
      </x:c>
      <x:c r="C43" s="7" t="str">
        <x:f>'Catalogo Maestro'!D253</x:f>
        <x:v>Documentación</x:v>
      </x:c>
      <x:c r="D43" s="7" t="str">
        <x:f>'Catalogo Maestro'!F253</x:f>
        <x:v>Creación de manual técnico</x:v>
      </x:c>
      <x:c r="E43" s="7" t="str">
        <x:f>'Catalogo Maestro'!G253</x:f>
        <x:v>Opcional</x:v>
      </x:c>
      <x:c r="F43" s="16" t="n">
        <x:f>'Catalogo Maestro'!J253</x:f>
        <x:v>4</x:v>
      </x:c>
      <x:c r="G43" s="16" t="n">
        <x:f>'Catalogo Maestro'!K253</x:f>
        <x:v>2.8</x:v>
      </x:c>
      <x:c r="H43" s="7" t="str">
        <x:f>'Catalogo Maestro'!L253</x:f>
        <x:v>Arquitectura, instalación y operación</x:v>
      </x:c>
      <x:c r="I43" s="12" t="n">
        <x:f>'Catalogo Maestro'!M253</x:f>
        <x:v>0</x:v>
      </x:c>
    </x:row>
    <x:row r="44">
      <x:c r="A44" s="11" t="str">
        <x:f>'Catalogo Maestro'!E254</x:f>
        <x:v>SUP4-006</x:v>
      </x:c>
      <x:c r="B44" s="7" t="str">
        <x:f>'Catalogo Maestro'!C254</x:f>
        <x:v>Documentación y base de conocimiento</x:v>
      </x:c>
      <x:c r="C44" s="7" t="str">
        <x:f>'Catalogo Maestro'!D254</x:f>
        <x:v>Documentación</x:v>
      </x:c>
      <x:c r="D44" s="7" t="str">
        <x:f>'Catalogo Maestro'!F254</x:f>
        <x:v>Creación de procedimiento operativo</x:v>
      </x:c>
      <x:c r="E44" s="7" t="str">
        <x:f>'Catalogo Maestro'!G254</x:f>
        <x:v>Base incluido</x:v>
      </x:c>
      <x:c r="F44" s="16" t="n">
        <x:f>'Catalogo Maestro'!J254</x:f>
        <x:v>2</x:v>
      </x:c>
      <x:c r="G44" s="16" t="n">
        <x:f>'Catalogo Maestro'!K254</x:f>
        <x:v>1.4</x:v>
      </x:c>
      <x:c r="H44" s="7" t="str">
        <x:f>'Catalogo Maestro'!L254</x:f>
        <x:v>Objetivo, pasos, responsables y evidencia</x:v>
      </x:c>
      <x:c r="I44" s="12" t="n">
        <x:f>'Catalogo Maestro'!M254</x:f>
        <x:v>0</x:v>
      </x:c>
    </x:row>
    <x:row r="45">
      <x:c r="A45" s="11" t="str">
        <x:f>'Catalogo Maestro'!E255</x:f>
        <x:v>SUP4-007</x:v>
      </x:c>
      <x:c r="B45" s="7" t="str">
        <x:f>'Catalogo Maestro'!C255</x:f>
        <x:v>Documentación y base de conocimiento</x:v>
      </x:c>
      <x:c r="C45" s="7" t="str">
        <x:f>'Catalogo Maestro'!D255</x:f>
        <x:v>Documentación</x:v>
      </x:c>
      <x:c r="D45" s="7" t="str">
        <x:f>'Catalogo Maestro'!F255</x:f>
        <x:v>Creación de runbook</x:v>
      </x:c>
      <x:c r="E45" s="7" t="str">
        <x:f>'Catalogo Maestro'!G255</x:f>
        <x:v>Base incluido</x:v>
      </x:c>
      <x:c r="F45" s="16" t="n">
        <x:f>'Catalogo Maestro'!J255</x:f>
        <x:v>2.5</x:v>
      </x:c>
      <x:c r="G45" s="16" t="n">
        <x:f>'Catalogo Maestro'!K255</x:f>
        <x:v>1.75</x:v>
      </x:c>
      <x:c r="H45" s="7" t="str">
        <x:f>'Catalogo Maestro'!L255</x:f>
        <x:v>Eventos frecuentes, diagnóstico y escalamiento</x:v>
      </x:c>
      <x:c r="I45" s="12" t="n">
        <x:f>'Catalogo Maestro'!M255</x:f>
        <x:v>0</x:v>
      </x:c>
    </x:row>
    <x:row r="46">
      <x:c r="A46" s="11" t="str">
        <x:f>'Catalogo Maestro'!E256</x:f>
        <x:v>SUP4-008</x:v>
      </x:c>
      <x:c r="B46" s="7" t="str">
        <x:f>'Catalogo Maestro'!C256</x:f>
        <x:v>Documentación y base de conocimiento</x:v>
      </x:c>
      <x:c r="C46" s="7" t="str">
        <x:f>'Catalogo Maestro'!D256</x:f>
        <x:v>Contenido</x:v>
      </x:c>
      <x:c r="D46" s="7" t="str">
        <x:f>'Catalogo Maestro'!F256</x:f>
        <x:v>Creación de artículo de conocimiento</x:v>
      </x:c>
      <x:c r="E46" s="7" t="str">
        <x:f>'Catalogo Maestro'!G256</x:f>
        <x:v>Base incluido</x:v>
      </x:c>
      <x:c r="F46" s="16" t="n">
        <x:f>'Catalogo Maestro'!J256</x:f>
        <x:v>0.75</x:v>
      </x:c>
      <x:c r="G46" s="16" t="n">
        <x:f>'Catalogo Maestro'!K256</x:f>
        <x:v>0.5249999999999999</x:v>
      </x:c>
      <x:c r="H46" s="7" t="str">
        <x:f>'Catalogo Maestro'!L256</x:f>
        <x:v>Problema, solución y palabras clave</x:v>
      </x:c>
      <x:c r="I46" s="12" t="n">
        <x:f>'Catalogo Maestro'!M256</x:f>
        <x:v>0</x:v>
      </x:c>
    </x:row>
    <x:row r="47">
      <x:c r="A47" s="11" t="str">
        <x:f>'Catalogo Maestro'!E257</x:f>
        <x:v>SUP4-009</x:v>
      </x:c>
      <x:c r="B47" s="7" t="str">
        <x:f>'Catalogo Maestro'!C257</x:f>
        <x:v>Documentación y base de conocimiento</x:v>
      </x:c>
      <x:c r="C47" s="7" t="str">
        <x:f>'Catalogo Maestro'!D257</x:f>
        <x:v>Publicación</x:v>
      </x:c>
      <x:c r="D47" s="7" t="str">
        <x:f>'Catalogo Maestro'!F257</x:f>
        <x:v>Configuración de repositorio o portal</x:v>
      </x:c>
      <x:c r="E47" s="7" t="str">
        <x:f>'Catalogo Maestro'!G257</x:f>
        <x:v>Opcional</x:v>
      </x:c>
      <x:c r="F47" s="16" t="n">
        <x:f>'Catalogo Maestro'!J257</x:f>
        <x:v>2</x:v>
      </x:c>
      <x:c r="G47" s="16" t="n">
        <x:f>'Catalogo Maestro'!K257</x:f>
        <x:v>1.4</x:v>
      </x:c>
      <x:c r="H47" s="7" t="str">
        <x:f>'Catalogo Maestro'!L257</x:f>
        <x:v>Estructura, permisos y búsqueda</x:v>
      </x:c>
      <x:c r="I47" s="12" t="n">
        <x:f>'Catalogo Maestro'!M257</x:f>
        <x:v>0</x:v>
      </x:c>
    </x:row>
    <x:row r="48">
      <x:c r="A48" s="11" t="str">
        <x:f>'Catalogo Maestro'!E258</x:f>
        <x:v>SUP4-010</x:v>
      </x:c>
      <x:c r="B48" s="7" t="str">
        <x:f>'Catalogo Maestro'!C258</x:f>
        <x:v>Documentación y base de conocimiento</x:v>
      </x:c>
      <x:c r="C48" s="7" t="str">
        <x:f>'Catalogo Maestro'!D258</x:f>
        <x:v>Calidad</x:v>
      </x:c>
      <x:c r="D48" s="7" t="str">
        <x:f>'Catalogo Maestro'!F258</x:f>
        <x:v>Revisión técnica y funcional</x:v>
      </x:c>
      <x:c r="E48" s="7" t="str">
        <x:f>'Catalogo Maestro'!G258</x:f>
        <x:v>Base obligatorio</x:v>
      </x:c>
      <x:c r="F48" s="16" t="n">
        <x:f>'Catalogo Maestro'!J258</x:f>
        <x:v>0.5</x:v>
      </x:c>
      <x:c r="G48" s="16" t="n">
        <x:f>'Catalogo Maestro'!K258</x:f>
        <x:v>0.35</x:v>
      </x:c>
      <x:c r="H48" s="7" t="str">
        <x:f>'Catalogo Maestro'!L258</x:f>
        <x:v>Exactitud, claridad y vigencia</x:v>
      </x:c>
      <x:c r="I48" s="12" t="n">
        <x:f>'Catalogo Maestro'!M258</x:f>
        <x:v>0</x:v>
      </x:c>
    </x:row>
    <x:row r="49">
      <x:c r="A49" s="13" t="str">
        <x:f>'Catalogo Maestro'!E259</x:f>
        <x:v>SUP4-011</x:v>
      </x:c>
      <x:c r="B49" s="14" t="str">
        <x:f>'Catalogo Maestro'!C259</x:f>
        <x:v>Documentación y base de conocimiento</x:v>
      </x:c>
      <x:c r="C49" s="14" t="str">
        <x:f>'Catalogo Maestro'!D259</x:f>
        <x:v>Entrega</x:v>
      </x:c>
      <x:c r="D49" s="14" t="str">
        <x:f>'Catalogo Maestro'!F259</x:f>
        <x:v>Capacitación y transferencia</x:v>
      </x:c>
      <x:c r="E49" s="14" t="str">
        <x:f>'Catalogo Maestro'!G259</x:f>
        <x:v>Base obligatorio</x:v>
      </x:c>
      <x:c r="F49" s="22" t="n">
        <x:f>'Catalogo Maestro'!J259</x:f>
        <x:v>1.5</x:v>
      </x:c>
      <x:c r="G49" s="22" t="n">
        <x:f>'Catalogo Maestro'!K259</x:f>
        <x:v>1.0499999999999998</x:v>
      </x:c>
      <x:c r="H49" s="14" t="str">
        <x:f>'Catalogo Maestro'!L259</x:f>
        <x:v>Uso, mantenimiento y responsabilidades</x:v>
      </x:c>
      <x:c r="I49" s="15" t="n">
        <x:f>'Catalogo Maestro'!M259</x:f>
        <x:v>0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9" defaultRowHeight="14.25"/>
  <x:cols>
    <x:col min="1" max="1" width="32" customWidth="1"/>
    <x:col min="2" max="2" width="18" customWidth="1"/>
    <x:col min="3" max="3" width="72" customWidth="1"/>
  </x:cols>
  <x:sheetData>
    <x:row r="1" ht="33.95000076293945" customHeight="1">
      <x:c r="A1" s="36" t="s">
        <x:v>1146</x:v>
      </x:c>
      <x:c r="B1" s="36"/>
      <x:c r="C1" s="36"/>
    </x:row>
    <x:row r="3" ht="33.95000076293945" customHeight="1">
      <x:c r="A3" s="37" t="s">
        <x:v>1147</x:v>
      </x:c>
      <x:c r="B3" s="37"/>
      <x:c r="C3" s="37"/>
    </x:row>
    <x:row r="5" ht="27.950000762939453" customHeight="1">
      <x:c r="A5" s="6" t="s">
        <x:v>1148</x:v>
      </x:c>
      <x:c r="B5" s="6" t="s">
        <x:v>53</x:v>
      </x:c>
      <x:c r="C5" s="6" t="s">
        <x:v>1149</x:v>
      </x:c>
    </x:row>
    <x:row r="6">
      <x:c r="A6" s="8" t="s">
        <x:v>1150</x:v>
      </x:c>
      <x:c r="B6" s="23">
        <x:v>0</x:v>
      </x:c>
      <x:c r="C6" s="10" t="s">
        <x:v>1151</x:v>
      </x:c>
    </x:row>
    <x:row r="7">
      <x:c r="A7" s="11" t="s">
        <x:v>84</x:v>
      </x:c>
      <x:c r="B7" s="24">
        <x:v>1</x:v>
      </x:c>
      <x:c r="C7" s="12" t="s">
        <x:v>1152</x:v>
      </x:c>
    </x:row>
    <x:row r="8">
      <x:c r="A8" s="11" t="s">
        <x:v>1153</x:v>
      </x:c>
      <x:c r="B8" s="25" t="n">
        <x:f>Parametros!$B$9</x:f>
        <x:v>0.7</x:v>
      </x:c>
      <x:c r="C8" s="12" t="s">
        <x:v>1154</x:v>
      </x:c>
    </x:row>
    <x:row r="9">
      <x:c r="A9" s="13" t="s">
        <x:v>77</x:v>
      </x:c>
      <x:c r="B9" s="26" t="n">
        <x:f>Parametros!$B$10</x:f>
        <x:v>0.2</x:v>
      </x:c>
      <x:c r="C9" s="15" t="s">
        <x:v>80</x:v>
      </x:c>
    </x:row>
    <x:row r="11" ht="27.950000762939453" customHeight="1">
      <x:c r="A11" s="6" t="s">
        <x:v>1155</x:v>
      </x:c>
      <x:c r="B11" s="6" t="s">
        <x:v>53</x:v>
      </x:c>
      <x:c r="C11" s="6" t="s">
        <x:v>1156</x:v>
      </x:c>
    </x:row>
    <x:row r="12">
      <x:c r="A12" s="8" t="s">
        <x:v>1157</x:v>
      </x:c>
      <x:c r="B12" s="21" t="n">
        <x:f>B6*B7</x:f>
        <x:v>0</x:v>
      </x:c>
      <x:c r="C12" s="10" t="s">
        <x:v>1158</x:v>
      </x:c>
    </x:row>
    <x:row r="13">
      <x:c r="A13" s="11" t="s">
        <x:v>1159</x:v>
      </x:c>
      <x:c r="B13" s="16" t="n">
        <x:f>B12*B8</x:f>
        <x:v>0</x:v>
      </x:c>
      <x:c r="C13" s="12" t="s">
        <x:v>1160</x:v>
      </x:c>
    </x:row>
    <x:row r="14">
      <x:c r="A14" s="11" t="s">
        <x:v>1161</x:v>
      </x:c>
      <x:c r="B14" s="16" t="n">
        <x:f>B13*B9</x:f>
        <x:v>0</x:v>
      </x:c>
      <x:c r="C14" s="12" t="s">
        <x:v>1162</x:v>
      </x:c>
    </x:row>
    <x:row r="15">
      <x:c r="A15" s="27" t="s">
        <x:v>1163</x:v>
      </x:c>
      <x:c r="B15" s="28" t="n">
        <x:f>B13+B14</x:f>
        <x:v>0</x:v>
      </x:c>
      <x:c r="C15" s="29" t="s">
        <x:v>1164</x:v>
      </x:c>
    </x:row>
    <x:row r="17">
      <x:c r="A17" s="44" t="s">
        <x:v>1165</x:v>
      </x:c>
      <x:c r="B17" s="44"/>
      <x:c r="C17" s="44"/>
    </x:row>
  </x:sheetData>
  <x:mergeCells>
    <x:mergeCell ref="A1:C1"/>
    <x:mergeCell ref="A3:C3"/>
    <x:mergeCell ref="A17:C1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9" defaultRowHeight="14.25"/>
  <x:cols>
    <x:col min="1" max="1" width="13" customWidth="1"/>
    <x:col min="2" max="3" width="24" customWidth="1"/>
    <x:col min="4" max="4" width="14" customWidth="1"/>
    <x:col min="5" max="5" width="48" customWidth="1"/>
    <x:col min="6" max="6" width="16" customWidth="1"/>
    <x:col min="7" max="9" width="14" customWidth="1"/>
    <x:col min="10" max="10" width="40" customWidth="1"/>
    <x:col min="11" max="11" width="18" customWidth="1"/>
    <x:col min="12" max="12" width="14" customWidth="1"/>
  </x:cols>
  <x:sheetData>
    <x:row r="1" ht="33.95000076293945" customHeight="1">
      <x:c r="A1" s="36" t="s">
        <x:v>1166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3" ht="33.95000076293945" customHeight="1">
      <x:c r="A3" s="37" t="s">
        <x:v>1167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5" ht="27.950000762939453" customHeight="1">
      <x:c r="A5" s="6" t="s">
        <x:v>1168</x:v>
      </x:c>
      <x:c r="B5" s="6" t="s">
        <x:v>163</x:v>
      </x:c>
      <x:c r="C5" s="6" t="s">
        <x:v>1169</x:v>
      </x:c>
      <x:c r="D5" s="6" t="s">
        <x:v>95</x:v>
      </x:c>
      <x:c r="E5" s="6" t="s">
        <x:v>151</x:v>
      </x:c>
      <x:c r="F5" s="6" t="s">
        <x:v>1170</x:v>
      </x:c>
      <x:c r="G5" s="6" t="s">
        <x:v>1171</x:v>
      </x:c>
      <x:c r="H5" s="6" t="s">
        <x:v>1172</x:v>
      </x:c>
      <x:c r="I5" s="6" t="s">
        <x:v>1173</x:v>
      </x:c>
      <x:c r="J5" s="6" t="s">
        <x:v>1174</x:v>
      </x:c>
      <x:c r="K5" s="6" t="s">
        <x:v>1175</x:v>
      </x:c>
      <x:c r="L5" s="6" t="s">
        <x:v>100</x:v>
      </x:c>
    </x:row>
    <x:row r="6">
      <x:c r="A6" s="30"/>
      <x:c r="B6" s="9"/>
      <x:c r="C6" s="9"/>
      <x:c r="D6" s="9"/>
      <x:c r="E6" s="9"/>
      <x:c r="F6" s="21"/>
      <x:c r="G6" s="21"/>
      <x:c r="H6" s="21" t="str">
        <x:f t="shared" ref="H6:H45" si="0">IF(OR(F6="",G6=""),"",G6-F6)</x:f>
      </x:c>
      <x:c r="I6" s="33" t="str">
        <x:f t="shared" ref="I6:I45" si="1">IF(OR(F6="",F6=0,H6=""),"",H6/F6)</x:f>
      </x:c>
      <x:c r="J6" s="9"/>
      <x:c r="K6" s="21"/>
      <x:c r="L6" s="10" t="s">
        <x:v>1176</x:v>
      </x:c>
    </x:row>
    <x:row r="7">
      <x:c r="A7" s="31"/>
      <x:c r="B7" s="7"/>
      <x:c r="C7" s="7"/>
      <x:c r="D7" s="7"/>
      <x:c r="E7" s="7"/>
      <x:c r="F7" s="16"/>
      <x:c r="G7" s="16"/>
      <x:c r="H7" s="16" t="str">
        <x:f t="shared" si="0"/>
      </x:c>
      <x:c r="I7" s="34" t="str">
        <x:f t="shared" si="1"/>
      </x:c>
      <x:c r="J7" s="7"/>
      <x:c r="K7" s="16"/>
      <x:c r="L7" s="12" t="s">
        <x:v>1176</x:v>
      </x:c>
    </x:row>
    <x:row r="8">
      <x:c r="A8" s="31"/>
      <x:c r="B8" s="7"/>
      <x:c r="C8" s="7"/>
      <x:c r="D8" s="7"/>
      <x:c r="E8" s="7"/>
      <x:c r="F8" s="16"/>
      <x:c r="G8" s="16"/>
      <x:c r="H8" s="16" t="str">
        <x:f t="shared" si="0"/>
      </x:c>
      <x:c r="I8" s="34" t="str">
        <x:f t="shared" si="1"/>
      </x:c>
      <x:c r="J8" s="7"/>
      <x:c r="K8" s="16"/>
      <x:c r="L8" s="12" t="s">
        <x:v>1176</x:v>
      </x:c>
    </x:row>
    <x:row r="9">
      <x:c r="A9" s="31"/>
      <x:c r="B9" s="7"/>
      <x:c r="C9" s="7"/>
      <x:c r="D9" s="7"/>
      <x:c r="E9" s="7"/>
      <x:c r="F9" s="16"/>
      <x:c r="G9" s="16"/>
      <x:c r="H9" s="16" t="str">
        <x:f t="shared" si="0"/>
      </x:c>
      <x:c r="I9" s="34" t="str">
        <x:f t="shared" si="1"/>
      </x:c>
      <x:c r="J9" s="7"/>
      <x:c r="K9" s="16"/>
      <x:c r="L9" s="12" t="s">
        <x:v>1176</x:v>
      </x:c>
    </x:row>
    <x:row r="10">
      <x:c r="A10" s="31"/>
      <x:c r="B10" s="7"/>
      <x:c r="C10" s="7"/>
      <x:c r="D10" s="7"/>
      <x:c r="E10" s="7"/>
      <x:c r="F10" s="16"/>
      <x:c r="G10" s="16"/>
      <x:c r="H10" s="16" t="str">
        <x:f t="shared" si="0"/>
      </x:c>
      <x:c r="I10" s="34" t="str">
        <x:f t="shared" si="1"/>
      </x:c>
      <x:c r="J10" s="7"/>
      <x:c r="K10" s="16"/>
      <x:c r="L10" s="12" t="s">
        <x:v>1176</x:v>
      </x:c>
    </x:row>
    <x:row r="11">
      <x:c r="A11" s="31"/>
      <x:c r="B11" s="7"/>
      <x:c r="C11" s="7"/>
      <x:c r="D11" s="7"/>
      <x:c r="E11" s="7"/>
      <x:c r="F11" s="16"/>
      <x:c r="G11" s="16"/>
      <x:c r="H11" s="16" t="str">
        <x:f t="shared" si="0"/>
      </x:c>
      <x:c r="I11" s="34" t="str">
        <x:f t="shared" si="1"/>
      </x:c>
      <x:c r="J11" s="7"/>
      <x:c r="K11" s="16"/>
      <x:c r="L11" s="12" t="s">
        <x:v>1176</x:v>
      </x:c>
    </x:row>
    <x:row r="12">
      <x:c r="A12" s="31"/>
      <x:c r="B12" s="7"/>
      <x:c r="C12" s="7"/>
      <x:c r="D12" s="7"/>
      <x:c r="E12" s="7"/>
      <x:c r="F12" s="16"/>
      <x:c r="G12" s="16"/>
      <x:c r="H12" s="16" t="str">
        <x:f t="shared" si="0"/>
      </x:c>
      <x:c r="I12" s="34" t="str">
        <x:f t="shared" si="1"/>
      </x:c>
      <x:c r="J12" s="7"/>
      <x:c r="K12" s="16"/>
      <x:c r="L12" s="12" t="s">
        <x:v>1176</x:v>
      </x:c>
    </x:row>
    <x:row r="13">
      <x:c r="A13" s="31"/>
      <x:c r="B13" s="7"/>
      <x:c r="C13" s="7"/>
      <x:c r="D13" s="7"/>
      <x:c r="E13" s="7"/>
      <x:c r="F13" s="16"/>
      <x:c r="G13" s="16"/>
      <x:c r="H13" s="16" t="str">
        <x:f t="shared" si="0"/>
      </x:c>
      <x:c r="I13" s="34" t="str">
        <x:f t="shared" si="1"/>
      </x:c>
      <x:c r="J13" s="7"/>
      <x:c r="K13" s="16"/>
      <x:c r="L13" s="12" t="s">
        <x:v>1176</x:v>
      </x:c>
    </x:row>
    <x:row r="14">
      <x:c r="A14" s="31"/>
      <x:c r="B14" s="7"/>
      <x:c r="C14" s="7"/>
      <x:c r="D14" s="7"/>
      <x:c r="E14" s="7"/>
      <x:c r="F14" s="16"/>
      <x:c r="G14" s="16"/>
      <x:c r="H14" s="16" t="str">
        <x:f t="shared" si="0"/>
      </x:c>
      <x:c r="I14" s="34" t="str">
        <x:f t="shared" si="1"/>
      </x:c>
      <x:c r="J14" s="7"/>
      <x:c r="K14" s="16"/>
      <x:c r="L14" s="12" t="s">
        <x:v>1176</x:v>
      </x:c>
    </x:row>
    <x:row r="15">
      <x:c r="A15" s="31"/>
      <x:c r="B15" s="7"/>
      <x:c r="C15" s="7"/>
      <x:c r="D15" s="7"/>
      <x:c r="E15" s="7"/>
      <x:c r="F15" s="16"/>
      <x:c r="G15" s="16"/>
      <x:c r="H15" s="16" t="str">
        <x:f t="shared" si="0"/>
      </x:c>
      <x:c r="I15" s="34" t="str">
        <x:f t="shared" si="1"/>
      </x:c>
      <x:c r="J15" s="7"/>
      <x:c r="K15" s="16"/>
      <x:c r="L15" s="12" t="s">
        <x:v>1176</x:v>
      </x:c>
    </x:row>
    <x:row r="16">
      <x:c r="A16" s="31"/>
      <x:c r="B16" s="7"/>
      <x:c r="C16" s="7"/>
      <x:c r="D16" s="7"/>
      <x:c r="E16" s="7"/>
      <x:c r="F16" s="16"/>
      <x:c r="G16" s="16"/>
      <x:c r="H16" s="16" t="str">
        <x:f t="shared" si="0"/>
      </x:c>
      <x:c r="I16" s="34" t="str">
        <x:f t="shared" si="1"/>
      </x:c>
      <x:c r="J16" s="7"/>
      <x:c r="K16" s="16"/>
      <x:c r="L16" s="12" t="s">
        <x:v>1176</x:v>
      </x:c>
    </x:row>
    <x:row r="17">
      <x:c r="A17" s="31"/>
      <x:c r="B17" s="7"/>
      <x:c r="C17" s="7"/>
      <x:c r="D17" s="7"/>
      <x:c r="E17" s="7"/>
      <x:c r="F17" s="16"/>
      <x:c r="G17" s="16"/>
      <x:c r="H17" s="16" t="str">
        <x:f t="shared" si="0"/>
      </x:c>
      <x:c r="I17" s="34" t="str">
        <x:f t="shared" si="1"/>
      </x:c>
      <x:c r="J17" s="7"/>
      <x:c r="K17" s="16"/>
      <x:c r="L17" s="12" t="s">
        <x:v>1176</x:v>
      </x:c>
    </x:row>
    <x:row r="18">
      <x:c r="A18" s="31"/>
      <x:c r="B18" s="7"/>
      <x:c r="C18" s="7"/>
      <x:c r="D18" s="7"/>
      <x:c r="E18" s="7"/>
      <x:c r="F18" s="16"/>
      <x:c r="G18" s="16"/>
      <x:c r="H18" s="16" t="str">
        <x:f t="shared" si="0"/>
      </x:c>
      <x:c r="I18" s="34" t="str">
        <x:f t="shared" si="1"/>
      </x:c>
      <x:c r="J18" s="7"/>
      <x:c r="K18" s="16"/>
      <x:c r="L18" s="12" t="s">
        <x:v>1176</x:v>
      </x:c>
    </x:row>
    <x:row r="19">
      <x:c r="A19" s="31"/>
      <x:c r="B19" s="7"/>
      <x:c r="C19" s="7"/>
      <x:c r="D19" s="7"/>
      <x:c r="E19" s="7"/>
      <x:c r="F19" s="16"/>
      <x:c r="G19" s="16"/>
      <x:c r="H19" s="16" t="str">
        <x:f t="shared" si="0"/>
      </x:c>
      <x:c r="I19" s="34" t="str">
        <x:f t="shared" si="1"/>
      </x:c>
      <x:c r="J19" s="7"/>
      <x:c r="K19" s="16"/>
      <x:c r="L19" s="12" t="s">
        <x:v>1176</x:v>
      </x:c>
    </x:row>
    <x:row r="20">
      <x:c r="A20" s="31"/>
      <x:c r="B20" s="7"/>
      <x:c r="C20" s="7"/>
      <x:c r="D20" s="7"/>
      <x:c r="E20" s="7"/>
      <x:c r="F20" s="16"/>
      <x:c r="G20" s="16"/>
      <x:c r="H20" s="16" t="str">
        <x:f t="shared" si="0"/>
      </x:c>
      <x:c r="I20" s="34" t="str">
        <x:f t="shared" si="1"/>
      </x:c>
      <x:c r="J20" s="7"/>
      <x:c r="K20" s="16"/>
      <x:c r="L20" s="12" t="s">
        <x:v>1176</x:v>
      </x:c>
    </x:row>
    <x:row r="21">
      <x:c r="A21" s="31"/>
      <x:c r="B21" s="7"/>
      <x:c r="C21" s="7"/>
      <x:c r="D21" s="7"/>
      <x:c r="E21" s="7"/>
      <x:c r="F21" s="16"/>
      <x:c r="G21" s="16"/>
      <x:c r="H21" s="16" t="str">
        <x:f t="shared" si="0"/>
      </x:c>
      <x:c r="I21" s="34" t="str">
        <x:f t="shared" si="1"/>
      </x:c>
      <x:c r="J21" s="7"/>
      <x:c r="K21" s="16"/>
      <x:c r="L21" s="12" t="s">
        <x:v>1176</x:v>
      </x:c>
    </x:row>
    <x:row r="22">
      <x:c r="A22" s="31"/>
      <x:c r="B22" s="7"/>
      <x:c r="C22" s="7"/>
      <x:c r="D22" s="7"/>
      <x:c r="E22" s="7"/>
      <x:c r="F22" s="16"/>
      <x:c r="G22" s="16"/>
      <x:c r="H22" s="16" t="str">
        <x:f t="shared" si="0"/>
      </x:c>
      <x:c r="I22" s="34" t="str">
        <x:f t="shared" si="1"/>
      </x:c>
      <x:c r="J22" s="7"/>
      <x:c r="K22" s="16"/>
      <x:c r="L22" s="12" t="s">
        <x:v>1176</x:v>
      </x:c>
    </x:row>
    <x:row r="23">
      <x:c r="A23" s="31"/>
      <x:c r="B23" s="7"/>
      <x:c r="C23" s="7"/>
      <x:c r="D23" s="7"/>
      <x:c r="E23" s="7"/>
      <x:c r="F23" s="16"/>
      <x:c r="G23" s="16"/>
      <x:c r="H23" s="16" t="str">
        <x:f t="shared" si="0"/>
      </x:c>
      <x:c r="I23" s="34" t="str">
        <x:f t="shared" si="1"/>
      </x:c>
      <x:c r="J23" s="7"/>
      <x:c r="K23" s="16"/>
      <x:c r="L23" s="12" t="s">
        <x:v>1176</x:v>
      </x:c>
    </x:row>
    <x:row r="24">
      <x:c r="A24" s="31"/>
      <x:c r="B24" s="7"/>
      <x:c r="C24" s="7"/>
      <x:c r="D24" s="7"/>
      <x:c r="E24" s="7"/>
      <x:c r="F24" s="16"/>
      <x:c r="G24" s="16"/>
      <x:c r="H24" s="16" t="str">
        <x:f t="shared" si="0"/>
      </x:c>
      <x:c r="I24" s="34" t="str">
        <x:f t="shared" si="1"/>
      </x:c>
      <x:c r="J24" s="7"/>
      <x:c r="K24" s="16"/>
      <x:c r="L24" s="12" t="s">
        <x:v>1176</x:v>
      </x:c>
    </x:row>
    <x:row r="25">
      <x:c r="A25" s="31"/>
      <x:c r="B25" s="7"/>
      <x:c r="C25" s="7"/>
      <x:c r="D25" s="7"/>
      <x:c r="E25" s="7"/>
      <x:c r="F25" s="16"/>
      <x:c r="G25" s="16"/>
      <x:c r="H25" s="16" t="str">
        <x:f t="shared" si="0"/>
      </x:c>
      <x:c r="I25" s="34" t="str">
        <x:f t="shared" si="1"/>
      </x:c>
      <x:c r="J25" s="7"/>
      <x:c r="K25" s="16"/>
      <x:c r="L25" s="12" t="s">
        <x:v>1176</x:v>
      </x:c>
    </x:row>
    <x:row r="26">
      <x:c r="A26" s="31"/>
      <x:c r="B26" s="7"/>
      <x:c r="C26" s="7"/>
      <x:c r="D26" s="7"/>
      <x:c r="E26" s="7"/>
      <x:c r="F26" s="16"/>
      <x:c r="G26" s="16"/>
      <x:c r="H26" s="16" t="str">
        <x:f t="shared" si="0"/>
      </x:c>
      <x:c r="I26" s="34" t="str">
        <x:f t="shared" si="1"/>
      </x:c>
      <x:c r="J26" s="7"/>
      <x:c r="K26" s="16"/>
      <x:c r="L26" s="12" t="s">
        <x:v>1176</x:v>
      </x:c>
    </x:row>
    <x:row r="27">
      <x:c r="A27" s="31"/>
      <x:c r="B27" s="7"/>
      <x:c r="C27" s="7"/>
      <x:c r="D27" s="7"/>
      <x:c r="E27" s="7"/>
      <x:c r="F27" s="16"/>
      <x:c r="G27" s="16"/>
      <x:c r="H27" s="16" t="str">
        <x:f t="shared" si="0"/>
      </x:c>
      <x:c r="I27" s="34" t="str">
        <x:f t="shared" si="1"/>
      </x:c>
      <x:c r="J27" s="7"/>
      <x:c r="K27" s="16"/>
      <x:c r="L27" s="12" t="s">
        <x:v>1176</x:v>
      </x:c>
    </x:row>
    <x:row r="28">
      <x:c r="A28" s="31"/>
      <x:c r="B28" s="7"/>
      <x:c r="C28" s="7"/>
      <x:c r="D28" s="7"/>
      <x:c r="E28" s="7"/>
      <x:c r="F28" s="16"/>
      <x:c r="G28" s="16"/>
      <x:c r="H28" s="16" t="str">
        <x:f t="shared" si="0"/>
      </x:c>
      <x:c r="I28" s="34" t="str">
        <x:f t="shared" si="1"/>
      </x:c>
      <x:c r="J28" s="7"/>
      <x:c r="K28" s="16"/>
      <x:c r="L28" s="12" t="s">
        <x:v>1176</x:v>
      </x:c>
    </x:row>
    <x:row r="29">
      <x:c r="A29" s="31"/>
      <x:c r="B29" s="7"/>
      <x:c r="C29" s="7"/>
      <x:c r="D29" s="7"/>
      <x:c r="E29" s="7"/>
      <x:c r="F29" s="16"/>
      <x:c r="G29" s="16"/>
      <x:c r="H29" s="16" t="str">
        <x:f t="shared" si="0"/>
      </x:c>
      <x:c r="I29" s="34" t="str">
        <x:f t="shared" si="1"/>
      </x:c>
      <x:c r="J29" s="7"/>
      <x:c r="K29" s="16"/>
      <x:c r="L29" s="12" t="s">
        <x:v>1176</x:v>
      </x:c>
    </x:row>
    <x:row r="30">
      <x:c r="A30" s="31"/>
      <x:c r="B30" s="7"/>
      <x:c r="C30" s="7"/>
      <x:c r="D30" s="7"/>
      <x:c r="E30" s="7"/>
      <x:c r="F30" s="16"/>
      <x:c r="G30" s="16"/>
      <x:c r="H30" s="16" t="str">
        <x:f t="shared" si="0"/>
      </x:c>
      <x:c r="I30" s="34" t="str">
        <x:f t="shared" si="1"/>
      </x:c>
      <x:c r="J30" s="7"/>
      <x:c r="K30" s="16"/>
      <x:c r="L30" s="12" t="s">
        <x:v>1176</x:v>
      </x:c>
    </x:row>
    <x:row r="31">
      <x:c r="A31" s="31"/>
      <x:c r="B31" s="7"/>
      <x:c r="C31" s="7"/>
      <x:c r="D31" s="7"/>
      <x:c r="E31" s="7"/>
      <x:c r="F31" s="16"/>
      <x:c r="G31" s="16"/>
      <x:c r="H31" s="16" t="str">
        <x:f t="shared" si="0"/>
      </x:c>
      <x:c r="I31" s="34" t="str">
        <x:f t="shared" si="1"/>
      </x:c>
      <x:c r="J31" s="7"/>
      <x:c r="K31" s="16"/>
      <x:c r="L31" s="12" t="s">
        <x:v>1176</x:v>
      </x:c>
    </x:row>
    <x:row r="32">
      <x:c r="A32" s="31"/>
      <x:c r="B32" s="7"/>
      <x:c r="C32" s="7"/>
      <x:c r="D32" s="7"/>
      <x:c r="E32" s="7"/>
      <x:c r="F32" s="16"/>
      <x:c r="G32" s="16"/>
      <x:c r="H32" s="16" t="str">
        <x:f t="shared" si="0"/>
      </x:c>
      <x:c r="I32" s="34" t="str">
        <x:f t="shared" si="1"/>
      </x:c>
      <x:c r="J32" s="7"/>
      <x:c r="K32" s="16"/>
      <x:c r="L32" s="12" t="s">
        <x:v>1176</x:v>
      </x:c>
    </x:row>
    <x:row r="33">
      <x:c r="A33" s="31"/>
      <x:c r="B33" s="7"/>
      <x:c r="C33" s="7"/>
      <x:c r="D33" s="7"/>
      <x:c r="E33" s="7"/>
      <x:c r="F33" s="16"/>
      <x:c r="G33" s="16"/>
      <x:c r="H33" s="16" t="str">
        <x:f t="shared" si="0"/>
      </x:c>
      <x:c r="I33" s="34" t="str">
        <x:f t="shared" si="1"/>
      </x:c>
      <x:c r="J33" s="7"/>
      <x:c r="K33" s="16"/>
      <x:c r="L33" s="12" t="s">
        <x:v>1176</x:v>
      </x:c>
    </x:row>
    <x:row r="34">
      <x:c r="A34" s="31"/>
      <x:c r="B34" s="7"/>
      <x:c r="C34" s="7"/>
      <x:c r="D34" s="7"/>
      <x:c r="E34" s="7"/>
      <x:c r="F34" s="16"/>
      <x:c r="G34" s="16"/>
      <x:c r="H34" s="16" t="str">
        <x:f t="shared" si="0"/>
      </x:c>
      <x:c r="I34" s="34" t="str">
        <x:f t="shared" si="1"/>
      </x:c>
      <x:c r="J34" s="7"/>
      <x:c r="K34" s="16"/>
      <x:c r="L34" s="12" t="s">
        <x:v>1176</x:v>
      </x:c>
    </x:row>
    <x:row r="35">
      <x:c r="A35" s="31"/>
      <x:c r="B35" s="7"/>
      <x:c r="C35" s="7"/>
      <x:c r="D35" s="7"/>
      <x:c r="E35" s="7"/>
      <x:c r="F35" s="16"/>
      <x:c r="G35" s="16"/>
      <x:c r="H35" s="16" t="str">
        <x:f t="shared" si="0"/>
      </x:c>
      <x:c r="I35" s="34" t="str">
        <x:f t="shared" si="1"/>
      </x:c>
      <x:c r="J35" s="7"/>
      <x:c r="K35" s="16"/>
      <x:c r="L35" s="12" t="s">
        <x:v>1176</x:v>
      </x:c>
    </x:row>
    <x:row r="36">
      <x:c r="A36" s="31"/>
      <x:c r="B36" s="7"/>
      <x:c r="C36" s="7"/>
      <x:c r="D36" s="7"/>
      <x:c r="E36" s="7"/>
      <x:c r="F36" s="16"/>
      <x:c r="G36" s="16"/>
      <x:c r="H36" s="16" t="str">
        <x:f t="shared" si="0"/>
      </x:c>
      <x:c r="I36" s="34" t="str">
        <x:f t="shared" si="1"/>
      </x:c>
      <x:c r="J36" s="7"/>
      <x:c r="K36" s="16"/>
      <x:c r="L36" s="12" t="s">
        <x:v>1176</x:v>
      </x:c>
    </x:row>
    <x:row r="37">
      <x:c r="A37" s="31"/>
      <x:c r="B37" s="7"/>
      <x:c r="C37" s="7"/>
      <x:c r="D37" s="7"/>
      <x:c r="E37" s="7"/>
      <x:c r="F37" s="16"/>
      <x:c r="G37" s="16"/>
      <x:c r="H37" s="16" t="str">
        <x:f t="shared" si="0"/>
      </x:c>
      <x:c r="I37" s="34" t="str">
        <x:f t="shared" si="1"/>
      </x:c>
      <x:c r="J37" s="7"/>
      <x:c r="K37" s="16"/>
      <x:c r="L37" s="12" t="s">
        <x:v>1176</x:v>
      </x:c>
    </x:row>
    <x:row r="38">
      <x:c r="A38" s="31"/>
      <x:c r="B38" s="7"/>
      <x:c r="C38" s="7"/>
      <x:c r="D38" s="7"/>
      <x:c r="E38" s="7"/>
      <x:c r="F38" s="16"/>
      <x:c r="G38" s="16"/>
      <x:c r="H38" s="16" t="str">
        <x:f t="shared" si="0"/>
      </x:c>
      <x:c r="I38" s="34" t="str">
        <x:f t="shared" si="1"/>
      </x:c>
      <x:c r="J38" s="7"/>
      <x:c r="K38" s="16"/>
      <x:c r="L38" s="12" t="s">
        <x:v>1176</x:v>
      </x:c>
    </x:row>
    <x:row r="39">
      <x:c r="A39" s="31"/>
      <x:c r="B39" s="7"/>
      <x:c r="C39" s="7"/>
      <x:c r="D39" s="7"/>
      <x:c r="E39" s="7"/>
      <x:c r="F39" s="16"/>
      <x:c r="G39" s="16"/>
      <x:c r="H39" s="16" t="str">
        <x:f t="shared" si="0"/>
      </x:c>
      <x:c r="I39" s="34" t="str">
        <x:f t="shared" si="1"/>
      </x:c>
      <x:c r="J39" s="7"/>
      <x:c r="K39" s="16"/>
      <x:c r="L39" s="12" t="s">
        <x:v>1176</x:v>
      </x:c>
    </x:row>
    <x:row r="40">
      <x:c r="A40" s="31"/>
      <x:c r="B40" s="7"/>
      <x:c r="C40" s="7"/>
      <x:c r="D40" s="7"/>
      <x:c r="E40" s="7"/>
      <x:c r="F40" s="16"/>
      <x:c r="G40" s="16"/>
      <x:c r="H40" s="16" t="str">
        <x:f t="shared" si="0"/>
      </x:c>
      <x:c r="I40" s="34" t="str">
        <x:f t="shared" si="1"/>
      </x:c>
      <x:c r="J40" s="7"/>
      <x:c r="K40" s="16"/>
      <x:c r="L40" s="12" t="s">
        <x:v>1176</x:v>
      </x:c>
    </x:row>
    <x:row r="41">
      <x:c r="A41" s="31"/>
      <x:c r="B41" s="7"/>
      <x:c r="C41" s="7"/>
      <x:c r="D41" s="7"/>
      <x:c r="E41" s="7"/>
      <x:c r="F41" s="16"/>
      <x:c r="G41" s="16"/>
      <x:c r="H41" s="16" t="str">
        <x:f t="shared" si="0"/>
      </x:c>
      <x:c r="I41" s="34" t="str">
        <x:f t="shared" si="1"/>
      </x:c>
      <x:c r="J41" s="7"/>
      <x:c r="K41" s="16"/>
      <x:c r="L41" s="12" t="s">
        <x:v>1176</x:v>
      </x:c>
    </x:row>
    <x:row r="42">
      <x:c r="A42" s="31"/>
      <x:c r="B42" s="7"/>
      <x:c r="C42" s="7"/>
      <x:c r="D42" s="7"/>
      <x:c r="E42" s="7"/>
      <x:c r="F42" s="16"/>
      <x:c r="G42" s="16"/>
      <x:c r="H42" s="16" t="str">
        <x:f t="shared" si="0"/>
      </x:c>
      <x:c r="I42" s="34" t="str">
        <x:f t="shared" si="1"/>
      </x:c>
      <x:c r="J42" s="7"/>
      <x:c r="K42" s="16"/>
      <x:c r="L42" s="12" t="s">
        <x:v>1176</x:v>
      </x:c>
    </x:row>
    <x:row r="43">
      <x:c r="A43" s="31"/>
      <x:c r="B43" s="7"/>
      <x:c r="C43" s="7"/>
      <x:c r="D43" s="7"/>
      <x:c r="E43" s="7"/>
      <x:c r="F43" s="16"/>
      <x:c r="G43" s="16"/>
      <x:c r="H43" s="16" t="str">
        <x:f t="shared" si="0"/>
      </x:c>
      <x:c r="I43" s="34" t="str">
        <x:f t="shared" si="1"/>
      </x:c>
      <x:c r="J43" s="7"/>
      <x:c r="K43" s="16"/>
      <x:c r="L43" s="12" t="s">
        <x:v>1176</x:v>
      </x:c>
    </x:row>
    <x:row r="44">
      <x:c r="A44" s="31"/>
      <x:c r="B44" s="7"/>
      <x:c r="C44" s="7"/>
      <x:c r="D44" s="7"/>
      <x:c r="E44" s="7"/>
      <x:c r="F44" s="16"/>
      <x:c r="G44" s="16"/>
      <x:c r="H44" s="16" t="str">
        <x:f t="shared" si="0"/>
      </x:c>
      <x:c r="I44" s="34" t="str">
        <x:f t="shared" si="1"/>
      </x:c>
      <x:c r="J44" s="7"/>
      <x:c r="K44" s="16"/>
      <x:c r="L44" s="12" t="s">
        <x:v>1176</x:v>
      </x:c>
    </x:row>
    <x:row r="45">
      <x:c r="A45" s="32"/>
      <x:c r="B45" s="14"/>
      <x:c r="C45" s="14"/>
      <x:c r="D45" s="14"/>
      <x:c r="E45" s="14"/>
      <x:c r="F45" s="22"/>
      <x:c r="G45" s="22"/>
      <x:c r="H45" s="22" t="str">
        <x:f t="shared" si="0"/>
      </x:c>
      <x:c r="I45" s="35" t="str">
        <x:f t="shared" si="1"/>
      </x:c>
      <x:c r="J45" s="14"/>
      <x:c r="K45" s="22"/>
      <x:c r="L45" s="15" t="s">
        <x:v>1176</x:v>
      </x:c>
    </x:row>
  </x:sheetData>
  <x:mergeCells>
    <x:mergeCell ref="A1:L1"/>
    <x:mergeCell ref="A3:L3"/>
  </x:mergeCells>
  <x:dataValidations count="1">
    <x:dataValidation type="list" sqref="L6:L45">
      <x:formula1>"Pendiente,Validado,Ajustar"</x:formula1>
    </x:dataValidation>
  </x:dataValidations>
  <x:pageMargins left="0.7" right="0.7" top="0.75" bottom="0.75" header="0.3" footer="0.3"/>
</x:worksheet>
</file>