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ignse\OneDrive\Escritorio\ISM Develomper\Gestion\ISM_Docs\"/>
    </mc:Choice>
  </mc:AlternateContent>
  <xr:revisionPtr revIDLastSave="0" documentId="13_ncr:1_{274FD852-BAE8-4B65-8C10-FEA957362462}" xr6:coauthVersionLast="47" xr6:coauthVersionMax="47" xr10:uidLastSave="{00000000-0000-0000-0000-000000000000}"/>
  <bookViews>
    <workbookView xWindow="20370" yWindow="-120" windowWidth="29040" windowHeight="15720" activeTab="1" xr2:uid="{00000000-000D-0000-FFFF-FFFF00000000}"/>
  </bookViews>
  <sheets>
    <sheet name="Inicio" sheetId="1" r:id="rId1"/>
    <sheet name="Parametros" sheetId="2" r:id="rId2"/>
    <sheet name="Resumen" sheetId="3" r:id="rId3"/>
    <sheet name="Catalogo Maestro" sheetId="4" r:id="rId4"/>
    <sheet name="Desarrollo" sheetId="5" r:id="rId5"/>
    <sheet name="Mantenimiento" sheetId="6" r:id="rId6"/>
    <sheet name="Monitoreo" sheetId="7" r:id="rId7"/>
    <sheet name="Continuidad" sheetId="8" r:id="rId8"/>
    <sheet name="Ciberseguridad" sheetId="9" r:id="rId9"/>
    <sheet name="Soporte" sheetId="10" r:id="rId10"/>
    <sheet name="Calculo Final" sheetId="11" r:id="rId11"/>
    <sheet name="Validacion HH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45" i="12" l="1"/>
  <c r="H45" i="12"/>
  <c r="H44" i="12"/>
  <c r="I44" i="12" s="1"/>
  <c r="I43" i="12"/>
  <c r="H43" i="12"/>
  <c r="H42" i="12"/>
  <c r="I42" i="12" s="1"/>
  <c r="I41" i="12"/>
  <c r="H41" i="12"/>
  <c r="H40" i="12"/>
  <c r="I40" i="12" s="1"/>
  <c r="I39" i="12"/>
  <c r="H39" i="12"/>
  <c r="H38" i="12"/>
  <c r="I38" i="12" s="1"/>
  <c r="I37" i="12"/>
  <c r="H37" i="12"/>
  <c r="H36" i="12"/>
  <c r="I36" i="12" s="1"/>
  <c r="I35" i="12"/>
  <c r="H35" i="12"/>
  <c r="H34" i="12"/>
  <c r="I34" i="12" s="1"/>
  <c r="I33" i="12"/>
  <c r="H33" i="12"/>
  <c r="H32" i="12"/>
  <c r="I32" i="12" s="1"/>
  <c r="I31" i="12"/>
  <c r="H31" i="12"/>
  <c r="H30" i="12"/>
  <c r="I30" i="12" s="1"/>
  <c r="I29" i="12"/>
  <c r="H29" i="12"/>
  <c r="H28" i="12"/>
  <c r="I28" i="12" s="1"/>
  <c r="I27" i="12"/>
  <c r="H27" i="12"/>
  <c r="H26" i="12"/>
  <c r="I26" i="12" s="1"/>
  <c r="I25" i="12"/>
  <c r="H25" i="12"/>
  <c r="H24" i="12"/>
  <c r="I24" i="12" s="1"/>
  <c r="I23" i="12"/>
  <c r="H23" i="12"/>
  <c r="H22" i="12"/>
  <c r="I22" i="12" s="1"/>
  <c r="I21" i="12"/>
  <c r="H21" i="12"/>
  <c r="H20" i="12"/>
  <c r="I20" i="12" s="1"/>
  <c r="I19" i="12"/>
  <c r="H19" i="12"/>
  <c r="H18" i="12"/>
  <c r="I18" i="12" s="1"/>
  <c r="I17" i="12"/>
  <c r="H17" i="12"/>
  <c r="H16" i="12"/>
  <c r="I16" i="12" s="1"/>
  <c r="I15" i="12"/>
  <c r="H15" i="12"/>
  <c r="H14" i="12"/>
  <c r="I14" i="12" s="1"/>
  <c r="I13" i="12"/>
  <c r="H13" i="12"/>
  <c r="H12" i="12"/>
  <c r="I12" i="12" s="1"/>
  <c r="I11" i="12"/>
  <c r="H11" i="12"/>
  <c r="H10" i="12"/>
  <c r="I10" i="12" s="1"/>
  <c r="I9" i="12"/>
  <c r="H9" i="12"/>
  <c r="H8" i="12"/>
  <c r="I8" i="12" s="1"/>
  <c r="I7" i="12"/>
  <c r="H7" i="12"/>
  <c r="H6" i="12"/>
  <c r="I6" i="12" s="1"/>
  <c r="B12" i="11"/>
  <c r="B13" i="11" s="1"/>
  <c r="B9" i="11"/>
  <c r="B8" i="11"/>
  <c r="I49" i="10"/>
  <c r="H49" i="10"/>
  <c r="F49" i="10"/>
  <c r="E49" i="10"/>
  <c r="D49" i="10"/>
  <c r="C49" i="10"/>
  <c r="B49" i="10"/>
  <c r="A49" i="10"/>
  <c r="I48" i="10"/>
  <c r="H48" i="10"/>
  <c r="F48" i="10"/>
  <c r="E48" i="10"/>
  <c r="D48" i="10"/>
  <c r="C48" i="10"/>
  <c r="B48" i="10"/>
  <c r="A48" i="10"/>
  <c r="I47" i="10"/>
  <c r="H47" i="10"/>
  <c r="F47" i="10"/>
  <c r="E47" i="10"/>
  <c r="D47" i="10"/>
  <c r="C47" i="10"/>
  <c r="B47" i="10"/>
  <c r="A47" i="10"/>
  <c r="I46" i="10"/>
  <c r="H46" i="10"/>
  <c r="F46" i="10"/>
  <c r="E46" i="10"/>
  <c r="D46" i="10"/>
  <c r="C46" i="10"/>
  <c r="B46" i="10"/>
  <c r="A46" i="10"/>
  <c r="I45" i="10"/>
  <c r="H45" i="10"/>
  <c r="G45" i="10"/>
  <c r="F45" i="10"/>
  <c r="E45" i="10"/>
  <c r="D45" i="10"/>
  <c r="C45" i="10"/>
  <c r="B45" i="10"/>
  <c r="A45" i="10"/>
  <c r="I44" i="10"/>
  <c r="H44" i="10"/>
  <c r="F44" i="10"/>
  <c r="E44" i="10"/>
  <c r="D44" i="10"/>
  <c r="C44" i="10"/>
  <c r="B44" i="10"/>
  <c r="A44" i="10"/>
  <c r="I43" i="10"/>
  <c r="H43" i="10"/>
  <c r="F43" i="10"/>
  <c r="E43" i="10"/>
  <c r="D43" i="10"/>
  <c r="C43" i="10"/>
  <c r="B43" i="10"/>
  <c r="A43" i="10"/>
  <c r="I42" i="10"/>
  <c r="H42" i="10"/>
  <c r="F42" i="10"/>
  <c r="E42" i="10"/>
  <c r="D42" i="10"/>
  <c r="C42" i="10"/>
  <c r="B42" i="10"/>
  <c r="A42" i="10"/>
  <c r="I41" i="10"/>
  <c r="H41" i="10"/>
  <c r="F41" i="10"/>
  <c r="E41" i="10"/>
  <c r="D41" i="10"/>
  <c r="C41" i="10"/>
  <c r="B41" i="10"/>
  <c r="A41" i="10"/>
  <c r="I40" i="10"/>
  <c r="H40" i="10"/>
  <c r="F40" i="10"/>
  <c r="E40" i="10"/>
  <c r="D40" i="10"/>
  <c r="C40" i="10"/>
  <c r="B40" i="10"/>
  <c r="A40" i="10"/>
  <c r="I39" i="10"/>
  <c r="H39" i="10"/>
  <c r="F39" i="10"/>
  <c r="E39" i="10"/>
  <c r="D39" i="10"/>
  <c r="C39" i="10"/>
  <c r="B39" i="10"/>
  <c r="A39" i="10"/>
  <c r="I38" i="10"/>
  <c r="H38" i="10"/>
  <c r="F38" i="10"/>
  <c r="E38" i="10"/>
  <c r="D38" i="10"/>
  <c r="C38" i="10"/>
  <c r="B38" i="10"/>
  <c r="A38" i="10"/>
  <c r="I37" i="10"/>
  <c r="H37" i="10"/>
  <c r="F37" i="10"/>
  <c r="E37" i="10"/>
  <c r="D37" i="10"/>
  <c r="C37" i="10"/>
  <c r="B37" i="10"/>
  <c r="A37" i="10"/>
  <c r="I36" i="10"/>
  <c r="H36" i="10"/>
  <c r="F36" i="10"/>
  <c r="E36" i="10"/>
  <c r="D36" i="10"/>
  <c r="C36" i="10"/>
  <c r="B36" i="10"/>
  <c r="A36" i="10"/>
  <c r="I35" i="10"/>
  <c r="H35" i="10"/>
  <c r="F35" i="10"/>
  <c r="E35" i="10"/>
  <c r="D35" i="10"/>
  <c r="C35" i="10"/>
  <c r="B35" i="10"/>
  <c r="A35" i="10"/>
  <c r="I34" i="10"/>
  <c r="H34" i="10"/>
  <c r="F34" i="10"/>
  <c r="E34" i="10"/>
  <c r="D34" i="10"/>
  <c r="C34" i="10"/>
  <c r="B34" i="10"/>
  <c r="A34" i="10"/>
  <c r="I33" i="10"/>
  <c r="H33" i="10"/>
  <c r="F33" i="10"/>
  <c r="E33" i="10"/>
  <c r="D33" i="10"/>
  <c r="C33" i="10"/>
  <c r="B33" i="10"/>
  <c r="A33" i="10"/>
  <c r="I32" i="10"/>
  <c r="H32" i="10"/>
  <c r="F32" i="10"/>
  <c r="E32" i="10"/>
  <c r="D32" i="10"/>
  <c r="C32" i="10"/>
  <c r="B32" i="10"/>
  <c r="A32" i="10"/>
  <c r="I31" i="10"/>
  <c r="H31" i="10"/>
  <c r="F31" i="10"/>
  <c r="E31" i="10"/>
  <c r="D31" i="10"/>
  <c r="C31" i="10"/>
  <c r="B31" i="10"/>
  <c r="A31" i="10"/>
  <c r="I30" i="10"/>
  <c r="H30" i="10"/>
  <c r="F30" i="10"/>
  <c r="E30" i="10"/>
  <c r="D30" i="10"/>
  <c r="C30" i="10"/>
  <c r="B30" i="10"/>
  <c r="A30" i="10"/>
  <c r="I29" i="10"/>
  <c r="H29" i="10"/>
  <c r="G29" i="10"/>
  <c r="F29" i="10"/>
  <c r="E29" i="10"/>
  <c r="D29" i="10"/>
  <c r="C29" i="10"/>
  <c r="B29" i="10"/>
  <c r="A29" i="10"/>
  <c r="I28" i="10"/>
  <c r="H28" i="10"/>
  <c r="F28" i="10"/>
  <c r="E28" i="10"/>
  <c r="D28" i="10"/>
  <c r="C28" i="10"/>
  <c r="B28" i="10"/>
  <c r="A28" i="10"/>
  <c r="I27" i="10"/>
  <c r="H27" i="10"/>
  <c r="F27" i="10"/>
  <c r="E27" i="10"/>
  <c r="D27" i="10"/>
  <c r="C27" i="10"/>
  <c r="B27" i="10"/>
  <c r="A27" i="10"/>
  <c r="I26" i="10"/>
  <c r="H26" i="10"/>
  <c r="F26" i="10"/>
  <c r="E26" i="10"/>
  <c r="D26" i="10"/>
  <c r="C26" i="10"/>
  <c r="B26" i="10"/>
  <c r="A26" i="10"/>
  <c r="I25" i="10"/>
  <c r="H25" i="10"/>
  <c r="F25" i="10"/>
  <c r="E25" i="10"/>
  <c r="D25" i="10"/>
  <c r="C25" i="10"/>
  <c r="B25" i="10"/>
  <c r="A25" i="10"/>
  <c r="I24" i="10"/>
  <c r="H24" i="10"/>
  <c r="F24" i="10"/>
  <c r="E24" i="10"/>
  <c r="D24" i="10"/>
  <c r="C24" i="10"/>
  <c r="B24" i="10"/>
  <c r="A24" i="10"/>
  <c r="I23" i="10"/>
  <c r="H23" i="10"/>
  <c r="F23" i="10"/>
  <c r="E23" i="10"/>
  <c r="D23" i="10"/>
  <c r="C23" i="10"/>
  <c r="B23" i="10"/>
  <c r="A23" i="10"/>
  <c r="I22" i="10"/>
  <c r="H22" i="10"/>
  <c r="F22" i="10"/>
  <c r="E22" i="10"/>
  <c r="D22" i="10"/>
  <c r="C22" i="10"/>
  <c r="B22" i="10"/>
  <c r="A22" i="10"/>
  <c r="I21" i="10"/>
  <c r="H21" i="10"/>
  <c r="F21" i="10"/>
  <c r="E21" i="10"/>
  <c r="D21" i="10"/>
  <c r="C21" i="10"/>
  <c r="B21" i="10"/>
  <c r="A21" i="10"/>
  <c r="I20" i="10"/>
  <c r="H20" i="10"/>
  <c r="F20" i="10"/>
  <c r="E20" i="10"/>
  <c r="D20" i="10"/>
  <c r="C20" i="10"/>
  <c r="B20" i="10"/>
  <c r="A20" i="10"/>
  <c r="I19" i="10"/>
  <c r="H19" i="10"/>
  <c r="F19" i="10"/>
  <c r="E19" i="10"/>
  <c r="D19" i="10"/>
  <c r="C19" i="10"/>
  <c r="B19" i="10"/>
  <c r="A19" i="10"/>
  <c r="I18" i="10"/>
  <c r="H18" i="10"/>
  <c r="F18" i="10"/>
  <c r="E18" i="10"/>
  <c r="D18" i="10"/>
  <c r="C18" i="10"/>
  <c r="B18" i="10"/>
  <c r="A18" i="10"/>
  <c r="I17" i="10"/>
  <c r="H17" i="10"/>
  <c r="F17" i="10"/>
  <c r="E17" i="10"/>
  <c r="D17" i="10"/>
  <c r="C17" i="10"/>
  <c r="B17" i="10"/>
  <c r="A17" i="10"/>
  <c r="I16" i="10"/>
  <c r="H16" i="10"/>
  <c r="F16" i="10"/>
  <c r="E16" i="10"/>
  <c r="D16" i="10"/>
  <c r="C16" i="10"/>
  <c r="B16" i="10"/>
  <c r="A16" i="10"/>
  <c r="I15" i="10"/>
  <c r="H15" i="10"/>
  <c r="F15" i="10"/>
  <c r="E15" i="10"/>
  <c r="D15" i="10"/>
  <c r="C15" i="10"/>
  <c r="B15" i="10"/>
  <c r="A15" i="10"/>
  <c r="I14" i="10"/>
  <c r="H14" i="10"/>
  <c r="F14" i="10"/>
  <c r="E14" i="10"/>
  <c r="D14" i="10"/>
  <c r="C14" i="10"/>
  <c r="B14" i="10"/>
  <c r="A14" i="10"/>
  <c r="I13" i="10"/>
  <c r="H13" i="10"/>
  <c r="G13" i="10"/>
  <c r="F13" i="10"/>
  <c r="E13" i="10"/>
  <c r="D13" i="10"/>
  <c r="C13" i="10"/>
  <c r="B13" i="10"/>
  <c r="A13" i="10"/>
  <c r="I12" i="10"/>
  <c r="H12" i="10"/>
  <c r="F12" i="10"/>
  <c r="E12" i="10"/>
  <c r="D12" i="10"/>
  <c r="C12" i="10"/>
  <c r="B12" i="10"/>
  <c r="A12" i="10"/>
  <c r="I11" i="10"/>
  <c r="H11" i="10"/>
  <c r="F11" i="10"/>
  <c r="E11" i="10"/>
  <c r="D11" i="10"/>
  <c r="C11" i="10"/>
  <c r="B11" i="10"/>
  <c r="A11" i="10"/>
  <c r="I10" i="10"/>
  <c r="H10" i="10"/>
  <c r="F10" i="10"/>
  <c r="E10" i="10"/>
  <c r="D10" i="10"/>
  <c r="C10" i="10"/>
  <c r="B10" i="10"/>
  <c r="A10" i="10"/>
  <c r="I9" i="10"/>
  <c r="H9" i="10"/>
  <c r="F9" i="10"/>
  <c r="E9" i="10"/>
  <c r="D9" i="10"/>
  <c r="C9" i="10"/>
  <c r="B9" i="10"/>
  <c r="A9" i="10"/>
  <c r="I8" i="10"/>
  <c r="H8" i="10"/>
  <c r="F8" i="10"/>
  <c r="E8" i="10"/>
  <c r="D8" i="10"/>
  <c r="C8" i="10"/>
  <c r="B8" i="10"/>
  <c r="A8" i="10"/>
  <c r="I7" i="10"/>
  <c r="H7" i="10"/>
  <c r="F7" i="10"/>
  <c r="E7" i="10"/>
  <c r="D7" i="10"/>
  <c r="C7" i="10"/>
  <c r="B7" i="10"/>
  <c r="A7" i="10"/>
  <c r="I6" i="10"/>
  <c r="H6" i="10"/>
  <c r="F6" i="10"/>
  <c r="E6" i="10"/>
  <c r="D6" i="10"/>
  <c r="C6" i="10"/>
  <c r="B6" i="10"/>
  <c r="A6" i="10"/>
  <c r="I51" i="9"/>
  <c r="H51" i="9"/>
  <c r="F51" i="9"/>
  <c r="E51" i="9"/>
  <c r="D51" i="9"/>
  <c r="C51" i="9"/>
  <c r="B51" i="9"/>
  <c r="A51" i="9"/>
  <c r="I50" i="9"/>
  <c r="H50" i="9"/>
  <c r="F50" i="9"/>
  <c r="E50" i="9"/>
  <c r="D50" i="9"/>
  <c r="C50" i="9"/>
  <c r="B50" i="9"/>
  <c r="A50" i="9"/>
  <c r="I49" i="9"/>
  <c r="H49" i="9"/>
  <c r="F49" i="9"/>
  <c r="E49" i="9"/>
  <c r="D49" i="9"/>
  <c r="C49" i="9"/>
  <c r="B49" i="9"/>
  <c r="A49" i="9"/>
  <c r="I48" i="9"/>
  <c r="H48" i="9"/>
  <c r="F48" i="9"/>
  <c r="E48" i="9"/>
  <c r="D48" i="9"/>
  <c r="C48" i="9"/>
  <c r="B48" i="9"/>
  <c r="A48" i="9"/>
  <c r="I47" i="9"/>
  <c r="H47" i="9"/>
  <c r="F47" i="9"/>
  <c r="E47" i="9"/>
  <c r="D47" i="9"/>
  <c r="C47" i="9"/>
  <c r="B47" i="9"/>
  <c r="A47" i="9"/>
  <c r="I46" i="9"/>
  <c r="H46" i="9"/>
  <c r="F46" i="9"/>
  <c r="E46" i="9"/>
  <c r="D46" i="9"/>
  <c r="C46" i="9"/>
  <c r="B46" i="9"/>
  <c r="A46" i="9"/>
  <c r="I45" i="9"/>
  <c r="H45" i="9"/>
  <c r="F45" i="9"/>
  <c r="E45" i="9"/>
  <c r="D45" i="9"/>
  <c r="C45" i="9"/>
  <c r="B45" i="9"/>
  <c r="A45" i="9"/>
  <c r="I44" i="9"/>
  <c r="H44" i="9"/>
  <c r="F44" i="9"/>
  <c r="E44" i="9"/>
  <c r="D44" i="9"/>
  <c r="C44" i="9"/>
  <c r="B44" i="9"/>
  <c r="A44" i="9"/>
  <c r="I43" i="9"/>
  <c r="H43" i="9"/>
  <c r="G43" i="9"/>
  <c r="F43" i="9"/>
  <c r="E43" i="9"/>
  <c r="D43" i="9"/>
  <c r="C43" i="9"/>
  <c r="B43" i="9"/>
  <c r="A43" i="9"/>
  <c r="I42" i="9"/>
  <c r="H42" i="9"/>
  <c r="F42" i="9"/>
  <c r="E42" i="9"/>
  <c r="D42" i="9"/>
  <c r="C42" i="9"/>
  <c r="B42" i="9"/>
  <c r="A42" i="9"/>
  <c r="I41" i="9"/>
  <c r="H41" i="9"/>
  <c r="F41" i="9"/>
  <c r="E41" i="9"/>
  <c r="D41" i="9"/>
  <c r="C41" i="9"/>
  <c r="B41" i="9"/>
  <c r="A41" i="9"/>
  <c r="I40" i="9"/>
  <c r="H40" i="9"/>
  <c r="F40" i="9"/>
  <c r="E40" i="9"/>
  <c r="D40" i="9"/>
  <c r="C40" i="9"/>
  <c r="B40" i="9"/>
  <c r="A40" i="9"/>
  <c r="I39" i="9"/>
  <c r="H39" i="9"/>
  <c r="F39" i="9"/>
  <c r="E39" i="9"/>
  <c r="D39" i="9"/>
  <c r="C39" i="9"/>
  <c r="B39" i="9"/>
  <c r="A39" i="9"/>
  <c r="I38" i="9"/>
  <c r="H38" i="9"/>
  <c r="F38" i="9"/>
  <c r="E38" i="9"/>
  <c r="D38" i="9"/>
  <c r="C38" i="9"/>
  <c r="B38" i="9"/>
  <c r="A38" i="9"/>
  <c r="I37" i="9"/>
  <c r="H37" i="9"/>
  <c r="F37" i="9"/>
  <c r="E37" i="9"/>
  <c r="D37" i="9"/>
  <c r="C37" i="9"/>
  <c r="B37" i="9"/>
  <c r="A37" i="9"/>
  <c r="I36" i="9"/>
  <c r="H36" i="9"/>
  <c r="F36" i="9"/>
  <c r="E36" i="9"/>
  <c r="D36" i="9"/>
  <c r="C36" i="9"/>
  <c r="B36" i="9"/>
  <c r="A36" i="9"/>
  <c r="I35" i="9"/>
  <c r="H35" i="9"/>
  <c r="F35" i="9"/>
  <c r="E35" i="9"/>
  <c r="D35" i="9"/>
  <c r="C35" i="9"/>
  <c r="B35" i="9"/>
  <c r="A35" i="9"/>
  <c r="I34" i="9"/>
  <c r="H34" i="9"/>
  <c r="F34" i="9"/>
  <c r="E34" i="9"/>
  <c r="D34" i="9"/>
  <c r="C34" i="9"/>
  <c r="B34" i="9"/>
  <c r="A34" i="9"/>
  <c r="I33" i="9"/>
  <c r="H33" i="9"/>
  <c r="F33" i="9"/>
  <c r="E33" i="9"/>
  <c r="D33" i="9"/>
  <c r="C33" i="9"/>
  <c r="B33" i="9"/>
  <c r="A33" i="9"/>
  <c r="I32" i="9"/>
  <c r="H32" i="9"/>
  <c r="F32" i="9"/>
  <c r="E32" i="9"/>
  <c r="D32" i="9"/>
  <c r="C32" i="9"/>
  <c r="B32" i="9"/>
  <c r="A32" i="9"/>
  <c r="I31" i="9"/>
  <c r="H31" i="9"/>
  <c r="F31" i="9"/>
  <c r="E31" i="9"/>
  <c r="D31" i="9"/>
  <c r="C31" i="9"/>
  <c r="B31" i="9"/>
  <c r="A31" i="9"/>
  <c r="I30" i="9"/>
  <c r="H30" i="9"/>
  <c r="F30" i="9"/>
  <c r="E30" i="9"/>
  <c r="D30" i="9"/>
  <c r="C30" i="9"/>
  <c r="B30" i="9"/>
  <c r="A30" i="9"/>
  <c r="I29" i="9"/>
  <c r="H29" i="9"/>
  <c r="F29" i="9"/>
  <c r="E29" i="9"/>
  <c r="D29" i="9"/>
  <c r="C29" i="9"/>
  <c r="B29" i="9"/>
  <c r="A29" i="9"/>
  <c r="I28" i="9"/>
  <c r="H28" i="9"/>
  <c r="F28" i="9"/>
  <c r="E28" i="9"/>
  <c r="D28" i="9"/>
  <c r="C28" i="9"/>
  <c r="B28" i="9"/>
  <c r="A28" i="9"/>
  <c r="I27" i="9"/>
  <c r="H27" i="9"/>
  <c r="G27" i="9"/>
  <c r="F27" i="9"/>
  <c r="E27" i="9"/>
  <c r="D27" i="9"/>
  <c r="C27" i="9"/>
  <c r="B27" i="9"/>
  <c r="A27" i="9"/>
  <c r="I26" i="9"/>
  <c r="H26" i="9"/>
  <c r="F26" i="9"/>
  <c r="E26" i="9"/>
  <c r="D26" i="9"/>
  <c r="C26" i="9"/>
  <c r="B26" i="9"/>
  <c r="A26" i="9"/>
  <c r="I25" i="9"/>
  <c r="H25" i="9"/>
  <c r="F25" i="9"/>
  <c r="E25" i="9"/>
  <c r="D25" i="9"/>
  <c r="C25" i="9"/>
  <c r="B25" i="9"/>
  <c r="A25" i="9"/>
  <c r="I24" i="9"/>
  <c r="H24" i="9"/>
  <c r="F24" i="9"/>
  <c r="E24" i="9"/>
  <c r="D24" i="9"/>
  <c r="C24" i="9"/>
  <c r="B24" i="9"/>
  <c r="A24" i="9"/>
  <c r="I23" i="9"/>
  <c r="H23" i="9"/>
  <c r="F23" i="9"/>
  <c r="E23" i="9"/>
  <c r="D23" i="9"/>
  <c r="C23" i="9"/>
  <c r="B23" i="9"/>
  <c r="A23" i="9"/>
  <c r="I22" i="9"/>
  <c r="H22" i="9"/>
  <c r="F22" i="9"/>
  <c r="E22" i="9"/>
  <c r="D22" i="9"/>
  <c r="C22" i="9"/>
  <c r="B22" i="9"/>
  <c r="A22" i="9"/>
  <c r="I21" i="9"/>
  <c r="H21" i="9"/>
  <c r="F21" i="9"/>
  <c r="E21" i="9"/>
  <c r="D21" i="9"/>
  <c r="C21" i="9"/>
  <c r="B21" i="9"/>
  <c r="A21" i="9"/>
  <c r="I20" i="9"/>
  <c r="H20" i="9"/>
  <c r="F20" i="9"/>
  <c r="E20" i="9"/>
  <c r="D20" i="9"/>
  <c r="C20" i="9"/>
  <c r="B20" i="9"/>
  <c r="A20" i="9"/>
  <c r="I19" i="9"/>
  <c r="H19" i="9"/>
  <c r="F19" i="9"/>
  <c r="E19" i="9"/>
  <c r="D19" i="9"/>
  <c r="C19" i="9"/>
  <c r="B19" i="9"/>
  <c r="A19" i="9"/>
  <c r="I18" i="9"/>
  <c r="H18" i="9"/>
  <c r="F18" i="9"/>
  <c r="E18" i="9"/>
  <c r="D18" i="9"/>
  <c r="C18" i="9"/>
  <c r="B18" i="9"/>
  <c r="A18" i="9"/>
  <c r="I17" i="9"/>
  <c r="H17" i="9"/>
  <c r="F17" i="9"/>
  <c r="E17" i="9"/>
  <c r="D17" i="9"/>
  <c r="C17" i="9"/>
  <c r="B17" i="9"/>
  <c r="A17" i="9"/>
  <c r="I16" i="9"/>
  <c r="H16" i="9"/>
  <c r="F16" i="9"/>
  <c r="E16" i="9"/>
  <c r="D16" i="9"/>
  <c r="C16" i="9"/>
  <c r="B16" i="9"/>
  <c r="A16" i="9"/>
  <c r="I15" i="9"/>
  <c r="H15" i="9"/>
  <c r="F15" i="9"/>
  <c r="E15" i="9"/>
  <c r="D15" i="9"/>
  <c r="C15" i="9"/>
  <c r="B15" i="9"/>
  <c r="A15" i="9"/>
  <c r="I14" i="9"/>
  <c r="H14" i="9"/>
  <c r="F14" i="9"/>
  <c r="E14" i="9"/>
  <c r="D14" i="9"/>
  <c r="C14" i="9"/>
  <c r="B14" i="9"/>
  <c r="A14" i="9"/>
  <c r="I13" i="9"/>
  <c r="H13" i="9"/>
  <c r="F13" i="9"/>
  <c r="E13" i="9"/>
  <c r="D13" i="9"/>
  <c r="C13" i="9"/>
  <c r="B13" i="9"/>
  <c r="A13" i="9"/>
  <c r="I12" i="9"/>
  <c r="H12" i="9"/>
  <c r="F12" i="9"/>
  <c r="E12" i="9"/>
  <c r="D12" i="9"/>
  <c r="C12" i="9"/>
  <c r="B12" i="9"/>
  <c r="A12" i="9"/>
  <c r="I11" i="9"/>
  <c r="H11" i="9"/>
  <c r="G11" i="9"/>
  <c r="F11" i="9"/>
  <c r="E11" i="9"/>
  <c r="D11" i="9"/>
  <c r="C11" i="9"/>
  <c r="B11" i="9"/>
  <c r="A11" i="9"/>
  <c r="I10" i="9"/>
  <c r="H10" i="9"/>
  <c r="F10" i="9"/>
  <c r="E10" i="9"/>
  <c r="D10" i="9"/>
  <c r="C10" i="9"/>
  <c r="B10" i="9"/>
  <c r="A10" i="9"/>
  <c r="I9" i="9"/>
  <c r="H9" i="9"/>
  <c r="F9" i="9"/>
  <c r="E9" i="9"/>
  <c r="D9" i="9"/>
  <c r="C9" i="9"/>
  <c r="B9" i="9"/>
  <c r="A9" i="9"/>
  <c r="I8" i="9"/>
  <c r="H8" i="9"/>
  <c r="F8" i="9"/>
  <c r="E8" i="9"/>
  <c r="D8" i="9"/>
  <c r="C8" i="9"/>
  <c r="B8" i="9"/>
  <c r="A8" i="9"/>
  <c r="I7" i="9"/>
  <c r="H7" i="9"/>
  <c r="F7" i="9"/>
  <c r="E7" i="9"/>
  <c r="D7" i="9"/>
  <c r="C7" i="9"/>
  <c r="B7" i="9"/>
  <c r="A7" i="9"/>
  <c r="I6" i="9"/>
  <c r="H6" i="9"/>
  <c r="F6" i="9"/>
  <c r="E6" i="9"/>
  <c r="D6" i="9"/>
  <c r="C6" i="9"/>
  <c r="B6" i="9"/>
  <c r="A6" i="9"/>
  <c r="I34" i="8"/>
  <c r="H34" i="8"/>
  <c r="F34" i="8"/>
  <c r="E34" i="8"/>
  <c r="D34" i="8"/>
  <c r="C34" i="8"/>
  <c r="B34" i="8"/>
  <c r="A34" i="8"/>
  <c r="I33" i="8"/>
  <c r="H33" i="8"/>
  <c r="F33" i="8"/>
  <c r="E33" i="8"/>
  <c r="D33" i="8"/>
  <c r="C33" i="8"/>
  <c r="B33" i="8"/>
  <c r="A33" i="8"/>
  <c r="I32" i="8"/>
  <c r="H32" i="8"/>
  <c r="F32" i="8"/>
  <c r="E32" i="8"/>
  <c r="D32" i="8"/>
  <c r="C32" i="8"/>
  <c r="B32" i="8"/>
  <c r="A32" i="8"/>
  <c r="I31" i="8"/>
  <c r="H31" i="8"/>
  <c r="F31" i="8"/>
  <c r="E31" i="8"/>
  <c r="D31" i="8"/>
  <c r="C31" i="8"/>
  <c r="B31" i="8"/>
  <c r="A31" i="8"/>
  <c r="I30" i="8"/>
  <c r="H30" i="8"/>
  <c r="F30" i="8"/>
  <c r="E30" i="8"/>
  <c r="D30" i="8"/>
  <c r="C30" i="8"/>
  <c r="B30" i="8"/>
  <c r="A30" i="8"/>
  <c r="I29" i="8"/>
  <c r="H29" i="8"/>
  <c r="F29" i="8"/>
  <c r="E29" i="8"/>
  <c r="D29" i="8"/>
  <c r="C29" i="8"/>
  <c r="B29" i="8"/>
  <c r="A29" i="8"/>
  <c r="I28" i="8"/>
  <c r="H28" i="8"/>
  <c r="F28" i="8"/>
  <c r="E28" i="8"/>
  <c r="D28" i="8"/>
  <c r="C28" i="8"/>
  <c r="B28" i="8"/>
  <c r="A28" i="8"/>
  <c r="I27" i="8"/>
  <c r="H27" i="8"/>
  <c r="F27" i="8"/>
  <c r="E27" i="8"/>
  <c r="D27" i="8"/>
  <c r="C27" i="8"/>
  <c r="B27" i="8"/>
  <c r="A27" i="8"/>
  <c r="I26" i="8"/>
  <c r="H26" i="8"/>
  <c r="F26" i="8"/>
  <c r="E26" i="8"/>
  <c r="D26" i="8"/>
  <c r="C26" i="8"/>
  <c r="B26" i="8"/>
  <c r="A26" i="8"/>
  <c r="I25" i="8"/>
  <c r="H25" i="8"/>
  <c r="F25" i="8"/>
  <c r="E25" i="8"/>
  <c r="D25" i="8"/>
  <c r="C25" i="8"/>
  <c r="B25" i="8"/>
  <c r="A25" i="8"/>
  <c r="I24" i="8"/>
  <c r="H24" i="8"/>
  <c r="G24" i="8"/>
  <c r="F24" i="8"/>
  <c r="E24" i="8"/>
  <c r="D24" i="8"/>
  <c r="C24" i="8"/>
  <c r="B24" i="8"/>
  <c r="A24" i="8"/>
  <c r="I23" i="8"/>
  <c r="H23" i="8"/>
  <c r="F23" i="8"/>
  <c r="E23" i="8"/>
  <c r="D23" i="8"/>
  <c r="C23" i="8"/>
  <c r="B23" i="8"/>
  <c r="A23" i="8"/>
  <c r="I22" i="8"/>
  <c r="H22" i="8"/>
  <c r="F22" i="8"/>
  <c r="E22" i="8"/>
  <c r="D22" i="8"/>
  <c r="C22" i="8"/>
  <c r="B22" i="8"/>
  <c r="A22" i="8"/>
  <c r="I21" i="8"/>
  <c r="H21" i="8"/>
  <c r="F21" i="8"/>
  <c r="E21" i="8"/>
  <c r="D21" i="8"/>
  <c r="C21" i="8"/>
  <c r="B21" i="8"/>
  <c r="A21" i="8"/>
  <c r="I20" i="8"/>
  <c r="H20" i="8"/>
  <c r="F20" i="8"/>
  <c r="E20" i="8"/>
  <c r="D20" i="8"/>
  <c r="C20" i="8"/>
  <c r="B20" i="8"/>
  <c r="A20" i="8"/>
  <c r="I19" i="8"/>
  <c r="H19" i="8"/>
  <c r="F19" i="8"/>
  <c r="E19" i="8"/>
  <c r="D19" i="8"/>
  <c r="C19" i="8"/>
  <c r="B19" i="8"/>
  <c r="A19" i="8"/>
  <c r="I18" i="8"/>
  <c r="H18" i="8"/>
  <c r="F18" i="8"/>
  <c r="E18" i="8"/>
  <c r="D18" i="8"/>
  <c r="C18" i="8"/>
  <c r="B18" i="8"/>
  <c r="A18" i="8"/>
  <c r="I17" i="8"/>
  <c r="H17" i="8"/>
  <c r="F17" i="8"/>
  <c r="E17" i="8"/>
  <c r="D17" i="8"/>
  <c r="C17" i="8"/>
  <c r="B17" i="8"/>
  <c r="A17" i="8"/>
  <c r="I16" i="8"/>
  <c r="H16" i="8"/>
  <c r="F16" i="8"/>
  <c r="E16" i="8"/>
  <c r="D16" i="8"/>
  <c r="C16" i="8"/>
  <c r="B16" i="8"/>
  <c r="A16" i="8"/>
  <c r="I15" i="8"/>
  <c r="H15" i="8"/>
  <c r="F15" i="8"/>
  <c r="E15" i="8"/>
  <c r="D15" i="8"/>
  <c r="C15" i="8"/>
  <c r="B15" i="8"/>
  <c r="A15" i="8"/>
  <c r="I14" i="8"/>
  <c r="H14" i="8"/>
  <c r="F14" i="8"/>
  <c r="E14" i="8"/>
  <c r="D14" i="8"/>
  <c r="C14" i="8"/>
  <c r="B14" i="8"/>
  <c r="A14" i="8"/>
  <c r="I13" i="8"/>
  <c r="H13" i="8"/>
  <c r="F13" i="8"/>
  <c r="E13" i="8"/>
  <c r="D13" i="8"/>
  <c r="C13" i="8"/>
  <c r="B13" i="8"/>
  <c r="A13" i="8"/>
  <c r="I12" i="8"/>
  <c r="H12" i="8"/>
  <c r="F12" i="8"/>
  <c r="E12" i="8"/>
  <c r="D12" i="8"/>
  <c r="C12" i="8"/>
  <c r="B12" i="8"/>
  <c r="A12" i="8"/>
  <c r="I11" i="8"/>
  <c r="H11" i="8"/>
  <c r="F11" i="8"/>
  <c r="E11" i="8"/>
  <c r="D11" i="8"/>
  <c r="C11" i="8"/>
  <c r="B11" i="8"/>
  <c r="A11" i="8"/>
  <c r="I10" i="8"/>
  <c r="H10" i="8"/>
  <c r="F10" i="8"/>
  <c r="E10" i="8"/>
  <c r="D10" i="8"/>
  <c r="C10" i="8"/>
  <c r="B10" i="8"/>
  <c r="A10" i="8"/>
  <c r="I9" i="8"/>
  <c r="H9" i="8"/>
  <c r="F9" i="8"/>
  <c r="E9" i="8"/>
  <c r="D9" i="8"/>
  <c r="C9" i="8"/>
  <c r="B9" i="8"/>
  <c r="A9" i="8"/>
  <c r="I8" i="8"/>
  <c r="H8" i="8"/>
  <c r="G8" i="8"/>
  <c r="F8" i="8"/>
  <c r="E8" i="8"/>
  <c r="D8" i="8"/>
  <c r="C8" i="8"/>
  <c r="B8" i="8"/>
  <c r="A8" i="8"/>
  <c r="I7" i="8"/>
  <c r="H7" i="8"/>
  <c r="F7" i="8"/>
  <c r="E7" i="8"/>
  <c r="D7" i="8"/>
  <c r="C7" i="8"/>
  <c r="B7" i="8"/>
  <c r="A7" i="8"/>
  <c r="I6" i="8"/>
  <c r="H6" i="8"/>
  <c r="F6" i="8"/>
  <c r="E6" i="8"/>
  <c r="D6" i="8"/>
  <c r="C6" i="8"/>
  <c r="B6" i="8"/>
  <c r="A6" i="8"/>
  <c r="I35" i="7"/>
  <c r="H35" i="7"/>
  <c r="F35" i="7"/>
  <c r="E35" i="7"/>
  <c r="D35" i="7"/>
  <c r="C35" i="7"/>
  <c r="B35" i="7"/>
  <c r="A35" i="7"/>
  <c r="I34" i="7"/>
  <c r="H34" i="7"/>
  <c r="F34" i="7"/>
  <c r="E34" i="7"/>
  <c r="D34" i="7"/>
  <c r="C34" i="7"/>
  <c r="B34" i="7"/>
  <c r="A34" i="7"/>
  <c r="I33" i="7"/>
  <c r="H33" i="7"/>
  <c r="F33" i="7"/>
  <c r="E33" i="7"/>
  <c r="D33" i="7"/>
  <c r="C33" i="7"/>
  <c r="B33" i="7"/>
  <c r="A33" i="7"/>
  <c r="I32" i="7"/>
  <c r="H32" i="7"/>
  <c r="F32" i="7"/>
  <c r="E32" i="7"/>
  <c r="D32" i="7"/>
  <c r="C32" i="7"/>
  <c r="B32" i="7"/>
  <c r="A32" i="7"/>
  <c r="I31" i="7"/>
  <c r="H31" i="7"/>
  <c r="F31" i="7"/>
  <c r="E31" i="7"/>
  <c r="D31" i="7"/>
  <c r="C31" i="7"/>
  <c r="B31" i="7"/>
  <c r="A31" i="7"/>
  <c r="I30" i="7"/>
  <c r="H30" i="7"/>
  <c r="F30" i="7"/>
  <c r="E30" i="7"/>
  <c r="D30" i="7"/>
  <c r="C30" i="7"/>
  <c r="B30" i="7"/>
  <c r="A30" i="7"/>
  <c r="I29" i="7"/>
  <c r="H29" i="7"/>
  <c r="F29" i="7"/>
  <c r="E29" i="7"/>
  <c r="D29" i="7"/>
  <c r="C29" i="7"/>
  <c r="B29" i="7"/>
  <c r="A29" i="7"/>
  <c r="I28" i="7"/>
  <c r="H28" i="7"/>
  <c r="F28" i="7"/>
  <c r="E28" i="7"/>
  <c r="D28" i="7"/>
  <c r="C28" i="7"/>
  <c r="B28" i="7"/>
  <c r="A28" i="7"/>
  <c r="I27" i="7"/>
  <c r="H27" i="7"/>
  <c r="F27" i="7"/>
  <c r="E27" i="7"/>
  <c r="D27" i="7"/>
  <c r="C27" i="7"/>
  <c r="B27" i="7"/>
  <c r="A27" i="7"/>
  <c r="I26" i="7"/>
  <c r="H26" i="7"/>
  <c r="F26" i="7"/>
  <c r="E26" i="7"/>
  <c r="D26" i="7"/>
  <c r="C26" i="7"/>
  <c r="B26" i="7"/>
  <c r="A26" i="7"/>
  <c r="I25" i="7"/>
  <c r="H25" i="7"/>
  <c r="F25" i="7"/>
  <c r="E25" i="7"/>
  <c r="D25" i="7"/>
  <c r="C25" i="7"/>
  <c r="B25" i="7"/>
  <c r="A25" i="7"/>
  <c r="I24" i="7"/>
  <c r="H24" i="7"/>
  <c r="F24" i="7"/>
  <c r="E24" i="7"/>
  <c r="D24" i="7"/>
  <c r="C24" i="7"/>
  <c r="B24" i="7"/>
  <c r="A24" i="7"/>
  <c r="I23" i="7"/>
  <c r="H23" i="7"/>
  <c r="F23" i="7"/>
  <c r="E23" i="7"/>
  <c r="D23" i="7"/>
  <c r="C23" i="7"/>
  <c r="B23" i="7"/>
  <c r="A23" i="7"/>
  <c r="I22" i="7"/>
  <c r="H22" i="7"/>
  <c r="G22" i="7"/>
  <c r="F22" i="7"/>
  <c r="E22" i="7"/>
  <c r="D22" i="7"/>
  <c r="C22" i="7"/>
  <c r="B22" i="7"/>
  <c r="A22" i="7"/>
  <c r="I21" i="7"/>
  <c r="H21" i="7"/>
  <c r="F21" i="7"/>
  <c r="E21" i="7"/>
  <c r="D21" i="7"/>
  <c r="C21" i="7"/>
  <c r="B21" i="7"/>
  <c r="A21" i="7"/>
  <c r="I20" i="7"/>
  <c r="H20" i="7"/>
  <c r="F20" i="7"/>
  <c r="E20" i="7"/>
  <c r="D20" i="7"/>
  <c r="C20" i="7"/>
  <c r="B20" i="7"/>
  <c r="A20" i="7"/>
  <c r="I19" i="7"/>
  <c r="H19" i="7"/>
  <c r="F19" i="7"/>
  <c r="E19" i="7"/>
  <c r="D19" i="7"/>
  <c r="C19" i="7"/>
  <c r="B19" i="7"/>
  <c r="A19" i="7"/>
  <c r="I18" i="7"/>
  <c r="H18" i="7"/>
  <c r="F18" i="7"/>
  <c r="E18" i="7"/>
  <c r="D18" i="7"/>
  <c r="C18" i="7"/>
  <c r="B18" i="7"/>
  <c r="A18" i="7"/>
  <c r="I17" i="7"/>
  <c r="H17" i="7"/>
  <c r="F17" i="7"/>
  <c r="E17" i="7"/>
  <c r="D17" i="7"/>
  <c r="C17" i="7"/>
  <c r="B17" i="7"/>
  <c r="A17" i="7"/>
  <c r="I16" i="7"/>
  <c r="H16" i="7"/>
  <c r="F16" i="7"/>
  <c r="E16" i="7"/>
  <c r="D16" i="7"/>
  <c r="C16" i="7"/>
  <c r="B16" i="7"/>
  <c r="A16" i="7"/>
  <c r="I15" i="7"/>
  <c r="H15" i="7"/>
  <c r="F15" i="7"/>
  <c r="E15" i="7"/>
  <c r="D15" i="7"/>
  <c r="C15" i="7"/>
  <c r="B15" i="7"/>
  <c r="A15" i="7"/>
  <c r="I14" i="7"/>
  <c r="H14" i="7"/>
  <c r="F14" i="7"/>
  <c r="E14" i="7"/>
  <c r="D14" i="7"/>
  <c r="C14" i="7"/>
  <c r="B14" i="7"/>
  <c r="A14" i="7"/>
  <c r="I13" i="7"/>
  <c r="H13" i="7"/>
  <c r="F13" i="7"/>
  <c r="E13" i="7"/>
  <c r="D13" i="7"/>
  <c r="C13" i="7"/>
  <c r="B13" i="7"/>
  <c r="A13" i="7"/>
  <c r="I12" i="7"/>
  <c r="H12" i="7"/>
  <c r="F12" i="7"/>
  <c r="E12" i="7"/>
  <c r="D12" i="7"/>
  <c r="C12" i="7"/>
  <c r="B12" i="7"/>
  <c r="A12" i="7"/>
  <c r="I11" i="7"/>
  <c r="H11" i="7"/>
  <c r="F11" i="7"/>
  <c r="E11" i="7"/>
  <c r="D11" i="7"/>
  <c r="C11" i="7"/>
  <c r="B11" i="7"/>
  <c r="A11" i="7"/>
  <c r="I10" i="7"/>
  <c r="H10" i="7"/>
  <c r="F10" i="7"/>
  <c r="E10" i="7"/>
  <c r="D10" i="7"/>
  <c r="C10" i="7"/>
  <c r="B10" i="7"/>
  <c r="A10" i="7"/>
  <c r="I9" i="7"/>
  <c r="H9" i="7"/>
  <c r="F9" i="7"/>
  <c r="E9" i="7"/>
  <c r="D9" i="7"/>
  <c r="C9" i="7"/>
  <c r="B9" i="7"/>
  <c r="A9" i="7"/>
  <c r="I8" i="7"/>
  <c r="H8" i="7"/>
  <c r="F8" i="7"/>
  <c r="E8" i="7"/>
  <c r="D8" i="7"/>
  <c r="C8" i="7"/>
  <c r="B8" i="7"/>
  <c r="A8" i="7"/>
  <c r="I7" i="7"/>
  <c r="H7" i="7"/>
  <c r="F7" i="7"/>
  <c r="E7" i="7"/>
  <c r="D7" i="7"/>
  <c r="C7" i="7"/>
  <c r="B7" i="7"/>
  <c r="A7" i="7"/>
  <c r="I6" i="7"/>
  <c r="H6" i="7"/>
  <c r="G6" i="7"/>
  <c r="F6" i="7"/>
  <c r="E6" i="7"/>
  <c r="D6" i="7"/>
  <c r="C6" i="7"/>
  <c r="B6" i="7"/>
  <c r="A6" i="7"/>
  <c r="I60" i="6"/>
  <c r="H60" i="6"/>
  <c r="F60" i="6"/>
  <c r="E60" i="6"/>
  <c r="D60" i="6"/>
  <c r="C60" i="6"/>
  <c r="B60" i="6"/>
  <c r="A60" i="6"/>
  <c r="I59" i="6"/>
  <c r="H59" i="6"/>
  <c r="F59" i="6"/>
  <c r="E59" i="6"/>
  <c r="D59" i="6"/>
  <c r="C59" i="6"/>
  <c r="B59" i="6"/>
  <c r="A59" i="6"/>
  <c r="I58" i="6"/>
  <c r="H58" i="6"/>
  <c r="F58" i="6"/>
  <c r="E58" i="6"/>
  <c r="D58" i="6"/>
  <c r="C58" i="6"/>
  <c r="B58" i="6"/>
  <c r="A58" i="6"/>
  <c r="I57" i="6"/>
  <c r="H57" i="6"/>
  <c r="F57" i="6"/>
  <c r="E57" i="6"/>
  <c r="D57" i="6"/>
  <c r="C57" i="6"/>
  <c r="B57" i="6"/>
  <c r="A57" i="6"/>
  <c r="I56" i="6"/>
  <c r="H56" i="6"/>
  <c r="F56" i="6"/>
  <c r="E56" i="6"/>
  <c r="D56" i="6"/>
  <c r="C56" i="6"/>
  <c r="B56" i="6"/>
  <c r="A56" i="6"/>
  <c r="I55" i="6"/>
  <c r="H55" i="6"/>
  <c r="F55" i="6"/>
  <c r="E55" i="6"/>
  <c r="D55" i="6"/>
  <c r="C55" i="6"/>
  <c r="B55" i="6"/>
  <c r="A55" i="6"/>
  <c r="I54" i="6"/>
  <c r="H54" i="6"/>
  <c r="F54" i="6"/>
  <c r="E54" i="6"/>
  <c r="D54" i="6"/>
  <c r="C54" i="6"/>
  <c r="B54" i="6"/>
  <c r="A54" i="6"/>
  <c r="I53" i="6"/>
  <c r="H53" i="6"/>
  <c r="F53" i="6"/>
  <c r="E53" i="6"/>
  <c r="D53" i="6"/>
  <c r="C53" i="6"/>
  <c r="B53" i="6"/>
  <c r="A53" i="6"/>
  <c r="I52" i="6"/>
  <c r="H52" i="6"/>
  <c r="F52" i="6"/>
  <c r="E52" i="6"/>
  <c r="D52" i="6"/>
  <c r="C52" i="6"/>
  <c r="B52" i="6"/>
  <c r="A52" i="6"/>
  <c r="I51" i="6"/>
  <c r="H51" i="6"/>
  <c r="F51" i="6"/>
  <c r="E51" i="6"/>
  <c r="D51" i="6"/>
  <c r="C51" i="6"/>
  <c r="B51" i="6"/>
  <c r="A51" i="6"/>
  <c r="I50" i="6"/>
  <c r="H50" i="6"/>
  <c r="F50" i="6"/>
  <c r="E50" i="6"/>
  <c r="D50" i="6"/>
  <c r="C50" i="6"/>
  <c r="B50" i="6"/>
  <c r="A50" i="6"/>
  <c r="I49" i="6"/>
  <c r="H49" i="6"/>
  <c r="F49" i="6"/>
  <c r="E49" i="6"/>
  <c r="D49" i="6"/>
  <c r="C49" i="6"/>
  <c r="B49" i="6"/>
  <c r="A49" i="6"/>
  <c r="I48" i="6"/>
  <c r="H48" i="6"/>
  <c r="F48" i="6"/>
  <c r="E48" i="6"/>
  <c r="D48" i="6"/>
  <c r="C48" i="6"/>
  <c r="B48" i="6"/>
  <c r="A48" i="6"/>
  <c r="I47" i="6"/>
  <c r="H47" i="6"/>
  <c r="F47" i="6"/>
  <c r="E47" i="6"/>
  <c r="D47" i="6"/>
  <c r="C47" i="6"/>
  <c r="B47" i="6"/>
  <c r="A47" i="6"/>
  <c r="I46" i="6"/>
  <c r="H46" i="6"/>
  <c r="F46" i="6"/>
  <c r="E46" i="6"/>
  <c r="D46" i="6"/>
  <c r="C46" i="6"/>
  <c r="B46" i="6"/>
  <c r="A46" i="6"/>
  <c r="I45" i="6"/>
  <c r="H45" i="6"/>
  <c r="G45" i="6"/>
  <c r="F45" i="6"/>
  <c r="E45" i="6"/>
  <c r="D45" i="6"/>
  <c r="C45" i="6"/>
  <c r="B45" i="6"/>
  <c r="A45" i="6"/>
  <c r="I44" i="6"/>
  <c r="H44" i="6"/>
  <c r="F44" i="6"/>
  <c r="E44" i="6"/>
  <c r="D44" i="6"/>
  <c r="C44" i="6"/>
  <c r="B44" i="6"/>
  <c r="A44" i="6"/>
  <c r="I43" i="6"/>
  <c r="H43" i="6"/>
  <c r="F43" i="6"/>
  <c r="E43" i="6"/>
  <c r="D43" i="6"/>
  <c r="C43" i="6"/>
  <c r="B43" i="6"/>
  <c r="A43" i="6"/>
  <c r="I42" i="6"/>
  <c r="H42" i="6"/>
  <c r="F42" i="6"/>
  <c r="E42" i="6"/>
  <c r="D42" i="6"/>
  <c r="C42" i="6"/>
  <c r="B42" i="6"/>
  <c r="A42" i="6"/>
  <c r="I41" i="6"/>
  <c r="H41" i="6"/>
  <c r="F41" i="6"/>
  <c r="E41" i="6"/>
  <c r="D41" i="6"/>
  <c r="C41" i="6"/>
  <c r="B41" i="6"/>
  <c r="A41" i="6"/>
  <c r="I40" i="6"/>
  <c r="H40" i="6"/>
  <c r="F40" i="6"/>
  <c r="E40" i="6"/>
  <c r="D40" i="6"/>
  <c r="C40" i="6"/>
  <c r="B40" i="6"/>
  <c r="A40" i="6"/>
  <c r="I39" i="6"/>
  <c r="H39" i="6"/>
  <c r="F39" i="6"/>
  <c r="E39" i="6"/>
  <c r="D39" i="6"/>
  <c r="C39" i="6"/>
  <c r="B39" i="6"/>
  <c r="A39" i="6"/>
  <c r="I38" i="6"/>
  <c r="H38" i="6"/>
  <c r="F38" i="6"/>
  <c r="E38" i="6"/>
  <c r="D38" i="6"/>
  <c r="C38" i="6"/>
  <c r="B38" i="6"/>
  <c r="A38" i="6"/>
  <c r="I37" i="6"/>
  <c r="H37" i="6"/>
  <c r="F37" i="6"/>
  <c r="E37" i="6"/>
  <c r="D37" i="6"/>
  <c r="C37" i="6"/>
  <c r="B37" i="6"/>
  <c r="A37" i="6"/>
  <c r="I36" i="6"/>
  <c r="H36" i="6"/>
  <c r="F36" i="6"/>
  <c r="E36" i="6"/>
  <c r="D36" i="6"/>
  <c r="C36" i="6"/>
  <c r="B36" i="6"/>
  <c r="A36" i="6"/>
  <c r="I35" i="6"/>
  <c r="H35" i="6"/>
  <c r="F35" i="6"/>
  <c r="E35" i="6"/>
  <c r="D35" i="6"/>
  <c r="C35" i="6"/>
  <c r="B35" i="6"/>
  <c r="A35" i="6"/>
  <c r="I34" i="6"/>
  <c r="H34" i="6"/>
  <c r="F34" i="6"/>
  <c r="E34" i="6"/>
  <c r="D34" i="6"/>
  <c r="C34" i="6"/>
  <c r="B34" i="6"/>
  <c r="A34" i="6"/>
  <c r="I33" i="6"/>
  <c r="H33" i="6"/>
  <c r="F33" i="6"/>
  <c r="E33" i="6"/>
  <c r="D33" i="6"/>
  <c r="C33" i="6"/>
  <c r="B33" i="6"/>
  <c r="A33" i="6"/>
  <c r="I32" i="6"/>
  <c r="H32" i="6"/>
  <c r="F32" i="6"/>
  <c r="E32" i="6"/>
  <c r="D32" i="6"/>
  <c r="C32" i="6"/>
  <c r="B32" i="6"/>
  <c r="A32" i="6"/>
  <c r="I31" i="6"/>
  <c r="H31" i="6"/>
  <c r="F31" i="6"/>
  <c r="E31" i="6"/>
  <c r="D31" i="6"/>
  <c r="C31" i="6"/>
  <c r="B31" i="6"/>
  <c r="A31" i="6"/>
  <c r="I30" i="6"/>
  <c r="H30" i="6"/>
  <c r="F30" i="6"/>
  <c r="E30" i="6"/>
  <c r="D30" i="6"/>
  <c r="C30" i="6"/>
  <c r="B30" i="6"/>
  <c r="A30" i="6"/>
  <c r="I29" i="6"/>
  <c r="H29" i="6"/>
  <c r="G29" i="6"/>
  <c r="F29" i="6"/>
  <c r="E29" i="6"/>
  <c r="D29" i="6"/>
  <c r="C29" i="6"/>
  <c r="B29" i="6"/>
  <c r="A29" i="6"/>
  <c r="I28" i="6"/>
  <c r="H28" i="6"/>
  <c r="F28" i="6"/>
  <c r="E28" i="6"/>
  <c r="D28" i="6"/>
  <c r="C28" i="6"/>
  <c r="B28" i="6"/>
  <c r="A28" i="6"/>
  <c r="I27" i="6"/>
  <c r="H27" i="6"/>
  <c r="F27" i="6"/>
  <c r="E27" i="6"/>
  <c r="D27" i="6"/>
  <c r="C27" i="6"/>
  <c r="B27" i="6"/>
  <c r="A27" i="6"/>
  <c r="I26" i="6"/>
  <c r="H26" i="6"/>
  <c r="F26" i="6"/>
  <c r="E26" i="6"/>
  <c r="D26" i="6"/>
  <c r="C26" i="6"/>
  <c r="B26" i="6"/>
  <c r="A26" i="6"/>
  <c r="I25" i="6"/>
  <c r="H25" i="6"/>
  <c r="F25" i="6"/>
  <c r="E25" i="6"/>
  <c r="D25" i="6"/>
  <c r="C25" i="6"/>
  <c r="B25" i="6"/>
  <c r="A25" i="6"/>
  <c r="I24" i="6"/>
  <c r="H24" i="6"/>
  <c r="F24" i="6"/>
  <c r="E24" i="6"/>
  <c r="D24" i="6"/>
  <c r="C24" i="6"/>
  <c r="B24" i="6"/>
  <c r="A24" i="6"/>
  <c r="I23" i="6"/>
  <c r="H23" i="6"/>
  <c r="F23" i="6"/>
  <c r="E23" i="6"/>
  <c r="D23" i="6"/>
  <c r="C23" i="6"/>
  <c r="B23" i="6"/>
  <c r="A23" i="6"/>
  <c r="I22" i="6"/>
  <c r="H22" i="6"/>
  <c r="F22" i="6"/>
  <c r="E22" i="6"/>
  <c r="D22" i="6"/>
  <c r="C22" i="6"/>
  <c r="B22" i="6"/>
  <c r="A22" i="6"/>
  <c r="I21" i="6"/>
  <c r="H21" i="6"/>
  <c r="F21" i="6"/>
  <c r="E21" i="6"/>
  <c r="D21" i="6"/>
  <c r="C21" i="6"/>
  <c r="B21" i="6"/>
  <c r="A21" i="6"/>
  <c r="I20" i="6"/>
  <c r="H20" i="6"/>
  <c r="F20" i="6"/>
  <c r="E20" i="6"/>
  <c r="D20" i="6"/>
  <c r="C20" i="6"/>
  <c r="B20" i="6"/>
  <c r="A20" i="6"/>
  <c r="I19" i="6"/>
  <c r="H19" i="6"/>
  <c r="F19" i="6"/>
  <c r="E19" i="6"/>
  <c r="D19" i="6"/>
  <c r="C19" i="6"/>
  <c r="B19" i="6"/>
  <c r="A19" i="6"/>
  <c r="I18" i="6"/>
  <c r="H18" i="6"/>
  <c r="F18" i="6"/>
  <c r="E18" i="6"/>
  <c r="D18" i="6"/>
  <c r="C18" i="6"/>
  <c r="B18" i="6"/>
  <c r="A18" i="6"/>
  <c r="I17" i="6"/>
  <c r="H17" i="6"/>
  <c r="F17" i="6"/>
  <c r="E17" i="6"/>
  <c r="D17" i="6"/>
  <c r="C17" i="6"/>
  <c r="B17" i="6"/>
  <c r="A17" i="6"/>
  <c r="I16" i="6"/>
  <c r="H16" i="6"/>
  <c r="F16" i="6"/>
  <c r="E16" i="6"/>
  <c r="D16" i="6"/>
  <c r="C16" i="6"/>
  <c r="B16" i="6"/>
  <c r="A16" i="6"/>
  <c r="I15" i="6"/>
  <c r="H15" i="6"/>
  <c r="F15" i="6"/>
  <c r="E15" i="6"/>
  <c r="D15" i="6"/>
  <c r="C15" i="6"/>
  <c r="B15" i="6"/>
  <c r="A15" i="6"/>
  <c r="I14" i="6"/>
  <c r="H14" i="6"/>
  <c r="F14" i="6"/>
  <c r="E14" i="6"/>
  <c r="D14" i="6"/>
  <c r="C14" i="6"/>
  <c r="B14" i="6"/>
  <c r="A14" i="6"/>
  <c r="I13" i="6"/>
  <c r="H13" i="6"/>
  <c r="G13" i="6"/>
  <c r="F13" i="6"/>
  <c r="E13" i="6"/>
  <c r="D13" i="6"/>
  <c r="C13" i="6"/>
  <c r="B13" i="6"/>
  <c r="A13" i="6"/>
  <c r="I12" i="6"/>
  <c r="H12" i="6"/>
  <c r="F12" i="6"/>
  <c r="E12" i="6"/>
  <c r="D12" i="6"/>
  <c r="C12" i="6"/>
  <c r="B12" i="6"/>
  <c r="A12" i="6"/>
  <c r="I11" i="6"/>
  <c r="H11" i="6"/>
  <c r="F11" i="6"/>
  <c r="E11" i="6"/>
  <c r="D11" i="6"/>
  <c r="C11" i="6"/>
  <c r="B11" i="6"/>
  <c r="A11" i="6"/>
  <c r="I10" i="6"/>
  <c r="H10" i="6"/>
  <c r="F10" i="6"/>
  <c r="E10" i="6"/>
  <c r="D10" i="6"/>
  <c r="C10" i="6"/>
  <c r="B10" i="6"/>
  <c r="A10" i="6"/>
  <c r="I9" i="6"/>
  <c r="H9" i="6"/>
  <c r="F9" i="6"/>
  <c r="E9" i="6"/>
  <c r="D9" i="6"/>
  <c r="C9" i="6"/>
  <c r="B9" i="6"/>
  <c r="A9" i="6"/>
  <c r="I8" i="6"/>
  <c r="H8" i="6"/>
  <c r="F8" i="6"/>
  <c r="E8" i="6"/>
  <c r="D8" i="6"/>
  <c r="C8" i="6"/>
  <c r="B8" i="6"/>
  <c r="A8" i="6"/>
  <c r="I7" i="6"/>
  <c r="H7" i="6"/>
  <c r="F7" i="6"/>
  <c r="E7" i="6"/>
  <c r="D7" i="6"/>
  <c r="C7" i="6"/>
  <c r="B7" i="6"/>
  <c r="A7" i="6"/>
  <c r="I6" i="6"/>
  <c r="H6" i="6"/>
  <c r="F6" i="6"/>
  <c r="E6" i="6"/>
  <c r="D6" i="6"/>
  <c r="C6" i="6"/>
  <c r="B6" i="6"/>
  <c r="A6" i="6"/>
  <c r="I55" i="5"/>
  <c r="H55" i="5"/>
  <c r="F55" i="5"/>
  <c r="E55" i="5"/>
  <c r="D55" i="5"/>
  <c r="C55" i="5"/>
  <c r="B55" i="5"/>
  <c r="A55" i="5"/>
  <c r="I54" i="5"/>
  <c r="H54" i="5"/>
  <c r="F54" i="5"/>
  <c r="E54" i="5"/>
  <c r="D54" i="5"/>
  <c r="C54" i="5"/>
  <c r="B54" i="5"/>
  <c r="A54" i="5"/>
  <c r="I53" i="5"/>
  <c r="H53" i="5"/>
  <c r="F53" i="5"/>
  <c r="E53" i="5"/>
  <c r="D53" i="5"/>
  <c r="C53" i="5"/>
  <c r="B53" i="5"/>
  <c r="A53" i="5"/>
  <c r="I52" i="5"/>
  <c r="H52" i="5"/>
  <c r="F52" i="5"/>
  <c r="E52" i="5"/>
  <c r="D52" i="5"/>
  <c r="C52" i="5"/>
  <c r="B52" i="5"/>
  <c r="A52" i="5"/>
  <c r="I51" i="5"/>
  <c r="H51" i="5"/>
  <c r="F51" i="5"/>
  <c r="E51" i="5"/>
  <c r="D51" i="5"/>
  <c r="C51" i="5"/>
  <c r="B51" i="5"/>
  <c r="A51" i="5"/>
  <c r="I50" i="5"/>
  <c r="H50" i="5"/>
  <c r="F50" i="5"/>
  <c r="E50" i="5"/>
  <c r="D50" i="5"/>
  <c r="C50" i="5"/>
  <c r="B50" i="5"/>
  <c r="A50" i="5"/>
  <c r="I49" i="5"/>
  <c r="H49" i="5"/>
  <c r="F49" i="5"/>
  <c r="E49" i="5"/>
  <c r="D49" i="5"/>
  <c r="C49" i="5"/>
  <c r="B49" i="5"/>
  <c r="A49" i="5"/>
  <c r="I48" i="5"/>
  <c r="H48" i="5"/>
  <c r="F48" i="5"/>
  <c r="E48" i="5"/>
  <c r="D48" i="5"/>
  <c r="C48" i="5"/>
  <c r="B48" i="5"/>
  <c r="A48" i="5"/>
  <c r="I47" i="5"/>
  <c r="H47" i="5"/>
  <c r="F47" i="5"/>
  <c r="E47" i="5"/>
  <c r="D47" i="5"/>
  <c r="C47" i="5"/>
  <c r="B47" i="5"/>
  <c r="A47" i="5"/>
  <c r="I46" i="5"/>
  <c r="H46" i="5"/>
  <c r="F46" i="5"/>
  <c r="E46" i="5"/>
  <c r="D46" i="5"/>
  <c r="C46" i="5"/>
  <c r="B46" i="5"/>
  <c r="A46" i="5"/>
  <c r="I45" i="5"/>
  <c r="H45" i="5"/>
  <c r="F45" i="5"/>
  <c r="E45" i="5"/>
  <c r="D45" i="5"/>
  <c r="C45" i="5"/>
  <c r="B45" i="5"/>
  <c r="A45" i="5"/>
  <c r="I44" i="5"/>
  <c r="H44" i="5"/>
  <c r="G44" i="5"/>
  <c r="F44" i="5"/>
  <c r="E44" i="5"/>
  <c r="D44" i="5"/>
  <c r="C44" i="5"/>
  <c r="B44" i="5"/>
  <c r="A44" i="5"/>
  <c r="I43" i="5"/>
  <c r="H43" i="5"/>
  <c r="F43" i="5"/>
  <c r="E43" i="5"/>
  <c r="D43" i="5"/>
  <c r="C43" i="5"/>
  <c r="B43" i="5"/>
  <c r="A43" i="5"/>
  <c r="I42" i="5"/>
  <c r="H42" i="5"/>
  <c r="F42" i="5"/>
  <c r="E42" i="5"/>
  <c r="D42" i="5"/>
  <c r="C42" i="5"/>
  <c r="B42" i="5"/>
  <c r="A42" i="5"/>
  <c r="I41" i="5"/>
  <c r="H41" i="5"/>
  <c r="F41" i="5"/>
  <c r="E41" i="5"/>
  <c r="D41" i="5"/>
  <c r="C41" i="5"/>
  <c r="B41" i="5"/>
  <c r="A41" i="5"/>
  <c r="I40" i="5"/>
  <c r="H40" i="5"/>
  <c r="F40" i="5"/>
  <c r="E40" i="5"/>
  <c r="D40" i="5"/>
  <c r="C40" i="5"/>
  <c r="B40" i="5"/>
  <c r="A40" i="5"/>
  <c r="I39" i="5"/>
  <c r="H39" i="5"/>
  <c r="F39" i="5"/>
  <c r="E39" i="5"/>
  <c r="D39" i="5"/>
  <c r="C39" i="5"/>
  <c r="B39" i="5"/>
  <c r="A39" i="5"/>
  <c r="I38" i="5"/>
  <c r="H38" i="5"/>
  <c r="F38" i="5"/>
  <c r="E38" i="5"/>
  <c r="D38" i="5"/>
  <c r="C38" i="5"/>
  <c r="B38" i="5"/>
  <c r="A38" i="5"/>
  <c r="I37" i="5"/>
  <c r="H37" i="5"/>
  <c r="F37" i="5"/>
  <c r="E37" i="5"/>
  <c r="D37" i="5"/>
  <c r="C37" i="5"/>
  <c r="B37" i="5"/>
  <c r="A37" i="5"/>
  <c r="I36" i="5"/>
  <c r="H36" i="5"/>
  <c r="G36" i="5"/>
  <c r="F36" i="5"/>
  <c r="E36" i="5"/>
  <c r="D36" i="5"/>
  <c r="C36" i="5"/>
  <c r="B36" i="5"/>
  <c r="A36" i="5"/>
  <c r="I35" i="5"/>
  <c r="H35" i="5"/>
  <c r="F35" i="5"/>
  <c r="E35" i="5"/>
  <c r="D35" i="5"/>
  <c r="C35" i="5"/>
  <c r="B35" i="5"/>
  <c r="A35" i="5"/>
  <c r="I34" i="5"/>
  <c r="H34" i="5"/>
  <c r="F34" i="5"/>
  <c r="E34" i="5"/>
  <c r="D34" i="5"/>
  <c r="C34" i="5"/>
  <c r="B34" i="5"/>
  <c r="A34" i="5"/>
  <c r="I33" i="5"/>
  <c r="H33" i="5"/>
  <c r="F33" i="5"/>
  <c r="E33" i="5"/>
  <c r="D33" i="5"/>
  <c r="C33" i="5"/>
  <c r="B33" i="5"/>
  <c r="A33" i="5"/>
  <c r="I32" i="5"/>
  <c r="H32" i="5"/>
  <c r="G32" i="5"/>
  <c r="F32" i="5"/>
  <c r="E32" i="5"/>
  <c r="D32" i="5"/>
  <c r="C32" i="5"/>
  <c r="B32" i="5"/>
  <c r="A32" i="5"/>
  <c r="I31" i="5"/>
  <c r="H31" i="5"/>
  <c r="G31" i="5"/>
  <c r="F31" i="5"/>
  <c r="E31" i="5"/>
  <c r="D31" i="5"/>
  <c r="C31" i="5"/>
  <c r="B31" i="5"/>
  <c r="A31" i="5"/>
  <c r="I30" i="5"/>
  <c r="H30" i="5"/>
  <c r="F30" i="5"/>
  <c r="E30" i="5"/>
  <c r="D30" i="5"/>
  <c r="C30" i="5"/>
  <c r="B30" i="5"/>
  <c r="A30" i="5"/>
  <c r="I29" i="5"/>
  <c r="H29" i="5"/>
  <c r="F29" i="5"/>
  <c r="E29" i="5"/>
  <c r="D29" i="5"/>
  <c r="C29" i="5"/>
  <c r="B29" i="5"/>
  <c r="A29" i="5"/>
  <c r="I28" i="5"/>
  <c r="H28" i="5"/>
  <c r="F28" i="5"/>
  <c r="E28" i="5"/>
  <c r="D28" i="5"/>
  <c r="C28" i="5"/>
  <c r="B28" i="5"/>
  <c r="A28" i="5"/>
  <c r="I27" i="5"/>
  <c r="H27" i="5"/>
  <c r="F27" i="5"/>
  <c r="E27" i="5"/>
  <c r="D27" i="5"/>
  <c r="C27" i="5"/>
  <c r="B27" i="5"/>
  <c r="A27" i="5"/>
  <c r="I26" i="5"/>
  <c r="H26" i="5"/>
  <c r="F26" i="5"/>
  <c r="E26" i="5"/>
  <c r="D26" i="5"/>
  <c r="C26" i="5"/>
  <c r="B26" i="5"/>
  <c r="A26" i="5"/>
  <c r="I25" i="5"/>
  <c r="H25" i="5"/>
  <c r="F25" i="5"/>
  <c r="E25" i="5"/>
  <c r="D25" i="5"/>
  <c r="C25" i="5"/>
  <c r="B25" i="5"/>
  <c r="A25" i="5"/>
  <c r="I24" i="5"/>
  <c r="H24" i="5"/>
  <c r="G24" i="5"/>
  <c r="F24" i="5"/>
  <c r="E24" i="5"/>
  <c r="D24" i="5"/>
  <c r="C24" i="5"/>
  <c r="B24" i="5"/>
  <c r="A24" i="5"/>
  <c r="I23" i="5"/>
  <c r="H23" i="5"/>
  <c r="G23" i="5"/>
  <c r="F23" i="5"/>
  <c r="E23" i="5"/>
  <c r="D23" i="5"/>
  <c r="C23" i="5"/>
  <c r="B23" i="5"/>
  <c r="A23" i="5"/>
  <c r="I22" i="5"/>
  <c r="H22" i="5"/>
  <c r="F22" i="5"/>
  <c r="E22" i="5"/>
  <c r="D22" i="5"/>
  <c r="C22" i="5"/>
  <c r="B22" i="5"/>
  <c r="A22" i="5"/>
  <c r="I21" i="5"/>
  <c r="H21" i="5"/>
  <c r="F21" i="5"/>
  <c r="E21" i="5"/>
  <c r="D21" i="5"/>
  <c r="C21" i="5"/>
  <c r="B21" i="5"/>
  <c r="A21" i="5"/>
  <c r="I20" i="5"/>
  <c r="H20" i="5"/>
  <c r="F20" i="5"/>
  <c r="E20" i="5"/>
  <c r="D20" i="5"/>
  <c r="C20" i="5"/>
  <c r="B20" i="5"/>
  <c r="A20" i="5"/>
  <c r="I19" i="5"/>
  <c r="H19" i="5"/>
  <c r="F19" i="5"/>
  <c r="E19" i="5"/>
  <c r="D19" i="5"/>
  <c r="C19" i="5"/>
  <c r="B19" i="5"/>
  <c r="A19" i="5"/>
  <c r="I18" i="5"/>
  <c r="H18" i="5"/>
  <c r="F18" i="5"/>
  <c r="E18" i="5"/>
  <c r="D18" i="5"/>
  <c r="C18" i="5"/>
  <c r="B18" i="5"/>
  <c r="A18" i="5"/>
  <c r="I17" i="5"/>
  <c r="H17" i="5"/>
  <c r="F17" i="5"/>
  <c r="E17" i="5"/>
  <c r="D17" i="5"/>
  <c r="C17" i="5"/>
  <c r="B17" i="5"/>
  <c r="A17" i="5"/>
  <c r="I16" i="5"/>
  <c r="H16" i="5"/>
  <c r="F16" i="5"/>
  <c r="E16" i="5"/>
  <c r="D16" i="5"/>
  <c r="C16" i="5"/>
  <c r="B16" i="5"/>
  <c r="A16" i="5"/>
  <c r="I15" i="5"/>
  <c r="H15" i="5"/>
  <c r="F15" i="5"/>
  <c r="E15" i="5"/>
  <c r="D15" i="5"/>
  <c r="C15" i="5"/>
  <c r="B15" i="5"/>
  <c r="A15" i="5"/>
  <c r="I14" i="5"/>
  <c r="H14" i="5"/>
  <c r="F14" i="5"/>
  <c r="E14" i="5"/>
  <c r="D14" i="5"/>
  <c r="C14" i="5"/>
  <c r="B14" i="5"/>
  <c r="A14" i="5"/>
  <c r="I13" i="5"/>
  <c r="H13" i="5"/>
  <c r="F13" i="5"/>
  <c r="E13" i="5"/>
  <c r="D13" i="5"/>
  <c r="C13" i="5"/>
  <c r="B13" i="5"/>
  <c r="A13" i="5"/>
  <c r="I12" i="5"/>
  <c r="H12" i="5"/>
  <c r="F12" i="5"/>
  <c r="E12" i="5"/>
  <c r="D12" i="5"/>
  <c r="C12" i="5"/>
  <c r="B12" i="5"/>
  <c r="A12" i="5"/>
  <c r="I11" i="5"/>
  <c r="H11" i="5"/>
  <c r="F11" i="5"/>
  <c r="E11" i="5"/>
  <c r="D11" i="5"/>
  <c r="C11" i="5"/>
  <c r="B11" i="5"/>
  <c r="A11" i="5"/>
  <c r="I10" i="5"/>
  <c r="H10" i="5"/>
  <c r="F10" i="5"/>
  <c r="E10" i="5"/>
  <c r="D10" i="5"/>
  <c r="C10" i="5"/>
  <c r="B10" i="5"/>
  <c r="A10" i="5"/>
  <c r="I9" i="5"/>
  <c r="H9" i="5"/>
  <c r="F9" i="5"/>
  <c r="E9" i="5"/>
  <c r="D9" i="5"/>
  <c r="C9" i="5"/>
  <c r="B9" i="5"/>
  <c r="A9" i="5"/>
  <c r="I8" i="5"/>
  <c r="H8" i="5"/>
  <c r="G8" i="5"/>
  <c r="F8" i="5"/>
  <c r="E8" i="5"/>
  <c r="D8" i="5"/>
  <c r="C8" i="5"/>
  <c r="B8" i="5"/>
  <c r="A8" i="5"/>
  <c r="I7" i="5"/>
  <c r="H7" i="5"/>
  <c r="G7" i="5"/>
  <c r="F7" i="5"/>
  <c r="E7" i="5"/>
  <c r="D7" i="5"/>
  <c r="C7" i="5"/>
  <c r="B7" i="5"/>
  <c r="A7" i="5"/>
  <c r="I6" i="5"/>
  <c r="H6" i="5"/>
  <c r="F6" i="5"/>
  <c r="E6" i="5"/>
  <c r="D6" i="5"/>
  <c r="C6" i="5"/>
  <c r="B6" i="5"/>
  <c r="A6" i="5"/>
  <c r="K259" i="4"/>
  <c r="G49" i="10" s="1"/>
  <c r="K258" i="4"/>
  <c r="G48" i="10" s="1"/>
  <c r="K257" i="4"/>
  <c r="G47" i="10" s="1"/>
  <c r="K256" i="4"/>
  <c r="G46" i="10" s="1"/>
  <c r="K255" i="4"/>
  <c r="K254" i="4"/>
  <c r="G44" i="10" s="1"/>
  <c r="K253" i="4"/>
  <c r="G43" i="10" s="1"/>
  <c r="K252" i="4"/>
  <c r="G42" i="10" s="1"/>
  <c r="K251" i="4"/>
  <c r="G41" i="10" s="1"/>
  <c r="K250" i="4"/>
  <c r="G40" i="10" s="1"/>
  <c r="K249" i="4"/>
  <c r="G39" i="10" s="1"/>
  <c r="K248" i="4"/>
  <c r="G38" i="10" s="1"/>
  <c r="K247" i="4"/>
  <c r="G37" i="10" s="1"/>
  <c r="K246" i="4"/>
  <c r="G36" i="10" s="1"/>
  <c r="K245" i="4"/>
  <c r="G35" i="10" s="1"/>
  <c r="K244" i="4"/>
  <c r="G34" i="10" s="1"/>
  <c r="K243" i="4"/>
  <c r="G33" i="10" s="1"/>
  <c r="K242" i="4"/>
  <c r="G32" i="10" s="1"/>
  <c r="K241" i="4"/>
  <c r="G31" i="10" s="1"/>
  <c r="K240" i="4"/>
  <c r="G30" i="10" s="1"/>
  <c r="K239" i="4"/>
  <c r="K238" i="4"/>
  <c r="G28" i="10" s="1"/>
  <c r="K237" i="4"/>
  <c r="G27" i="10" s="1"/>
  <c r="K236" i="4"/>
  <c r="G26" i="10" s="1"/>
  <c r="K235" i="4"/>
  <c r="G25" i="10" s="1"/>
  <c r="K234" i="4"/>
  <c r="G24" i="10" s="1"/>
  <c r="K233" i="4"/>
  <c r="G23" i="10" s="1"/>
  <c r="K232" i="4"/>
  <c r="G22" i="10" s="1"/>
  <c r="K231" i="4"/>
  <c r="G21" i="10" s="1"/>
  <c r="K230" i="4"/>
  <c r="G20" i="10" s="1"/>
  <c r="K229" i="4"/>
  <c r="G19" i="10" s="1"/>
  <c r="K228" i="4"/>
  <c r="G18" i="10" s="1"/>
  <c r="K227" i="4"/>
  <c r="G17" i="10" s="1"/>
  <c r="K226" i="4"/>
  <c r="G16" i="10" s="1"/>
  <c r="K225" i="4"/>
  <c r="G15" i="10" s="1"/>
  <c r="K224" i="4"/>
  <c r="G14" i="10" s="1"/>
  <c r="K223" i="4"/>
  <c r="K222" i="4"/>
  <c r="G12" i="10" s="1"/>
  <c r="K221" i="4"/>
  <c r="G11" i="10" s="1"/>
  <c r="K220" i="4"/>
  <c r="G10" i="10" s="1"/>
  <c r="K219" i="4"/>
  <c r="G9" i="10" s="1"/>
  <c r="K218" i="4"/>
  <c r="G8" i="10" s="1"/>
  <c r="K217" i="4"/>
  <c r="G7" i="10" s="1"/>
  <c r="K216" i="4"/>
  <c r="G6" i="10" s="1"/>
  <c r="K215" i="4"/>
  <c r="G51" i="9" s="1"/>
  <c r="K214" i="4"/>
  <c r="G50" i="9" s="1"/>
  <c r="K213" i="4"/>
  <c r="G49" i="9" s="1"/>
  <c r="K212" i="4"/>
  <c r="G48" i="9" s="1"/>
  <c r="K211" i="4"/>
  <c r="G47" i="9" s="1"/>
  <c r="K210" i="4"/>
  <c r="G46" i="9" s="1"/>
  <c r="K209" i="4"/>
  <c r="G45" i="9" s="1"/>
  <c r="K208" i="4"/>
  <c r="G44" i="9" s="1"/>
  <c r="K207" i="4"/>
  <c r="K206" i="4"/>
  <c r="G42" i="9" s="1"/>
  <c r="K205" i="4"/>
  <c r="G41" i="9" s="1"/>
  <c r="K204" i="4"/>
  <c r="G40" i="9" s="1"/>
  <c r="K203" i="4"/>
  <c r="G39" i="9" s="1"/>
  <c r="K202" i="4"/>
  <c r="G38" i="9" s="1"/>
  <c r="K201" i="4"/>
  <c r="G37" i="9" s="1"/>
  <c r="K200" i="4"/>
  <c r="G36" i="9" s="1"/>
  <c r="K199" i="4"/>
  <c r="G35" i="9" s="1"/>
  <c r="K198" i="4"/>
  <c r="G34" i="9" s="1"/>
  <c r="K197" i="4"/>
  <c r="G33" i="9" s="1"/>
  <c r="K196" i="4"/>
  <c r="G32" i="9" s="1"/>
  <c r="K195" i="4"/>
  <c r="G31" i="9" s="1"/>
  <c r="K194" i="4"/>
  <c r="G30" i="9" s="1"/>
  <c r="K193" i="4"/>
  <c r="G29" i="9" s="1"/>
  <c r="K192" i="4"/>
  <c r="G28" i="9" s="1"/>
  <c r="K191" i="4"/>
  <c r="K190" i="4"/>
  <c r="G26" i="9" s="1"/>
  <c r="K189" i="4"/>
  <c r="G25" i="9" s="1"/>
  <c r="K188" i="4"/>
  <c r="G24" i="9" s="1"/>
  <c r="K187" i="4"/>
  <c r="G23" i="9" s="1"/>
  <c r="K186" i="4"/>
  <c r="G22" i="9" s="1"/>
  <c r="K185" i="4"/>
  <c r="G21" i="9" s="1"/>
  <c r="K184" i="4"/>
  <c r="G20" i="9" s="1"/>
  <c r="K183" i="4"/>
  <c r="G19" i="9" s="1"/>
  <c r="K182" i="4"/>
  <c r="G18" i="9" s="1"/>
  <c r="K181" i="4"/>
  <c r="G17" i="9" s="1"/>
  <c r="K180" i="4"/>
  <c r="G16" i="9" s="1"/>
  <c r="K179" i="4"/>
  <c r="G15" i="9" s="1"/>
  <c r="K178" i="4"/>
  <c r="G14" i="9" s="1"/>
  <c r="K177" i="4"/>
  <c r="G13" i="9" s="1"/>
  <c r="K176" i="4"/>
  <c r="G12" i="9" s="1"/>
  <c r="K175" i="4"/>
  <c r="K174" i="4"/>
  <c r="G10" i="9" s="1"/>
  <c r="K173" i="4"/>
  <c r="G9" i="9" s="1"/>
  <c r="K172" i="4"/>
  <c r="G8" i="9" s="1"/>
  <c r="K171" i="4"/>
  <c r="G7" i="9" s="1"/>
  <c r="K170" i="4"/>
  <c r="G6" i="9" s="1"/>
  <c r="K169" i="4"/>
  <c r="G34" i="8" s="1"/>
  <c r="K168" i="4"/>
  <c r="G33" i="8" s="1"/>
  <c r="K167" i="4"/>
  <c r="G32" i="8" s="1"/>
  <c r="K166" i="4"/>
  <c r="G31" i="8" s="1"/>
  <c r="K165" i="4"/>
  <c r="G30" i="8" s="1"/>
  <c r="K164" i="4"/>
  <c r="G29" i="8" s="1"/>
  <c r="K163" i="4"/>
  <c r="G28" i="8" s="1"/>
  <c r="K162" i="4"/>
  <c r="G27" i="8" s="1"/>
  <c r="K161" i="4"/>
  <c r="G26" i="8" s="1"/>
  <c r="K160" i="4"/>
  <c r="G25" i="8" s="1"/>
  <c r="K159" i="4"/>
  <c r="K158" i="4"/>
  <c r="G23" i="8" s="1"/>
  <c r="K157" i="4"/>
  <c r="G22" i="8" s="1"/>
  <c r="K156" i="4"/>
  <c r="G21" i="8" s="1"/>
  <c r="K155" i="4"/>
  <c r="G20" i="8" s="1"/>
  <c r="K154" i="4"/>
  <c r="G19" i="8" s="1"/>
  <c r="K153" i="4"/>
  <c r="G18" i="8" s="1"/>
  <c r="K152" i="4"/>
  <c r="G17" i="8" s="1"/>
  <c r="K151" i="4"/>
  <c r="G16" i="8" s="1"/>
  <c r="K150" i="4"/>
  <c r="G15" i="8" s="1"/>
  <c r="K149" i="4"/>
  <c r="G14" i="8" s="1"/>
  <c r="K148" i="4"/>
  <c r="G13" i="8" s="1"/>
  <c r="K147" i="4"/>
  <c r="G12" i="8" s="1"/>
  <c r="K146" i="4"/>
  <c r="G11" i="8" s="1"/>
  <c r="K145" i="4"/>
  <c r="G10" i="8" s="1"/>
  <c r="K144" i="4"/>
  <c r="G9" i="8" s="1"/>
  <c r="K143" i="4"/>
  <c r="K142" i="4"/>
  <c r="G7" i="8" s="1"/>
  <c r="K141" i="4"/>
  <c r="G6" i="8" s="1"/>
  <c r="K140" i="4"/>
  <c r="G35" i="7" s="1"/>
  <c r="K139" i="4"/>
  <c r="G34" i="7" s="1"/>
  <c r="K138" i="4"/>
  <c r="G33" i="7" s="1"/>
  <c r="K137" i="4"/>
  <c r="G32" i="7" s="1"/>
  <c r="K136" i="4"/>
  <c r="G31" i="7" s="1"/>
  <c r="K135" i="4"/>
  <c r="G30" i="7" s="1"/>
  <c r="K134" i="4"/>
  <c r="G29" i="7" s="1"/>
  <c r="K133" i="4"/>
  <c r="G28" i="7" s="1"/>
  <c r="K132" i="4"/>
  <c r="G27" i="7" s="1"/>
  <c r="K131" i="4"/>
  <c r="G26" i="7" s="1"/>
  <c r="K130" i="4"/>
  <c r="G25" i="7" s="1"/>
  <c r="K129" i="4"/>
  <c r="G24" i="7" s="1"/>
  <c r="K128" i="4"/>
  <c r="G23" i="7" s="1"/>
  <c r="K127" i="4"/>
  <c r="K126" i="4"/>
  <c r="G21" i="7" s="1"/>
  <c r="K125" i="4"/>
  <c r="G20" i="7" s="1"/>
  <c r="K124" i="4"/>
  <c r="G19" i="7" s="1"/>
  <c r="K123" i="4"/>
  <c r="G18" i="7" s="1"/>
  <c r="K122" i="4"/>
  <c r="G17" i="7" s="1"/>
  <c r="K121" i="4"/>
  <c r="G16" i="7" s="1"/>
  <c r="K120" i="4"/>
  <c r="G15" i="7" s="1"/>
  <c r="K119" i="4"/>
  <c r="G14" i="7" s="1"/>
  <c r="K118" i="4"/>
  <c r="G13" i="7" s="1"/>
  <c r="K117" i="4"/>
  <c r="G12" i="7" s="1"/>
  <c r="K116" i="4"/>
  <c r="G11" i="7" s="1"/>
  <c r="K115" i="4"/>
  <c r="G10" i="7" s="1"/>
  <c r="K114" i="4"/>
  <c r="G9" i="7" s="1"/>
  <c r="K113" i="4"/>
  <c r="G8" i="7" s="1"/>
  <c r="K112" i="4"/>
  <c r="G7" i="7" s="1"/>
  <c r="K111" i="4"/>
  <c r="K110" i="4"/>
  <c r="G60" i="6" s="1"/>
  <c r="K109" i="4"/>
  <c r="G59" i="6" s="1"/>
  <c r="K108" i="4"/>
  <c r="G58" i="6" s="1"/>
  <c r="K107" i="4"/>
  <c r="G57" i="6" s="1"/>
  <c r="K106" i="4"/>
  <c r="G56" i="6" s="1"/>
  <c r="K105" i="4"/>
  <c r="G55" i="6" s="1"/>
  <c r="K104" i="4"/>
  <c r="G54" i="6" s="1"/>
  <c r="K103" i="4"/>
  <c r="G53" i="6" s="1"/>
  <c r="K102" i="4"/>
  <c r="G52" i="6" s="1"/>
  <c r="K101" i="4"/>
  <c r="G51" i="6" s="1"/>
  <c r="K100" i="4"/>
  <c r="G50" i="6" s="1"/>
  <c r="K99" i="4"/>
  <c r="G49" i="6" s="1"/>
  <c r="K98" i="4"/>
  <c r="G48" i="6" s="1"/>
  <c r="K97" i="4"/>
  <c r="G47" i="6" s="1"/>
  <c r="K96" i="4"/>
  <c r="G46" i="6" s="1"/>
  <c r="K95" i="4"/>
  <c r="K94" i="4"/>
  <c r="G44" i="6" s="1"/>
  <c r="K93" i="4"/>
  <c r="G43" i="6" s="1"/>
  <c r="K92" i="4"/>
  <c r="G42" i="6" s="1"/>
  <c r="K91" i="4"/>
  <c r="G41" i="6" s="1"/>
  <c r="K90" i="4"/>
  <c r="G40" i="6" s="1"/>
  <c r="K89" i="4"/>
  <c r="G39" i="6" s="1"/>
  <c r="K88" i="4"/>
  <c r="G38" i="6" s="1"/>
  <c r="K87" i="4"/>
  <c r="G37" i="6" s="1"/>
  <c r="K86" i="4"/>
  <c r="G36" i="6" s="1"/>
  <c r="K85" i="4"/>
  <c r="G35" i="6" s="1"/>
  <c r="K84" i="4"/>
  <c r="G34" i="6" s="1"/>
  <c r="K83" i="4"/>
  <c r="G33" i="6" s="1"/>
  <c r="K82" i="4"/>
  <c r="G32" i="6" s="1"/>
  <c r="K81" i="4"/>
  <c r="G31" i="6" s="1"/>
  <c r="K80" i="4"/>
  <c r="G30" i="6" s="1"/>
  <c r="K79" i="4"/>
  <c r="K78" i="4"/>
  <c r="G28" i="6" s="1"/>
  <c r="K77" i="4"/>
  <c r="G27" i="6" s="1"/>
  <c r="K76" i="4"/>
  <c r="G26" i="6" s="1"/>
  <c r="K75" i="4"/>
  <c r="G25" i="6" s="1"/>
  <c r="K74" i="4"/>
  <c r="G24" i="6" s="1"/>
  <c r="K73" i="4"/>
  <c r="G23" i="6" s="1"/>
  <c r="K72" i="4"/>
  <c r="G22" i="6" s="1"/>
  <c r="K71" i="4"/>
  <c r="G21" i="6" s="1"/>
  <c r="K70" i="4"/>
  <c r="G20" i="6" s="1"/>
  <c r="K69" i="4"/>
  <c r="G19" i="6" s="1"/>
  <c r="K68" i="4"/>
  <c r="G18" i="6" s="1"/>
  <c r="K67" i="4"/>
  <c r="G17" i="6" s="1"/>
  <c r="K66" i="4"/>
  <c r="G16" i="6" s="1"/>
  <c r="K65" i="4"/>
  <c r="G15" i="6" s="1"/>
  <c r="K64" i="4"/>
  <c r="G14" i="6" s="1"/>
  <c r="K63" i="4"/>
  <c r="K62" i="4"/>
  <c r="G12" i="6" s="1"/>
  <c r="K61" i="4"/>
  <c r="G11" i="6" s="1"/>
  <c r="K60" i="4"/>
  <c r="G10" i="6" s="1"/>
  <c r="K59" i="4"/>
  <c r="G9" i="6" s="1"/>
  <c r="K58" i="4"/>
  <c r="G8" i="6" s="1"/>
  <c r="K57" i="4"/>
  <c r="G7" i="6" s="1"/>
  <c r="K56" i="4"/>
  <c r="G6" i="6" s="1"/>
  <c r="K55" i="4"/>
  <c r="G55" i="5" s="1"/>
  <c r="K54" i="4"/>
  <c r="G54" i="5" s="1"/>
  <c r="K53" i="4"/>
  <c r="G53" i="5" s="1"/>
  <c r="K52" i="4"/>
  <c r="G52" i="5" s="1"/>
  <c r="K51" i="4"/>
  <c r="G51" i="5" s="1"/>
  <c r="K50" i="4"/>
  <c r="G50" i="5" s="1"/>
  <c r="K49" i="4"/>
  <c r="G49" i="5" s="1"/>
  <c r="K48" i="4"/>
  <c r="G48" i="5" s="1"/>
  <c r="K47" i="4"/>
  <c r="G47" i="5" s="1"/>
  <c r="K46" i="4"/>
  <c r="G46" i="5" s="1"/>
  <c r="K45" i="4"/>
  <c r="G45" i="5" s="1"/>
  <c r="K44" i="4"/>
  <c r="K43" i="4"/>
  <c r="G43" i="5" s="1"/>
  <c r="K42" i="4"/>
  <c r="G42" i="5" s="1"/>
  <c r="K41" i="4"/>
  <c r="G41" i="5" s="1"/>
  <c r="K40" i="4"/>
  <c r="G40" i="5" s="1"/>
  <c r="K39" i="4"/>
  <c r="G39" i="5" s="1"/>
  <c r="K38" i="4"/>
  <c r="G38" i="5" s="1"/>
  <c r="K37" i="4"/>
  <c r="G37" i="5" s="1"/>
  <c r="K36" i="4"/>
  <c r="K35" i="4"/>
  <c r="G35" i="5" s="1"/>
  <c r="K34" i="4"/>
  <c r="G34" i="5" s="1"/>
  <c r="K33" i="4"/>
  <c r="G33" i="5" s="1"/>
  <c r="K32" i="4"/>
  <c r="K31" i="4"/>
  <c r="K30" i="4"/>
  <c r="G30" i="5" s="1"/>
  <c r="K29" i="4"/>
  <c r="G29" i="5" s="1"/>
  <c r="K28" i="4"/>
  <c r="G28" i="5" s="1"/>
  <c r="K27" i="4"/>
  <c r="G27" i="5" s="1"/>
  <c r="K26" i="4"/>
  <c r="G26" i="5" s="1"/>
  <c r="K25" i="4"/>
  <c r="G25" i="5" s="1"/>
  <c r="K24" i="4"/>
  <c r="K23" i="4"/>
  <c r="K22" i="4"/>
  <c r="G22" i="5" s="1"/>
  <c r="K21" i="4"/>
  <c r="G21" i="5" s="1"/>
  <c r="K20" i="4"/>
  <c r="G20" i="5" s="1"/>
  <c r="K19" i="4"/>
  <c r="G19" i="5" s="1"/>
  <c r="K18" i="4"/>
  <c r="G18" i="5" s="1"/>
  <c r="K17" i="4"/>
  <c r="G17" i="5" s="1"/>
  <c r="K16" i="4"/>
  <c r="G16" i="5" s="1"/>
  <c r="K15" i="4"/>
  <c r="G15" i="5" s="1"/>
  <c r="K14" i="4"/>
  <c r="G14" i="5" s="1"/>
  <c r="K13" i="4"/>
  <c r="G13" i="5" s="1"/>
  <c r="K12" i="4"/>
  <c r="G12" i="5" s="1"/>
  <c r="K11" i="4"/>
  <c r="G11" i="5" s="1"/>
  <c r="K10" i="4"/>
  <c r="G10" i="5" s="1"/>
  <c r="K9" i="4"/>
  <c r="G9" i="5" s="1"/>
  <c r="K8" i="4"/>
  <c r="K7" i="4"/>
  <c r="K6" i="4"/>
  <c r="G6" i="5" s="1"/>
  <c r="E26" i="3"/>
  <c r="F26" i="3" s="1"/>
  <c r="D26" i="3"/>
  <c r="E25" i="3"/>
  <c r="F25" i="3" s="1"/>
  <c r="D25" i="3"/>
  <c r="E24" i="3"/>
  <c r="F24" i="3" s="1"/>
  <c r="D24" i="3"/>
  <c r="E23" i="3"/>
  <c r="F23" i="3" s="1"/>
  <c r="D23" i="3"/>
  <c r="E22" i="3"/>
  <c r="F22" i="3" s="1"/>
  <c r="D22" i="3"/>
  <c r="E21" i="3"/>
  <c r="F21" i="3" s="1"/>
  <c r="D21" i="3"/>
  <c r="E20" i="3"/>
  <c r="F20" i="3" s="1"/>
  <c r="D20" i="3"/>
  <c r="E19" i="3"/>
  <c r="F19" i="3" s="1"/>
  <c r="D19" i="3"/>
  <c r="E18" i="3"/>
  <c r="F18" i="3" s="1"/>
  <c r="D18" i="3"/>
  <c r="E17" i="3"/>
  <c r="F17" i="3" s="1"/>
  <c r="D17" i="3"/>
  <c r="E16" i="3"/>
  <c r="F16" i="3" s="1"/>
  <c r="D16" i="3"/>
  <c r="E15" i="3"/>
  <c r="F15" i="3" s="1"/>
  <c r="D15" i="3"/>
  <c r="E14" i="3"/>
  <c r="F14" i="3" s="1"/>
  <c r="D14" i="3"/>
  <c r="E13" i="3"/>
  <c r="F13" i="3" s="1"/>
  <c r="D13" i="3"/>
  <c r="E12" i="3"/>
  <c r="F12" i="3" s="1"/>
  <c r="D12" i="3"/>
  <c r="E11" i="3"/>
  <c r="F11" i="3" s="1"/>
  <c r="D11" i="3"/>
  <c r="E10" i="3"/>
  <c r="F10" i="3" s="1"/>
  <c r="D10" i="3"/>
  <c r="E9" i="3"/>
  <c r="F9" i="3" s="1"/>
  <c r="D9" i="3"/>
  <c r="E8" i="3"/>
  <c r="F8" i="3" s="1"/>
  <c r="D8" i="3"/>
  <c r="E7" i="3"/>
  <c r="F7" i="3" s="1"/>
  <c r="D7" i="3"/>
  <c r="E6" i="3"/>
  <c r="F6" i="3" s="1"/>
  <c r="D6" i="3"/>
  <c r="B14" i="11" l="1"/>
  <c r="B15" i="11" s="1"/>
</calcChain>
</file>

<file path=xl/sharedStrings.xml><?xml version="1.0" encoding="utf-8"?>
<sst xmlns="http://schemas.openxmlformats.org/spreadsheetml/2006/main" count="3050" uniqueCount="1180">
  <si>
    <t>ISM DEVELOPER · CATÁLOGO TÉCNICO DE SERVICIOS v2.3</t>
  </si>
  <si>
    <t>Modelo simplificado: una actividad = una duración base = un valor base. Los ajustes se aplican una sola vez al total del proyecto.</t>
  </si>
  <si>
    <t>PRINCIPIOS DE ESTA VERSIÓN</t>
  </si>
  <si>
    <t>COBERTURA</t>
  </si>
  <si>
    <t>1</t>
  </si>
  <si>
    <t>Una sola HH base por actividad</t>
  </si>
  <si>
    <t>Se eliminan escenarios Inicial / Estándar / Avanzado, complejidad y factores por fila.</t>
  </si>
  <si>
    <t>Líneas de servicio</t>
  </si>
  <si>
    <t>Servicios</t>
  </si>
  <si>
    <t>2</t>
  </si>
  <si>
    <t>Un solo valor base</t>
  </si>
  <si>
    <t>Valor base = HH base × 0,7 UF/HH. No existen múltiples precios por actividad.</t>
  </si>
  <si>
    <t>Actividades técnicas</t>
  </si>
  <si>
    <t>Tarifa</t>
  </si>
  <si>
    <t>0,70 UF/HH</t>
  </si>
  <si>
    <t>3</t>
  </si>
  <si>
    <t>Ajustes solo al final</t>
  </si>
  <si>
    <t>Reutilización, mayor esfuerzo o simplificación se resuelven con un único Factor global de ejecución aplicado al total.</t>
  </si>
  <si>
    <t>Modelo</t>
  </si>
  <si>
    <t>100% base</t>
  </si>
  <si>
    <t>Contingencia</t>
  </si>
  <si>
    <t>20% final</t>
  </si>
  <si>
    <t>4</t>
  </si>
  <si>
    <t>Contingencia solo al final</t>
  </si>
  <si>
    <t>La contingencia comercial (20% por defecto) se aplica después del factor global, nunca actividad por actividad.</t>
  </si>
  <si>
    <t>CÓMO USAR EL CATÁLOGO</t>
  </si>
  <si>
    <t>LÍNEAS DE SERVICIO</t>
  </si>
  <si>
    <t>Editar solo Catálogo Maestro</t>
  </si>
  <si>
    <t>Ajusta nombre, alcance o HH base. Las vistas por línea están vinculadas a la fuente maestra.</t>
  </si>
  <si>
    <t>Desarrollo e Implementación</t>
  </si>
  <si>
    <t>Sitios web, aplicaciones, integraciones y automatizaciones.</t>
  </si>
  <si>
    <t>Seleccionar actividades del proyecto</t>
  </si>
  <si>
    <t>El configurador o la guía determina qué procesos corresponden al alcance real.</t>
  </si>
  <si>
    <t>Mantenimiento y Evolución</t>
  </si>
  <si>
    <t>Errores, nuevas funciones, modernización y rendimiento.</t>
  </si>
  <si>
    <t>Sumar las HH base</t>
  </si>
  <si>
    <t>Ese subtotal representa un proyecto nuevo ejecutado al 100% de la base definida.</t>
  </si>
  <si>
    <t>Monitoreo y Observabilidad</t>
  </si>
  <si>
    <t>Disponibilidad, logs, métricas y rendimiento operacional.</t>
  </si>
  <si>
    <t>Aplicar Factor global de ejecución</t>
  </si>
  <si>
    <t>100% = base nueva. Menor a 100% = reutilización. Mayor a 100% = esfuerzo extraordinario, si corresponde.</t>
  </si>
  <si>
    <t>Respaldo y Continuidad</t>
  </si>
  <si>
    <t>Respaldos, recuperación y continuidad de información.</t>
  </si>
  <si>
    <t>5</t>
  </si>
  <si>
    <t>Aplicar contingencia</t>
  </si>
  <si>
    <t>La contingencia se agrega una sola vez al final del proyecto.</t>
  </si>
  <si>
    <t>Ciberseguridad</t>
  </si>
  <si>
    <t>Hardening, vulnerabilidades, accesos y respuesta a incidentes.</t>
  </si>
  <si>
    <t>Soporte y Gestión</t>
  </si>
  <si>
    <t>Mesa de ayuda, incidentes, soporte evolutivo y documentación.</t>
  </si>
  <si>
    <t>PARÁMETROS Y REGLA ÚNICA DE VALORIZACIÓN</t>
  </si>
  <si>
    <t>Los porcentajes no modifican actividades individuales. Se aplican únicamente al total del proyecto.</t>
  </si>
  <si>
    <t>Parámetro</t>
  </si>
  <si>
    <t>Valor</t>
  </si>
  <si>
    <t>Unidad</t>
  </si>
  <si>
    <t>Dónde se aplica</t>
  </si>
  <si>
    <t>Editable</t>
  </si>
  <si>
    <t>Observación</t>
  </si>
  <si>
    <t>Versión del catálogo</t>
  </si>
  <si>
    <t>2.3</t>
  </si>
  <si>
    <t>Texto</t>
  </si>
  <si>
    <t>Control documental</t>
  </si>
  <si>
    <t>No</t>
  </si>
  <si>
    <t>Modelo simplificado de valorización.</t>
  </si>
  <si>
    <t>Fecha de emisión</t>
  </si>
  <si>
    <t>2026-08-15</t>
  </si>
  <si>
    <t>AAAA-MM-DD</t>
  </si>
  <si>
    <t>Fecha de esta revisión.</t>
  </si>
  <si>
    <t>Responsable</t>
  </si>
  <si>
    <t>ISM Developer</t>
  </si>
  <si>
    <t>Catálogo</t>
  </si>
  <si>
    <t>Sí</t>
  </si>
  <si>
    <t>Responsable de aprobar cambios.</t>
  </si>
  <si>
    <t>Tarifa base</t>
  </si>
  <si>
    <t>UF / HH</t>
  </si>
  <si>
    <t>Todas las actividades</t>
  </si>
  <si>
    <t>Tarifa maestra transversal de ISM Developer.</t>
  </si>
  <si>
    <t>Contingencia final</t>
  </si>
  <si>
    <t>%</t>
  </si>
  <si>
    <t>Total del proyecto</t>
  </si>
  <si>
    <t>Se aplica una sola vez al final.</t>
  </si>
  <si>
    <t>REGLA DE CÁLCULO</t>
  </si>
  <si>
    <t>Subtotal HH base</t>
  </si>
  <si>
    <t>Suma de HH base × cantidad de las actividades seleccionadas.</t>
  </si>
  <si>
    <t>Factor global de ejecución</t>
  </si>
  <si>
    <t>Se define al final del proyecto. 100% = base; &lt;100% = reutilización; &gt;100% = esfuerzo extraordinario.</t>
  </si>
  <si>
    <t>Valor técnico</t>
  </si>
  <si>
    <t>HH ajustadas × 0,70 UF/HH.</t>
  </si>
  <si>
    <t>Valor final de referencia</t>
  </si>
  <si>
    <t>Valor técnico + contingencia final.</t>
  </si>
  <si>
    <t>FÓRMULA</t>
  </si>
  <si>
    <t>Total UF = (HH base seleccionadas × Factor global de ejecución × Tarifa UF/HH) × (1 + Contingencia final)</t>
  </si>
  <si>
    <t>RESUMEN · SERVICIOS Y BASES 100% NUEVAS</t>
  </si>
  <si>
    <t>Los valores representan la base del servicio sin reutilización ni contingencia. Los ajustes se hacen únicamente en Cálculo Final.</t>
  </si>
  <si>
    <t>Línea</t>
  </si>
  <si>
    <t>Código</t>
  </si>
  <si>
    <t>Servicio / solución</t>
  </si>
  <si>
    <t>Actividades</t>
  </si>
  <si>
    <t>HH base incluidas</t>
  </si>
  <si>
    <t>Valor base UF</t>
  </si>
  <si>
    <t>Estado</t>
  </si>
  <si>
    <t>WEB-01</t>
  </si>
  <si>
    <t>Sitio web profesional</t>
  </si>
  <si>
    <t>Preliminar</t>
  </si>
  <si>
    <t>APP-01</t>
  </si>
  <si>
    <t>Sistema web o aplicación de gestión</t>
  </si>
  <si>
    <t>INT-01</t>
  </si>
  <si>
    <t>Integración y automatización de procesos</t>
  </si>
  <si>
    <t>MNT-01</t>
  </si>
  <si>
    <t>Corrección de errores y estabilización</t>
  </si>
  <si>
    <t>MNT-02</t>
  </si>
  <si>
    <t>Incorporación de nueva funcionalidad</t>
  </si>
  <si>
    <t>MNT-03</t>
  </si>
  <si>
    <t>Modernización, refactorización y actualización tecnológica</t>
  </si>
  <si>
    <t>MNT-04</t>
  </si>
  <si>
    <t>Optimización de rendimiento</t>
  </si>
  <si>
    <t>MON-01</t>
  </si>
  <si>
    <t>Monitoreo de disponibilidad</t>
  </si>
  <si>
    <t>MON-02</t>
  </si>
  <si>
    <t>Centralización de logs y trazabilidad</t>
  </si>
  <si>
    <t>MON-03</t>
  </si>
  <si>
    <t>Métricas y rendimiento</t>
  </si>
  <si>
    <t>BCP-01</t>
  </si>
  <si>
    <t>Implementación de respaldos</t>
  </si>
  <si>
    <t>BCP-02</t>
  </si>
  <si>
    <t>Plan de recuperación ante desastres</t>
  </si>
  <si>
    <t>BCP-03</t>
  </si>
  <si>
    <t>Retención y ciclo de vida de datos</t>
  </si>
  <si>
    <t>SEC-01</t>
  </si>
  <si>
    <t>Hardening de plataforma</t>
  </si>
  <si>
    <t>SEC-02</t>
  </si>
  <si>
    <t>Gestión de vulnerabilidades y parches</t>
  </si>
  <si>
    <t>SEC-03</t>
  </si>
  <si>
    <t>Identidad y control de accesos</t>
  </si>
  <si>
    <t>SEC-04</t>
  </si>
  <si>
    <t>Preparación para respuesta a incidentes</t>
  </si>
  <si>
    <t>SUP-01</t>
  </si>
  <si>
    <t>Implementación de mesa de ayuda</t>
  </si>
  <si>
    <t>SUP-02</t>
  </si>
  <si>
    <t>Gestión de incidentes, solicitudes y cambios</t>
  </si>
  <si>
    <t>SUP-03</t>
  </si>
  <si>
    <t>Bolsa mensual de soporte evolutivo</t>
  </si>
  <si>
    <t>SUP-04</t>
  </si>
  <si>
    <t>Documentación y base de conocimiento</t>
  </si>
  <si>
    <t>Nota: la suma del catálogo completo no representa una cotización. Cada proyecto utiliza solo las actividades que correspondan a su alcance.</t>
  </si>
  <si>
    <t>CATÁLOGO MAESTRO · FUENTE ÚNICA DE VERDAD</t>
  </si>
  <si>
    <t>Edite aquí las HH base y los alcances. No existen factores de reutilización, complejidad ni escenarios por actividad.</t>
  </si>
  <si>
    <t>Línea de servicio</t>
  </si>
  <si>
    <t>Código servicio</t>
  </si>
  <si>
    <t>Fase</t>
  </si>
  <si>
    <t>Código actividad</t>
  </si>
  <si>
    <t>Actividad / proceso</t>
  </si>
  <si>
    <t>Condición</t>
  </si>
  <si>
    <t>Cantidad base</t>
  </si>
  <si>
    <t>HH base / unidad</t>
  </si>
  <si>
    <t>Valor base UF / unidad</t>
  </si>
  <si>
    <t>Qué incluye</t>
  </si>
  <si>
    <t>Exclusiones</t>
  </si>
  <si>
    <t>Dependencias</t>
  </si>
  <si>
    <t>Planificación</t>
  </si>
  <si>
    <t>WEB-001</t>
  </si>
  <si>
    <t>Levantamiento y planificación inicial</t>
  </si>
  <si>
    <t>Base obligatorio</t>
  </si>
  <si>
    <t>Proyecto</t>
  </si>
  <si>
    <t>Incluye: objetivos y público objetivo; inventario de contenidos; propuesta de valor y CTA principal; mapa de navegación; orden de secciones; flujo general; wireframe base de la página principal.</t>
  </si>
  <si>
    <t>No incluye redacción profesional completa, investigación de mercado extensa ni prototipo de alta fidelidad.</t>
  </si>
  <si>
    <t>Preparación</t>
  </si>
  <si>
    <t>WEB-005</t>
  </si>
  <si>
    <t>Preparación técnica y sistema visual base</t>
  </si>
  <si>
    <t>Incluye: creación/ajuste de repositorio; estructura del proyecto; configuración inicial; colores, tipografías, espaciados, botones y componentes base reutilizables.</t>
  </si>
  <si>
    <t>No incluye branding completo ni diseño de identidad corporativa desde cero.</t>
  </si>
  <si>
    <t>Interfaz</t>
  </si>
  <si>
    <t>WEB-007</t>
  </si>
  <si>
    <t>Navbar, navegación principal y menú móvil</t>
  </si>
  <si>
    <t>Componente</t>
  </si>
  <si>
    <t>Incluye: logo, enlaces, CTA de navegación cuando corresponda, estados activos y comportamiento móvil.</t>
  </si>
  <si>
    <t>No incluye megamenús complejos ni navegación dinámica por permisos.</t>
  </si>
  <si>
    <t>WEB-001; WEB-005</t>
  </si>
  <si>
    <t>WEB-008</t>
  </si>
  <si>
    <t>Hero principal y llamada a la acción</t>
  </si>
  <si>
    <t>Incluye: titular, subtítulo, CTA, recurso visual entregado/disponible, composición y adaptación responsive.</t>
  </si>
  <si>
    <t>No incluye sesión fotográfica, producción audiovisual ni ilustración compleja a medida.</t>
  </si>
  <si>
    <t>WEB-009</t>
  </si>
  <si>
    <t>Sección estándar de contenido</t>
  </si>
  <si>
    <t>Base incluido</t>
  </si>
  <si>
    <t>Sección</t>
  </si>
  <si>
    <t>Incluye por unidad: título, texto, imagen/icono, tarjetas simples o bloque informativo y adaptación responsive.</t>
  </si>
  <si>
    <t>No incluye lógica avanzada, filtros ni contenido dinámico.</t>
  </si>
  <si>
    <t>WEB-010</t>
  </si>
  <si>
    <t>Sección de servicios con tarjetas</t>
  </si>
  <si>
    <t>Incluye: tarjetas de servicios, iconos o imágenes, descripciones breves y CTA relacionado.</t>
  </si>
  <si>
    <t>No incluye catálogo transaccional, reservas ni cálculo dinámico de precios.</t>
  </si>
  <si>
    <t>WEB-011</t>
  </si>
  <si>
    <t>Galería o portafolio</t>
  </si>
  <si>
    <t>Opcional</t>
  </si>
  <si>
    <t>Incluye: grilla/slider, visualización de proyectos o trabajos, modal o navegación simple según alcance.</t>
  </si>
  <si>
    <t>No incluye carga masiva, edición de imágenes ni CMS complejo.</t>
  </si>
  <si>
    <t>WEB-012</t>
  </si>
  <si>
    <t>Testimonios o casos de éxito</t>
  </si>
  <si>
    <t>Incluye: tarjetas, autor, cargo/empresa cuando aplique y adaptación responsive.</t>
  </si>
  <si>
    <t>No incluye producción de testimonios ni validación legal de contenido.</t>
  </si>
  <si>
    <t>WEB-013</t>
  </si>
  <si>
    <t>Preguntas frecuentes</t>
  </si>
  <si>
    <t>Incluye: acordeón o listado estructurado, estados y contenido entregado por cliente.</t>
  </si>
  <si>
    <t>No incluye redacción especializada ni base de conocimiento dinámica.</t>
  </si>
  <si>
    <t>Conversión</t>
  </si>
  <si>
    <t>WEB-014</t>
  </si>
  <si>
    <t>Formulario de contacto con envío por correo</t>
  </si>
  <si>
    <t>Formulario</t>
  </si>
  <si>
    <t>Incluye: campos, validaciones, estados, consentimiento básico, endpoint o servicio de envío, plantilla simple de correo y prueba de entrega.</t>
  </si>
  <si>
    <t>No incluye CRM, automatizaciones complejas, adjuntos pesados ni flujos de aprobación.</t>
  </si>
  <si>
    <t>WEB-015</t>
  </si>
  <si>
    <t>Footer y cierre de navegación</t>
  </si>
  <si>
    <t>Incluye: datos de contacto, enlaces legales/útiles, redes cuando existan y estructura responsive.</t>
  </si>
  <si>
    <t>No incluye contenido legal redactado por ISM.</t>
  </si>
  <si>
    <t>WEB-016</t>
  </si>
  <si>
    <t>Página interna estándar</t>
  </si>
  <si>
    <t>Página</t>
  </si>
  <si>
    <t>Incluye: estructura reutilizando navbar/footer, hero interno y bloques estándar de contenido.</t>
  </si>
  <si>
    <t>No incluye lógica transaccional ni diseño completamente único por página.</t>
  </si>
  <si>
    <t>WEB-005; WEB-007</t>
  </si>
  <si>
    <t>Integración ligera</t>
  </si>
  <si>
    <t>WEB-017</t>
  </si>
  <si>
    <t>Integración de WhatsApp</t>
  </si>
  <si>
    <t>Integración</t>
  </si>
  <si>
    <t>Incluye: enlace, mensaje inicial opcional, CTA y pruebas de funcionamiento.</t>
  </si>
  <si>
    <t>No incluye chatbot, API oficial ni automatización de conversaciones.</t>
  </si>
  <si>
    <t>WEB-018</t>
  </si>
  <si>
    <t>Integración de redes sociales</t>
  </si>
  <si>
    <t>Incluye: enlaces/iconos a redes definidas y verificación básica.</t>
  </si>
  <si>
    <t>No incluye gestión de redes, feeds dinámicos ni APIs sociales.</t>
  </si>
  <si>
    <t>WEB-019</t>
  </si>
  <si>
    <t>Integración de mapa o ubicación</t>
  </si>
  <si>
    <t>Incluye: mapa embebido o enlace de ubicación y prueba responsive.</t>
  </si>
  <si>
    <t>No incluye cálculo de rutas, geocodificación ni mapas personalizados.</t>
  </si>
  <si>
    <t>Contenido</t>
  </si>
  <si>
    <t>WEB-021</t>
  </si>
  <si>
    <t>Carga y formato inicial de contenidos</t>
  </si>
  <si>
    <t>Incluye: carga, jerarquía, formato y ajustes menores sobre textos e imágenes entregados por el cliente.</t>
  </si>
  <si>
    <t>No incluye copywriting profesional, traducción ni producción masiva de contenido.</t>
  </si>
  <si>
    <t>Calidad</t>
  </si>
  <si>
    <t>WEB-022</t>
  </si>
  <si>
    <t>Validación responsive y compatibilidad final</t>
  </si>
  <si>
    <t>Incluye: revisión final en móvil, tablet y escritorio; navegación; desbordes; foco; estados básicos y navegadores definidos. El responsive se construye desde el inicio en cada componente.</t>
  </si>
  <si>
    <t>No incluye reconstruir componentes fuera de alcance.</t>
  </si>
  <si>
    <t>WEB-007; WEB-008; WEB-009; WEB-010; WEB-014; WEB-015</t>
  </si>
  <si>
    <t>SEO</t>
  </si>
  <si>
    <t>WEB-023</t>
  </si>
  <si>
    <t>SEO técnico inicial e indexabilidad</t>
  </si>
  <si>
    <t>Incluye: titles, descriptions, canonical, OG/social, sitemap, robots, revisión de indexabilidad y datos estructurados básicos cuando apliquen.</t>
  </si>
  <si>
    <t>No incluye estrategia SEO mensual, link building ni investigación avanzada de palabras clave.</t>
  </si>
  <si>
    <t>Optimización</t>
  </si>
  <si>
    <t>WEB-026</t>
  </si>
  <si>
    <t>Optimización técnica y accesibilidad básica</t>
  </si>
  <si>
    <t>Incluye: compresión/formato de imágenes, lazy loading, revisión de peso, semántica, contraste, foco, labels y navegación básica por teclado.</t>
  </si>
  <si>
    <t>No incluye auditoría WCAG formal ni optimización avanzada de Core Web Vitals.</t>
  </si>
  <si>
    <t>WEB-007:WEB-021</t>
  </si>
  <si>
    <t>Analítica</t>
  </si>
  <si>
    <t>WEB-029</t>
  </si>
  <si>
    <t>Analítica básica</t>
  </si>
  <si>
    <t>Incluye: configuración de herramienta analítica acordada, evento/pageview básico y validación.</t>
  </si>
  <si>
    <t>No incluye dashboards BI ni estrategia de medición avanzada.</t>
  </si>
  <si>
    <t>WEB-030</t>
  </si>
  <si>
    <t>QA funcional y ciclo consolidado de correcciones</t>
  </si>
  <si>
    <t>Incluye: pruebas de navegación y formularios/acciones presentes, revisión de enlaces, un ciclo consolidado de observaciones y correcciones dentro del alcance.</t>
  </si>
  <si>
    <t>No incluye cambios de alcance, nuevas secciones ni rediseño posterior a aprobación.</t>
  </si>
  <si>
    <t>Publicación</t>
  </si>
  <si>
    <t>WEB-033</t>
  </si>
  <si>
    <t>Publicación, dominio, SSL y entrega</t>
  </si>
  <si>
    <t>Incluye: configuración de dominio/DNS disponible, HTTPS/SSL, variables de entorno, despliegue, validación final, accesos y recomendaciones de cierre.</t>
  </si>
  <si>
    <t>No incluye compra de dominio, costos de hosting/proveedores ni migraciones complejas de DNS/correo.</t>
  </si>
  <si>
    <t>APP-001</t>
  </si>
  <si>
    <t>Levantamiento funcional, alcance y flujos principales</t>
  </si>
  <si>
    <t>Incluye: procesos actuales; actores; objetivos; historias/casos principales; criterios de aceptación; mapa de navegación; flujos y estados principales.</t>
  </si>
  <si>
    <t>No incluye documentación regulatoria extensa, BPMN formal completo ni consultoría de procesos independiente.</t>
  </si>
  <si>
    <t>Arquitectura</t>
  </si>
  <si>
    <t>APP-003</t>
  </si>
  <si>
    <t>Modelo de datos y persistencia base</t>
  </si>
  <si>
    <t>Incluye: entidades, relaciones, restricciones, esquema inicial, migraciones base y criterios de integridad.</t>
  </si>
  <si>
    <t>No incluye migración masiva de datos ni modelamiento analítico avanzado.</t>
  </si>
  <si>
    <t>Seguridad</t>
  </si>
  <si>
    <t>APP-004</t>
  </si>
  <si>
    <t>Diseño de roles y permisos</t>
  </si>
  <si>
    <t>Rol</t>
  </si>
  <si>
    <t>Incluye por rol: acciones permitidas, visibilidad, restricciones y criterios de protección.</t>
  </si>
  <si>
    <t>No incluye implementación técnica; se realiza en APP-015.</t>
  </si>
  <si>
    <t>APP-005</t>
  </si>
  <si>
    <t>Arquitectura técnica, proyecto y ambientes</t>
  </si>
  <si>
    <t>Incluye: frontend/backend/datos según alcance, repositorio, estructura del proyecto, variables y ambientes de trabajo.</t>
  </si>
  <si>
    <t>No incluye infraestructura empresarial compleja ni alta disponibilidad.</t>
  </si>
  <si>
    <t>UX/UI</t>
  </si>
  <si>
    <t>APP-007</t>
  </si>
  <si>
    <t>Wireframe de pantalla estándar</t>
  </si>
  <si>
    <t>Pantalla</t>
  </si>
  <si>
    <t>Incluye por pantalla: estructura, campos, acciones, estados y jerarquía necesaria para construir.</t>
  </si>
  <si>
    <t>No incluye prototipo de alta fidelidad por cada pantalla.</t>
  </si>
  <si>
    <t>Frontend</t>
  </si>
  <si>
    <t>APP-009</t>
  </si>
  <si>
    <t>Shell de aplicación y sistema visual</t>
  </si>
  <si>
    <t>Incluye: layout, menú, encabezados, navegación, estilos, componentes base y comportamiento responsive del shell.</t>
  </si>
  <si>
    <t>No incluye las pantallas CRUD específicas de APP-010.</t>
  </si>
  <si>
    <t>APP-005; APP-007</t>
  </si>
  <si>
    <t>APP-010</t>
  </si>
  <si>
    <t>Interfaz CRUD estándar</t>
  </si>
  <si>
    <t>Incluye por pantalla: listado, formulario, validaciones cliente, estados, mensajes y acciones de usuario.</t>
  </si>
  <si>
    <t>No incluye backend/persistencia; se contabiliza en APP-013.</t>
  </si>
  <si>
    <t>APP-003; APP-007</t>
  </si>
  <si>
    <t>APP-011</t>
  </si>
  <si>
    <t>Dashboard con indicadores</t>
  </si>
  <si>
    <t>Dashboard</t>
  </si>
  <si>
    <t>Incluye: KPIs acordados, tarjetas, filtros simples y visualización estándar.</t>
  </si>
  <si>
    <t>No incluye analítica predictiva ni BI avanzado.</t>
  </si>
  <si>
    <t>Backend</t>
  </si>
  <si>
    <t>APP-013</t>
  </si>
  <si>
    <t>Servicio CRUD backend estándar</t>
  </si>
  <si>
    <t>Entidad</t>
  </si>
  <si>
    <t>Incluye por entidad: crear, consultar, actualizar, eliminar cuando corresponda, validaciones de servidor y persistencia.</t>
  </si>
  <si>
    <t>No incluye reglas de negocio complejas; se contabilizan en APP-016.</t>
  </si>
  <si>
    <t>APP-014</t>
  </si>
  <si>
    <t>Autenticación y recuperación de acceso</t>
  </si>
  <si>
    <t>Sistema</t>
  </si>
  <si>
    <t>Incluye: login, logout, recuperación/restablecimiento y estados básicos de sesión.</t>
  </si>
  <si>
    <t>No incluye SSO empresarial, MFA avanzado ni proveedor de identidad externo complejo.</t>
  </si>
  <si>
    <t>APP-003; APP-005</t>
  </si>
  <si>
    <t>APP-015</t>
  </si>
  <si>
    <t>Autorización y protección por rol</t>
  </si>
  <si>
    <t>Incluye por rol: protección de rutas, acciones y consultas según matriz aprobada.</t>
  </si>
  <si>
    <t>No incluye políticas multi-organización complejas fuera del alcance.</t>
  </si>
  <si>
    <t>APP-004; APP-014</t>
  </si>
  <si>
    <t>Funcionalidad</t>
  </si>
  <si>
    <t>APP-016</t>
  </si>
  <si>
    <t>Flujo de negocio estándar</t>
  </si>
  <si>
    <t>Flujo</t>
  </si>
  <si>
    <t>Incluye por flujo: reglas, validaciones, cambios de estado, persistencia y manejo de errores del proceso definido.</t>
  </si>
  <si>
    <t>No incluye integraciones externas complejas; usar INT-01 cuando corresponda.</t>
  </si>
  <si>
    <t>Notificaciones</t>
  </si>
  <si>
    <t>APP-017</t>
  </si>
  <si>
    <t>Notificación operativa por correo</t>
  </si>
  <si>
    <t>Canal</t>
  </si>
  <si>
    <t>Incluye: plantilla simple, envío, variables, manejo básico de error y prueba.</t>
  </si>
  <si>
    <t>No incluye campañas, marketing automation ni proveedor de pago.</t>
  </si>
  <si>
    <t>Reportes</t>
  </si>
  <si>
    <t>APP-018</t>
  </si>
  <si>
    <t>Exportación o reporte estándar</t>
  </si>
  <si>
    <t>Formato</t>
  </si>
  <si>
    <t>Incluye por formato: selección de datos, columnas/campos, formato y descarga en Excel o PDF estándar.</t>
  </si>
  <si>
    <t>No incluye documentos de alta complejidad gráfica o maquetación editorial.</t>
  </si>
  <si>
    <t>Datos</t>
  </si>
  <si>
    <t>APP-023</t>
  </si>
  <si>
    <t>Carga o migración inicial de datos</t>
  </si>
  <si>
    <t>Lote</t>
  </si>
  <si>
    <t>Incluye: mapeo, validación, carga y conciliación de un lote acotado.</t>
  </si>
  <si>
    <t>No incluye limpieza extensa, deduplicación compleja ni ETL de gran volumen.</t>
  </si>
  <si>
    <t>APP-020</t>
  </si>
  <si>
    <t>QA funcional, integración, permisos y UX</t>
  </si>
  <si>
    <t>Incluye: reglas críticas, flujos, datos, permisos presentes, navegación, mensajes, experiencia responsive y casos de error principales.</t>
  </si>
  <si>
    <t>No incluye pruebas de carga avanzadas ni pentesting formal.</t>
  </si>
  <si>
    <t>APP-010; APP-013; APP-015; APP-016</t>
  </si>
  <si>
    <t>Despliegue</t>
  </si>
  <si>
    <t>APP-024</t>
  </si>
  <si>
    <t>Configuración y despliegue de producción</t>
  </si>
  <si>
    <t>Entorno</t>
  </si>
  <si>
    <t>Incluye: variables, build, base de datos, migraciones acordadas, despliegue y validación técnica de producción.</t>
  </si>
  <si>
    <t>No incluye costos de infraestructura ni arquitectura HA.</t>
  </si>
  <si>
    <t>Cierre</t>
  </si>
  <si>
    <t>APP-025</t>
  </si>
  <si>
    <t>Capacitación, documentación y ciclo UAT</t>
  </si>
  <si>
    <t>Incluye: capacitación básica de administrador, guía funcional/técnica mínima, un ciclo UAT y correcciones dentro del alcance.</t>
  </si>
  <si>
    <t>No incluye capacitación masiva, manual extenso o nuevos requerimientos.</t>
  </si>
  <si>
    <t>INT-001</t>
  </si>
  <si>
    <t>Levantamiento y diseño de integración</t>
  </si>
  <si>
    <t>Incluye: proceso actual; sistemas involucrados; revisión de API/archivos/webhooks disponibles; mapeo de datos; transformaciones; estrategia de errores y reintentos.</t>
  </si>
  <si>
    <t>No incluye desarrollo del conector ni automatización.</t>
  </si>
  <si>
    <t>INT-005</t>
  </si>
  <si>
    <t>Credenciales, secretos y configuración segura</t>
  </si>
  <si>
    <t>Incluye: variables, secretos, permisos mínimos y prueba de conectividad.</t>
  </si>
  <si>
    <t>No incluye alta de cuentas o costos de proveedores.</t>
  </si>
  <si>
    <t>Desarrollo</t>
  </si>
  <si>
    <t>INT-006</t>
  </si>
  <si>
    <t>Conector API estándar</t>
  </si>
  <si>
    <t>Incluye: autenticación, consulta/envío, validación de respuesta, manejo básico de errores y adaptación a contrato API conocido.</t>
  </si>
  <si>
    <t>No incluye API sin documentación, protocolos no estándar o integración bidireccional compleja adicional.</t>
  </si>
  <si>
    <t>INT-001; INT-005</t>
  </si>
  <si>
    <t>INT-007</t>
  </si>
  <si>
    <t>Intercambio por archivo</t>
  </si>
  <si>
    <t>Incluye: CSV/XLSX/JSON, validación de estructura, importación o exportación y manejo de errores básicos.</t>
  </si>
  <si>
    <t>No incluye ETL masivo ni limpieza extensa de datos.</t>
  </si>
  <si>
    <t>INT-008</t>
  </si>
  <si>
    <t>Webhook estándar</t>
  </si>
  <si>
    <t>Evento</t>
  </si>
  <si>
    <t>Incluye: recepción, validación, idempotencia básica, respuesta y prueba.</t>
  </si>
  <si>
    <t>No incluye alto volumen, colas distribuidas o firma propietaria compleja.</t>
  </si>
  <si>
    <t>Automatización</t>
  </si>
  <si>
    <t>INT-009</t>
  </si>
  <si>
    <t>Automatización programada</t>
  </si>
  <si>
    <t>Job</t>
  </si>
  <si>
    <t>Incluye: frecuencia, ejecución, validación básica y registro del resultado.</t>
  </si>
  <si>
    <t>No incluye orquestación de múltiples jobs dependientes.</t>
  </si>
  <si>
    <t>INT-010</t>
  </si>
  <si>
    <t>Regla o transformación de negocio</t>
  </si>
  <si>
    <t>Regla</t>
  </si>
  <si>
    <t>Incluye por regla: condición, transformación, validación y manejo de caso esperado/error.</t>
  </si>
  <si>
    <t>No incluye rediseño del proceso; se define en INT-001.</t>
  </si>
  <si>
    <t>Observabilidad</t>
  </si>
  <si>
    <t>INT-011</t>
  </si>
  <si>
    <t>Registro de ejecuciones y alertas básicas</t>
  </si>
  <si>
    <t>Incluye: fecha, estado, resultado, error, identificador y alerta básica por canal acordado cuando corresponda.</t>
  </si>
  <si>
    <t>No incluye plataforma completa de observabilidad.</t>
  </si>
  <si>
    <t>INT-006 o INT-009</t>
  </si>
  <si>
    <t>INT-013</t>
  </si>
  <si>
    <t>QA de integración, datos, límites y seguridad</t>
  </si>
  <si>
    <t>Incluye: casos de éxito/error/duplicado/dato incompleto; volumen razonable; permisos; exposición de datos y mínimo privilegio.</t>
  </si>
  <si>
    <t>No incluye pruebas de estrés empresariales ni pentesting formal.</t>
  </si>
  <si>
    <t>INT-006; INT-009; INT-010</t>
  </si>
  <si>
    <t>INT-016</t>
  </si>
  <si>
    <t>Producción, documentación y runbook</t>
  </si>
  <si>
    <t>Incluye: variables/secretos de producción, activación, validación, procedimiento operativo, reintentos y contactos.</t>
  </si>
  <si>
    <t>No incluye soporte mensual posterior.</t>
  </si>
  <si>
    <t>Recepción</t>
  </si>
  <si>
    <t>MNT1-001</t>
  </si>
  <si>
    <t>Registro del incidente y evidencia</t>
  </si>
  <si>
    <t>Incidente</t>
  </si>
  <si>
    <t>Descripción, pasos, evidencia y entorno</t>
  </si>
  <si>
    <t>Triage</t>
  </si>
  <si>
    <t>MNT1-002</t>
  </si>
  <si>
    <t>Clasificación de severidad e impacto</t>
  </si>
  <si>
    <t>Impacto, urgencia, alcance y usuarios afectados</t>
  </si>
  <si>
    <t>Diagnóstico</t>
  </si>
  <si>
    <t>MNT1-003</t>
  </si>
  <si>
    <t>Reproducción controlada del error</t>
  </si>
  <si>
    <t>Pasos, datos y condiciones de reproducción</t>
  </si>
  <si>
    <t>MNT1-004</t>
  </si>
  <si>
    <t>Análisis de logs, datos y código relacionado</t>
  </si>
  <si>
    <t>Evidencia técnica y componentes involucrados</t>
  </si>
  <si>
    <t>MNT1-005</t>
  </si>
  <si>
    <t>Análisis de causa raíz</t>
  </si>
  <si>
    <t>Origen y condiciones que provocan el fallo</t>
  </si>
  <si>
    <t>MNT1-006</t>
  </si>
  <si>
    <t>Definición de corrección y plan de reversa</t>
  </si>
  <si>
    <t>Cambio</t>
  </si>
  <si>
    <t>Corrección, riesgo, pruebas y reversa</t>
  </si>
  <si>
    <t>Corrección</t>
  </si>
  <si>
    <t>MNT1-007</t>
  </si>
  <si>
    <t>Corrección de baja complejidad</t>
  </si>
  <si>
    <t>Ajuste localizado sin cambio de arquitectura</t>
  </si>
  <si>
    <t>Mutuamente excluyente con MNT1-008 para el mismo incidente.</t>
  </si>
  <si>
    <t>MNT1-008</t>
  </si>
  <si>
    <t>Corrección de complejidad media</t>
  </si>
  <si>
    <t>Cambios en varios componentes o reglas</t>
  </si>
  <si>
    <t>Mutuamente excluyente con MNT1-007 para el mismo incidente.</t>
  </si>
  <si>
    <t>MNT1-009</t>
  </si>
  <si>
    <t>Corrección o regularización de datos</t>
  </si>
  <si>
    <t>Script, respaldo y validación</t>
  </si>
  <si>
    <t>Recuperación forense</t>
  </si>
  <si>
    <t>MNT1-010</t>
  </si>
  <si>
    <t>Prueba del caso corregido</t>
  </si>
  <si>
    <t>Caso</t>
  </si>
  <si>
    <t>Prueba directa del defecto</t>
  </si>
  <si>
    <t>MNT1-011</t>
  </si>
  <si>
    <t>Pruebas de regresión relacionadas</t>
  </si>
  <si>
    <t>Flujos cercanos y funciones relacionadas</t>
  </si>
  <si>
    <t>MNT1-012</t>
  </si>
  <si>
    <t>Preparación y despliegue de corrección</t>
  </si>
  <si>
    <t>Build, respaldo, despliegue y validación</t>
  </si>
  <si>
    <t>Seguimiento</t>
  </si>
  <si>
    <t>MNT1-013</t>
  </si>
  <si>
    <t>Monitoreo posterior al cambio</t>
  </si>
  <si>
    <t>Periodo</t>
  </si>
  <si>
    <t>Revisión de logs y comportamiento</t>
  </si>
  <si>
    <t>MNT1-014</t>
  </si>
  <si>
    <t>Documentación de causa y solución</t>
  </si>
  <si>
    <t>Causa, solución, pruebas y recomendaciones</t>
  </si>
  <si>
    <t>Descubrimiento</t>
  </si>
  <si>
    <t>MNT2-001</t>
  </si>
  <si>
    <t>Levantamiento de necesidad y objetivo</t>
  </si>
  <si>
    <t>Usuario, problema, resultado y contexto</t>
  </si>
  <si>
    <t>Análisis</t>
  </si>
  <si>
    <t>MNT2-002</t>
  </si>
  <si>
    <t>Análisis de impacto en sistema existente</t>
  </si>
  <si>
    <t>Código, datos, roles, integraciones y riesgos</t>
  </si>
  <si>
    <t>Alcance</t>
  </si>
  <si>
    <t>MNT2-003</t>
  </si>
  <si>
    <t>Historia de usuario y criterios de aceptación</t>
  </si>
  <si>
    <t>Casos, reglas y definición de terminado</t>
  </si>
  <si>
    <t>Diseño</t>
  </si>
  <si>
    <t>MNT2-004</t>
  </si>
  <si>
    <t>Diseño de flujo y estados</t>
  </si>
  <si>
    <t>Interacciones, transiciones y excepciones</t>
  </si>
  <si>
    <t>MNT2-005</t>
  </si>
  <si>
    <t>Diseño de interfaz o wireframe</t>
  </si>
  <si>
    <t>Componentes, campos y acciones</t>
  </si>
  <si>
    <t>MNT2-006</t>
  </si>
  <si>
    <t>Cambio de modelo de datos</t>
  </si>
  <si>
    <t>Tabla, columna, relación y restricciones</t>
  </si>
  <si>
    <t>MNT2-007</t>
  </si>
  <si>
    <t>Implementación de regla de negocio</t>
  </si>
  <si>
    <t>Validaciones y comportamiento esperado</t>
  </si>
  <si>
    <t>MNT2-008</t>
  </si>
  <si>
    <t>Servicio o endpoint asociado</t>
  </si>
  <si>
    <t>Servicio</t>
  </si>
  <si>
    <t>Consulta, persistencia y errores</t>
  </si>
  <si>
    <t>MNT2-009</t>
  </si>
  <si>
    <t>Pantalla o componente de funcionalidad</t>
  </si>
  <si>
    <t>Estados, validaciones y responsive</t>
  </si>
  <si>
    <t>MNT2-010</t>
  </si>
  <si>
    <t>Ajuste de permisos y acceso</t>
  </si>
  <si>
    <t>Visibilidad y acciones por rol</t>
  </si>
  <si>
    <t>MNT2-011</t>
  </si>
  <si>
    <t>Notificación o exportación asociada</t>
  </si>
  <si>
    <t>Correo, Excel, PDF u otro canal</t>
  </si>
  <si>
    <t>MNT2-012</t>
  </si>
  <si>
    <t>Pruebas unitarias y de reglas</t>
  </si>
  <si>
    <t>Casos normales, errores y límites</t>
  </si>
  <si>
    <t>MNT2-013</t>
  </si>
  <si>
    <t>Pruebas de integración y regresión</t>
  </si>
  <si>
    <t>Flujo nuevo y funciones existentes relacionadas</t>
  </si>
  <si>
    <t>MNT2-014</t>
  </si>
  <si>
    <t>Migración y despliegue controlado</t>
  </si>
  <si>
    <t>Respaldo, migración, build y validación</t>
  </si>
  <si>
    <t>MNT2-015</t>
  </si>
  <si>
    <t>Documentación y capacitación breve</t>
  </si>
  <si>
    <t>Cambios, uso y consideraciones</t>
  </si>
  <si>
    <t>Auditoría</t>
  </si>
  <si>
    <t>MNT3-001</t>
  </si>
  <si>
    <t>Inventario técnico de componentes y versiones</t>
  </si>
  <si>
    <t>Frameworks, dependencias, servicios y despliegues</t>
  </si>
  <si>
    <t>MNT3-002</t>
  </si>
  <si>
    <t>Análisis de deuda técnica y riesgos</t>
  </si>
  <si>
    <t>Complejidad, obsolescencia, seguridad y mantenibilidad</t>
  </si>
  <si>
    <t>MNT3-003</t>
  </si>
  <si>
    <t>Definición de estrategia de modernización</t>
  </si>
  <si>
    <t>Fases, prioridades, dependencias y reversa</t>
  </si>
  <si>
    <t>MNT3-004</t>
  </si>
  <si>
    <t>Creación de línea base de pruebas</t>
  </si>
  <si>
    <t>Comportamiento actual protegido antes de cambios</t>
  </si>
  <si>
    <t>MNT3-005</t>
  </si>
  <si>
    <t>Actualización de dependencia estándar</t>
  </si>
  <si>
    <t>Dependencia</t>
  </si>
  <si>
    <t>Actualización rutinaria de versión compatible, ajustes menores y verificación básica por dependencia.</t>
  </si>
  <si>
    <t>La remediación adicional de vulnerabilidades complejas se contabiliza en MNT3-009.</t>
  </si>
  <si>
    <t>MNT3-006</t>
  </si>
  <si>
    <t>Refactorización de módulo</t>
  </si>
  <si>
    <t>Módulo</t>
  </si>
  <si>
    <t>Separación de responsabilidades y legibilidad</t>
  </si>
  <si>
    <t>MNT3-007</t>
  </si>
  <si>
    <t>Extracción de componente reutilizable</t>
  </si>
  <si>
    <t>Interfaces, pruebas y documentación</t>
  </si>
  <si>
    <t>MNT3-008</t>
  </si>
  <si>
    <t>Migración o ajuste de esquema de datos</t>
  </si>
  <si>
    <t>Migración</t>
  </si>
  <si>
    <t>Transformación, respaldo y conciliación</t>
  </si>
  <si>
    <t>MNT3-009</t>
  </si>
  <si>
    <t>Corrección de dependencias vulnerables</t>
  </si>
  <si>
    <t>Hallazgo</t>
  </si>
  <si>
    <t>Análisis y remediación adicional cuando la actualización estándar no resuelve el hallazgo.</t>
  </si>
  <si>
    <t>No sumar si el hallazgo queda resuelto únicamente con MNT3-005.</t>
  </si>
  <si>
    <t>MNT3-010</t>
  </si>
  <si>
    <t>Pruebas de regresión ampliadas</t>
  </si>
  <si>
    <t>Flujos críticos y casos de error</t>
  </si>
  <si>
    <t>Rendimiento</t>
  </si>
  <si>
    <t>MNT3-011</t>
  </si>
  <si>
    <t>Comparación de rendimiento antes y después</t>
  </si>
  <si>
    <t>Métricas acordadas y resultados</t>
  </si>
  <si>
    <t>MNT3-012</t>
  </si>
  <si>
    <t>Plan de migración y reversa</t>
  </si>
  <si>
    <t>Pasos, responsables, respaldo y retorno</t>
  </si>
  <si>
    <t>MNT3-013</t>
  </si>
  <si>
    <t>Despliegue de modernización</t>
  </si>
  <si>
    <t>Ejecución, validación y seguimiento</t>
  </si>
  <si>
    <t>MNT3-014</t>
  </si>
  <si>
    <t>Actualización de documentación técnica</t>
  </si>
  <si>
    <t>Arquitectura, dependencias y operación</t>
  </si>
  <si>
    <t>Medición</t>
  </si>
  <si>
    <t>MNT4-001</t>
  </si>
  <si>
    <t>Definición de indicadores y objetivos</t>
  </si>
  <si>
    <t>Tiempos, volumen y experiencia esperada</t>
  </si>
  <si>
    <t>MNT4-002</t>
  </si>
  <si>
    <t>Captura de línea base previa a la optimización</t>
  </si>
  <si>
    <t>Medición inicial reproducible antes de realizar cambios.</t>
  </si>
  <si>
    <t>La comparación final se contabiliza en MNT4-010.</t>
  </si>
  <si>
    <t>MNT4-003</t>
  </si>
  <si>
    <t>Perfilamiento de frontend</t>
  </si>
  <si>
    <t>Carga, renderizado, recursos y red</t>
  </si>
  <si>
    <t>MNT4-004</t>
  </si>
  <si>
    <t>Perfilamiento de backend y consultas</t>
  </si>
  <si>
    <t>Tiempos, consultas, bloqueos y recursos</t>
  </si>
  <si>
    <t>MNT4-005</t>
  </si>
  <si>
    <t>Optimización de recursos frontend</t>
  </si>
  <si>
    <t>Imágenes, carga diferida y empaquetado</t>
  </si>
  <si>
    <t>MNT4-006</t>
  </si>
  <si>
    <t>Optimización de consulta o endpoint</t>
  </si>
  <si>
    <t>Consulta</t>
  </si>
  <si>
    <t>Índices, filtros, caché o reescritura</t>
  </si>
  <si>
    <t>MNT4-007</t>
  </si>
  <si>
    <t>Configuración de caché</t>
  </si>
  <si>
    <t>Capa</t>
  </si>
  <si>
    <t>Política, expiración e invalidación</t>
  </si>
  <si>
    <t>MNT4-008</t>
  </si>
  <si>
    <t>Paginación y reducción de volumen</t>
  </si>
  <si>
    <t>Carga incremental y límites</t>
  </si>
  <si>
    <t>Validación</t>
  </si>
  <si>
    <t>MNT4-009</t>
  </si>
  <si>
    <t>Prueba de carga controlada</t>
  </si>
  <si>
    <t>Prueba</t>
  </si>
  <si>
    <t>Volumen y concurrencia acordados</t>
  </si>
  <si>
    <t>Pruebas de estrés masivas</t>
  </si>
  <si>
    <t>MNT4-010</t>
  </si>
  <si>
    <t>Medición final y comparación antes/después</t>
  </si>
  <si>
    <t>Repetición de la medición inicial y comparación documentada de resultados.</t>
  </si>
  <si>
    <t>No vuelve a incluir la captura inicial de MNT4-002.</t>
  </si>
  <si>
    <t>MNT4-011</t>
  </si>
  <si>
    <t>Despliegue y monitoreo posterior</t>
  </si>
  <si>
    <t>Despliegue, métricas y seguimiento</t>
  </si>
  <si>
    <t>MNT4-012</t>
  </si>
  <si>
    <t>Documentación de optimizaciones</t>
  </si>
  <si>
    <t>Cambios, resultados y próximos pasos</t>
  </si>
  <si>
    <t>MON1-001</t>
  </si>
  <si>
    <t>Inventario de servicios y endpoints</t>
  </si>
  <si>
    <t>URLs, APIs, jobs y dependencias</t>
  </si>
  <si>
    <t>MON1-002</t>
  </si>
  <si>
    <t>Definición de indicadores de disponibilidad</t>
  </si>
  <si>
    <t>Estado, latencia, código y contenido esperado</t>
  </si>
  <si>
    <t>Configuración</t>
  </si>
  <si>
    <t>MON1-003</t>
  </si>
  <si>
    <t>Configuración de chequeo HTTP o endpoint</t>
  </si>
  <si>
    <t>Frecuencia, timeout y criterio de éxito</t>
  </si>
  <si>
    <t>MON1-004</t>
  </si>
  <si>
    <t>Configuración de alertas</t>
  </si>
  <si>
    <t>Umbrales, destinatarios y escalamiento</t>
  </si>
  <si>
    <t>MON1-005</t>
  </si>
  <si>
    <t>Ventanas de mantenimiento</t>
  </si>
  <si>
    <t>Supresión de alertas planificadas</t>
  </si>
  <si>
    <t>Visualización</t>
  </si>
  <si>
    <t>MON1-006</t>
  </si>
  <si>
    <t>Dashboard de disponibilidad</t>
  </si>
  <si>
    <t>Estado, histórico y tendencia</t>
  </si>
  <si>
    <t>MON1-007</t>
  </si>
  <si>
    <t>Reporte periódico de disponibilidad</t>
  </si>
  <si>
    <t>Reporte</t>
  </si>
  <si>
    <t>Disponibilidad, eventos y observaciones</t>
  </si>
  <si>
    <t>MON1-008</t>
  </si>
  <si>
    <t>Prueba de caída y recuperación</t>
  </si>
  <si>
    <t>Detección, notificación y recuperación</t>
  </si>
  <si>
    <t>Operación</t>
  </si>
  <si>
    <t>MON1-009</t>
  </si>
  <si>
    <t>Runbook de respuesta a indisponibilidad</t>
  </si>
  <si>
    <t>Documento</t>
  </si>
  <si>
    <t>Validación, escalamiento y comunicación</t>
  </si>
  <si>
    <t>MON1-010</t>
  </si>
  <si>
    <t>Puesta en marcha y estabilización</t>
  </si>
  <si>
    <t>Activación, observación y ajustes</t>
  </si>
  <si>
    <t>MON2-001</t>
  </si>
  <si>
    <t>Inventario de fuentes de logs</t>
  </si>
  <si>
    <t>Fuente</t>
  </si>
  <si>
    <t>Aplicación, servidor, base de datos y servicios</t>
  </si>
  <si>
    <t>MON2-002</t>
  </si>
  <si>
    <t>Definición de estructura y campos comunes</t>
  </si>
  <si>
    <t>Nivel, fecha, usuario, correlación y contexto</t>
  </si>
  <si>
    <t>Implementación</t>
  </si>
  <si>
    <t>MON2-003</t>
  </si>
  <si>
    <t>Configuración de envío de logs</t>
  </si>
  <si>
    <t>Agente, librería o integración</t>
  </si>
  <si>
    <t>MON2-004</t>
  </si>
  <si>
    <t>Normalización y parseo</t>
  </si>
  <si>
    <t>Campos, formatos y errores</t>
  </si>
  <si>
    <t>Trazabilidad</t>
  </si>
  <si>
    <t>MON2-005</t>
  </si>
  <si>
    <t>Identificador de correlación</t>
  </si>
  <si>
    <t>Seguimiento entre componentes</t>
  </si>
  <si>
    <t>Retención</t>
  </si>
  <si>
    <t>MON2-006</t>
  </si>
  <si>
    <t>Política de retención y rotación</t>
  </si>
  <si>
    <t>Periodo, volumen y eliminación</t>
  </si>
  <si>
    <t>MON2-007</t>
  </si>
  <si>
    <t>Dashboard de errores y eventos</t>
  </si>
  <si>
    <t>Errores, niveles y tendencias</t>
  </si>
  <si>
    <t>Alertas</t>
  </si>
  <si>
    <t>MON2-008</t>
  </si>
  <si>
    <t>Alerta por patrón crítico</t>
  </si>
  <si>
    <t>Patrones, frecuencia y severidad</t>
  </si>
  <si>
    <t>MON2-009</t>
  </si>
  <si>
    <t>Pruebas de generación y búsqueda</t>
  </si>
  <si>
    <t>Generación, recepción y consulta</t>
  </si>
  <si>
    <t>MON2-010</t>
  </si>
  <si>
    <t>Runbook de consulta y escalamiento</t>
  </si>
  <si>
    <t>Búsquedas, filtros y escalamiento</t>
  </si>
  <si>
    <t>MON3-001</t>
  </si>
  <si>
    <t>Definición de métricas técnicas</t>
  </si>
  <si>
    <t>Métrica</t>
  </si>
  <si>
    <t>CPU, memoria, latencia, errores y volumen</t>
  </si>
  <si>
    <t>Instrumentación</t>
  </si>
  <si>
    <t>MON3-002</t>
  </si>
  <si>
    <t>Instrumentación de métrica de aplicación</t>
  </si>
  <si>
    <t>Código, etiquetas y frecuencia</t>
  </si>
  <si>
    <t>Infraestructura</t>
  </si>
  <si>
    <t>MON3-003</t>
  </si>
  <si>
    <t>Recolección de métricas de infraestructura</t>
  </si>
  <si>
    <t>Host</t>
  </si>
  <si>
    <t>Agente, permisos y conectividad</t>
  </si>
  <si>
    <t>MON3-004</t>
  </si>
  <si>
    <t>Dashboard operacional</t>
  </si>
  <si>
    <t>Salud, capacidad y rendimiento</t>
  </si>
  <si>
    <t>MON3-005</t>
  </si>
  <si>
    <t>Umbral y alerta de rendimiento</t>
  </si>
  <si>
    <t>Umbral, duración y severidad</t>
  </si>
  <si>
    <t>Capacidad</t>
  </si>
  <si>
    <t>MON3-006</t>
  </si>
  <si>
    <t>Análisis de tendencia y capacidad</t>
  </si>
  <si>
    <t>Consumo, tendencia y proyección</t>
  </si>
  <si>
    <t>Experiencia</t>
  </si>
  <si>
    <t>MON3-007</t>
  </si>
  <si>
    <t>Métrica de experiencia o transacción</t>
  </si>
  <si>
    <t>Tiempo y resultado de transacción</t>
  </si>
  <si>
    <t>MON3-008</t>
  </si>
  <si>
    <t>Prueba de umbrales y alertas</t>
  </si>
  <si>
    <t>Generación y recepción</t>
  </si>
  <si>
    <t>MON3-009</t>
  </si>
  <si>
    <t>Reporte periódico de rendimiento</t>
  </si>
  <si>
    <t>Indicadores, eventos y recomendaciones</t>
  </si>
  <si>
    <t>MON3-010</t>
  </si>
  <si>
    <t>Documentación y transferencia</t>
  </si>
  <si>
    <t>Dashboards, alertas y mantenimiento</t>
  </si>
  <si>
    <t>BCP1-001</t>
  </si>
  <si>
    <t>Inventario de activos y datos críticos</t>
  </si>
  <si>
    <t>Activo</t>
  </si>
  <si>
    <t>Sistemas, datos, propietarios y criticidad</t>
  </si>
  <si>
    <t>BCP1-002</t>
  </si>
  <si>
    <t>Confirmación de RPO y RTO operativo para respaldos</t>
  </si>
  <si>
    <t>Validación básica de objetivos necesarios para definir frecuencia y restauración del respaldo.</t>
  </si>
  <si>
    <t>Si se incluye BCP-02, reutilizar la definición formal de BCP2-003 y no duplicar este esfuerzo.</t>
  </si>
  <si>
    <t>BCP1-003</t>
  </si>
  <si>
    <t>Diseño de política de respaldo</t>
  </si>
  <si>
    <t>Frecuencia, retención, cifrado y ubicación</t>
  </si>
  <si>
    <t>BCP1-004</t>
  </si>
  <si>
    <t>Configuración de job de respaldo</t>
  </si>
  <si>
    <t>Origen, destino, horario y retención</t>
  </si>
  <si>
    <t>BCP1-005</t>
  </si>
  <si>
    <t>Configuración de cifrado y acceso</t>
  </si>
  <si>
    <t>Claves, permisos y acceso restringido</t>
  </si>
  <si>
    <t>BCP1-006</t>
  </si>
  <si>
    <t>Copia externa o segunda ubicación</t>
  </si>
  <si>
    <t>Destino</t>
  </si>
  <si>
    <t>Transferencia, validación y retención</t>
  </si>
  <si>
    <t>BCP1-007</t>
  </si>
  <si>
    <t>Prueba de respaldo completo</t>
  </si>
  <si>
    <t>Ejecución, duración y resultado</t>
  </si>
  <si>
    <t>Restauración</t>
  </si>
  <si>
    <t>BCP1-008</t>
  </si>
  <si>
    <t>Prueba de restauración</t>
  </si>
  <si>
    <t>Recuperación y validación de integridad</t>
  </si>
  <si>
    <t>BCP1-009</t>
  </si>
  <si>
    <t>Configuración de alerta de fallo</t>
  </si>
  <si>
    <t>Fallo, retraso o ausencia de respaldo</t>
  </si>
  <si>
    <t>BCP1-010</t>
  </si>
  <si>
    <t>Runbook de respaldo y restauración</t>
  </si>
  <si>
    <t>Procedimiento operativo del job, validación, alertas y restauración del respaldo.</t>
  </si>
  <si>
    <t>No reemplaza el procedimiento integral de recuperación ante desastres de BCP2-005.</t>
  </si>
  <si>
    <t>BCP2-001</t>
  </si>
  <si>
    <t>Análisis de impacto del negocio</t>
  </si>
  <si>
    <t>Proceso</t>
  </si>
  <si>
    <t>Criticidad, dependencia e impacto</t>
  </si>
  <si>
    <t>BCP2-002</t>
  </si>
  <si>
    <t>Inventario de dependencias críticas</t>
  </si>
  <si>
    <t>Infraestructura, datos, terceros y personas</t>
  </si>
  <si>
    <t>Objetivos</t>
  </si>
  <si>
    <t>BCP2-003</t>
  </si>
  <si>
    <t>Definición formal de RPO y RTO por servicio</t>
  </si>
  <si>
    <t>Objetivos aprobados por servicio crítico, alineados con impacto, dependencias y estrategia de recuperación.</t>
  </si>
  <si>
    <t>Sustituye la definición básica de BCP1-002 cuando ambos servicios forman parte de la misma propuesta.</t>
  </si>
  <si>
    <t>Estrategia</t>
  </si>
  <si>
    <t>BCP2-004</t>
  </si>
  <si>
    <t>Diseño de estrategia de recuperación</t>
  </si>
  <si>
    <t>Sitio, restauración, prioridades y secuencia</t>
  </si>
  <si>
    <t>Procedimientos</t>
  </si>
  <si>
    <t>BCP2-005</t>
  </si>
  <si>
    <t>Creación de procedimiento de recuperación</t>
  </si>
  <si>
    <t>Secuencia integral para recuperar servicios, dependencias, datos y responsables después de un desastre.</t>
  </si>
  <si>
    <t>No duplica el procedimiento operativo del job de respaldo documentado en BCP1-010.</t>
  </si>
  <si>
    <t>Comunicación</t>
  </si>
  <si>
    <t>BCP2-006</t>
  </si>
  <si>
    <t>Plan de comunicación y escalamiento</t>
  </si>
  <si>
    <t>Contactos, severidad y mensajes</t>
  </si>
  <si>
    <t>Pruebas</t>
  </si>
  <si>
    <t>BCP2-007</t>
  </si>
  <si>
    <t>Diseño de escenario de simulación</t>
  </si>
  <si>
    <t>Escenario</t>
  </si>
  <si>
    <t>Alcance, éxito y riesgos</t>
  </si>
  <si>
    <t>BCP2-008</t>
  </si>
  <si>
    <t>Ejecución de simulación</t>
  </si>
  <si>
    <t>Ejercicio</t>
  </si>
  <si>
    <t>Tiempos, decisiones y evidencias</t>
  </si>
  <si>
    <t>Mejora</t>
  </si>
  <si>
    <t>BCP2-009</t>
  </si>
  <si>
    <t>Informe de brechas y plan de mejora</t>
  </si>
  <si>
    <t>Hallazgos, responsables y fechas</t>
  </si>
  <si>
    <t>BCP2-010</t>
  </si>
  <si>
    <t>Calendario de pruebas y revisión</t>
  </si>
  <si>
    <t>Periodicidad y responsables</t>
  </si>
  <si>
    <t>BCP3-001</t>
  </si>
  <si>
    <t>Inventario y clasificación de información</t>
  </si>
  <si>
    <t>Tipo, criticidad y propietario</t>
  </si>
  <si>
    <t>Requisitos</t>
  </si>
  <si>
    <t>BCP3-002</t>
  </si>
  <si>
    <t>Levantamiento de obligaciones de retención</t>
  </si>
  <si>
    <t>Categoría</t>
  </si>
  <si>
    <t>Necesidades contractuales y operativas</t>
  </si>
  <si>
    <t>BCP3-003</t>
  </si>
  <si>
    <t>Diseño de matriz de retención</t>
  </si>
  <si>
    <t>Periodo, evento inicial y disposición</t>
  </si>
  <si>
    <t>BCP3-004</t>
  </si>
  <si>
    <t>Configuración de política de retención</t>
  </si>
  <si>
    <t>Archivado, conservación y eliminación</t>
  </si>
  <si>
    <t>BCP3-005</t>
  </si>
  <si>
    <t>Configuración de almacenamiento de archivo</t>
  </si>
  <si>
    <t>Ubicación, acceso y costos</t>
  </si>
  <si>
    <t>Control</t>
  </si>
  <si>
    <t>BCP3-006</t>
  </si>
  <si>
    <t>Revisión de excepciones y bloqueos</t>
  </si>
  <si>
    <t>Litigio, auditoría o necesidad especial</t>
  </si>
  <si>
    <t>BCP3-007</t>
  </si>
  <si>
    <t>Prueba de aplicación de política</t>
  </si>
  <si>
    <t>Conservación, archivo y eliminación</t>
  </si>
  <si>
    <t>Gobierno</t>
  </si>
  <si>
    <t>BCP3-008</t>
  </si>
  <si>
    <t>Definición de responsables y revisión</t>
  </si>
  <si>
    <t>Propietario, aprobador y periodicidad</t>
  </si>
  <si>
    <t>BCP3-009</t>
  </si>
  <si>
    <t>Documentación y entrega</t>
  </si>
  <si>
    <t>Matriz, reglas y operación</t>
  </si>
  <si>
    <t>SEC1-001</t>
  </si>
  <si>
    <t>Inventario de componentes, versiones y servicios</t>
  </si>
  <si>
    <t>Sistemas, aplicaciones, bases y servicios</t>
  </si>
  <si>
    <t>SEC1-002</t>
  </si>
  <si>
    <t>Levantamiento de línea base de configuración</t>
  </si>
  <si>
    <t>Configuraciones, puertos, cuentas y políticas</t>
  </si>
  <si>
    <t>Accesos</t>
  </si>
  <si>
    <t>SEC1-003</t>
  </si>
  <si>
    <t>Revisión de cuentas y privilegios</t>
  </si>
  <si>
    <t>Cuenta</t>
  </si>
  <si>
    <t>Cuentas activas, privilegios y propietarios</t>
  </si>
  <si>
    <t>SEC1-004</t>
  </si>
  <si>
    <t>Deshabilitación o corrección de cuentas inseguras</t>
  </si>
  <si>
    <t>Cuentas por defecto, huérfanas o excesivas</t>
  </si>
  <si>
    <t>SEC1-005</t>
  </si>
  <si>
    <t>Aplicación de hardening de sistema operativo</t>
  </si>
  <si>
    <t>Servicios, políticas, permisos y auditoría</t>
  </si>
  <si>
    <t>SEC1-006</t>
  </si>
  <si>
    <t>Aplicación de hardening de aplicación</t>
  </si>
  <si>
    <t>Aplicación</t>
  </si>
  <si>
    <t>Cabeceras, configuración, secretos y errores</t>
  </si>
  <si>
    <t>SEC1-007</t>
  </si>
  <si>
    <t>Aplicación de hardening de base de datos</t>
  </si>
  <si>
    <t>Base de datos</t>
  </si>
  <si>
    <t>Usuarios, red, cifrado y auditoría</t>
  </si>
  <si>
    <t>Red</t>
  </si>
  <si>
    <t>SEC1-008</t>
  </si>
  <si>
    <t>Cierre de puertos y servicios no requeridos</t>
  </si>
  <si>
    <t>Puertos, protocolos y servicios</t>
  </si>
  <si>
    <t>Criptografía</t>
  </si>
  <si>
    <t>SEC1-009</t>
  </si>
  <si>
    <t>Configuración de cifrado y protocolos seguros</t>
  </si>
  <si>
    <t>TLS, algoritmos y configuración</t>
  </si>
  <si>
    <t>SEC1-010</t>
  </si>
  <si>
    <t>Configuración de logs de seguridad</t>
  </si>
  <si>
    <t>Accesos, cambios y eventos críticos</t>
  </si>
  <si>
    <t>SEC1-011</t>
  </si>
  <si>
    <t>Revisión posterior contra línea base</t>
  </si>
  <si>
    <t>Comparación y evidencias</t>
  </si>
  <si>
    <t>SEC1-012</t>
  </si>
  <si>
    <t>Pruebas de acceso y operación</t>
  </si>
  <si>
    <t>Operación posterior al hardening</t>
  </si>
  <si>
    <t>SEC1-013</t>
  </si>
  <si>
    <t>Informe de cambios y riesgos pendientes</t>
  </si>
  <si>
    <t>Cambios, excepciones y recomendaciones</t>
  </si>
  <si>
    <t>SEC2-001</t>
  </si>
  <si>
    <t>Inventario de activos y alcance de revisión</t>
  </si>
  <si>
    <t>Activos, propietarios y criticidad</t>
  </si>
  <si>
    <t>SEC2-002</t>
  </si>
  <si>
    <t>Configuración de credenciales y ventanas</t>
  </si>
  <si>
    <t>Credenciales, horarios y respaldo</t>
  </si>
  <si>
    <t>Detección</t>
  </si>
  <si>
    <t>SEC2-003</t>
  </si>
  <si>
    <t>Escaneo de vulnerabilidades</t>
  </si>
  <si>
    <t>Hallazgos técnicos y evidencia</t>
  </si>
  <si>
    <t>SEC2-004</t>
  </si>
  <si>
    <t>Validación y descarte de falsos positivos</t>
  </si>
  <si>
    <t>Evidencia y aplicabilidad</t>
  </si>
  <si>
    <t>Riesgo</t>
  </si>
  <si>
    <t>SEC2-005</t>
  </si>
  <si>
    <t>Priorización por criticidad e impacto</t>
  </si>
  <si>
    <t>Severidad, exposición e impacto</t>
  </si>
  <si>
    <t>SEC2-006</t>
  </si>
  <si>
    <t>Plan de remediación y ventanas</t>
  </si>
  <si>
    <t>Orden, responsables, riesgo y reversa</t>
  </si>
  <si>
    <t>Remediación</t>
  </si>
  <si>
    <t>SEC2-007</t>
  </si>
  <si>
    <t>Aplicación de parche estándar</t>
  </si>
  <si>
    <t>Respaldo, actualización y validación</t>
  </si>
  <si>
    <t>SEC2-008</t>
  </si>
  <si>
    <t>Aplicación de mitigación de configuración</t>
  </si>
  <si>
    <t>Cambio compensatorio o configuración</t>
  </si>
  <si>
    <t>SEC2-009</t>
  </si>
  <si>
    <t>Prueba funcional posterior</t>
  </si>
  <si>
    <t>Funciones críticas después del parche</t>
  </si>
  <si>
    <t>Revalidación</t>
  </si>
  <si>
    <t>SEC2-010</t>
  </si>
  <si>
    <t>Nuevo escaneo de verificación</t>
  </si>
  <si>
    <t>Cierre o riesgo residual</t>
  </si>
  <si>
    <t>SEC2-011</t>
  </si>
  <si>
    <t>Informe ejecutivo y técnico</t>
  </si>
  <si>
    <t>Estado, riesgo residual y recomendaciones</t>
  </si>
  <si>
    <t>SEC3-001</t>
  </si>
  <si>
    <t>Inventario de usuarios, roles y accesos</t>
  </si>
  <si>
    <t>Usuarios, grupos, permisos y propietarios</t>
  </si>
  <si>
    <t>SEC3-002</t>
  </si>
  <si>
    <t>Diseño de roles y segregación de funciones</t>
  </si>
  <si>
    <t>Responsabilidades, permisos y conflictos</t>
  </si>
  <si>
    <t>SEC3-003</t>
  </si>
  <si>
    <t>Matriz de acceso por recurso</t>
  </si>
  <si>
    <t>Lectura, edición, aprobación y administración</t>
  </si>
  <si>
    <t>Autenticación</t>
  </si>
  <si>
    <t>SEC3-004</t>
  </si>
  <si>
    <t>Configuración de autenticación multifactor</t>
  </si>
  <si>
    <t>Enrolamiento, recuperación y excepción</t>
  </si>
  <si>
    <t>SEC3-005</t>
  </si>
  <si>
    <t>Política de contraseñas y sesión</t>
  </si>
  <si>
    <t>Complejidad, bloqueo, duración y recuperación</t>
  </si>
  <si>
    <t>Autorización</t>
  </si>
  <si>
    <t>SEC3-006</t>
  </si>
  <si>
    <t>Aplicación de mínimo privilegio</t>
  </si>
  <si>
    <t>Reducción de privilegios y accesos heredados</t>
  </si>
  <si>
    <t>Ciclo de vida</t>
  </si>
  <si>
    <t>SEC3-007</t>
  </si>
  <si>
    <t>Proceso de alta, cambio y baja de usuarios</t>
  </si>
  <si>
    <t>Solicitud, aprobación, ejecución y evidencia</t>
  </si>
  <si>
    <t>Cuentas</t>
  </si>
  <si>
    <t>SEC3-008</t>
  </si>
  <si>
    <t>Control de cuentas de servicio</t>
  </si>
  <si>
    <t>Propietario, secreto, uso y rotación</t>
  </si>
  <si>
    <t>SEC3-009</t>
  </si>
  <si>
    <t>Registro de eventos de autenticación</t>
  </si>
  <si>
    <t>Ingreso, fallo, bloqueo y cambios</t>
  </si>
  <si>
    <t>SEC3-010</t>
  </si>
  <si>
    <t>Pruebas de acceso por rol</t>
  </si>
  <si>
    <t>Permitidos, denegados y recuperación</t>
  </si>
  <si>
    <t>SEC3-011</t>
  </si>
  <si>
    <t>Roles, accesos y operación</t>
  </si>
  <si>
    <t>Escenarios</t>
  </si>
  <si>
    <t>SEC4-001</t>
  </si>
  <si>
    <t>Definición de escenarios prioritarios</t>
  </si>
  <si>
    <t>Acceso, malware, fuga e indisponibilidad</t>
  </si>
  <si>
    <t>Clasificación</t>
  </si>
  <si>
    <t>SEC4-002</t>
  </si>
  <si>
    <t>Definición de severidades y criterios</t>
  </si>
  <si>
    <t>Impacto, urgencia y escalamiento</t>
  </si>
  <si>
    <t>Organización</t>
  </si>
  <si>
    <t>SEC4-003</t>
  </si>
  <si>
    <t>Definición de roles y contactos</t>
  </si>
  <si>
    <t>Responsables, suplentes y contactos</t>
  </si>
  <si>
    <t>SEC4-004</t>
  </si>
  <si>
    <t>Playbook de detección y análisis</t>
  </si>
  <si>
    <t>Evidencia, validación y clasificación</t>
  </si>
  <si>
    <t>SEC4-005</t>
  </si>
  <si>
    <t>Playbook de contención y erradicación</t>
  </si>
  <si>
    <t>Aislamiento, bloqueo y limpieza</t>
  </si>
  <si>
    <t>SEC4-006</t>
  </si>
  <si>
    <t>Playbook de recuperación</t>
  </si>
  <si>
    <t>Restauración, validación y retorno</t>
  </si>
  <si>
    <t>SEC4-007</t>
  </si>
  <si>
    <t>Plan de comunicación de incidentes</t>
  </si>
  <si>
    <t>Interna, cliente y terceros</t>
  </si>
  <si>
    <t>Evidencia</t>
  </si>
  <si>
    <t>SEC4-008</t>
  </si>
  <si>
    <t>Preparación de fuentes de evidencia</t>
  </si>
  <si>
    <t>Logs, respaldos y auditoría</t>
  </si>
  <si>
    <t>Simulación</t>
  </si>
  <si>
    <t>SEC4-009</t>
  </si>
  <si>
    <t>Diseño de ejercicio de mesa</t>
  </si>
  <si>
    <t>Escenario, decisiones y criterios</t>
  </si>
  <si>
    <t>SEC4-010</t>
  </si>
  <si>
    <t>Ejecución de ejercicio de mesa</t>
  </si>
  <si>
    <t>Tiempos, coordinación y evidencia</t>
  </si>
  <si>
    <t>SEC4-011</t>
  </si>
  <si>
    <t>Hallazgos, acciones y responsables</t>
  </si>
  <si>
    <t>SUP1-001</t>
  </si>
  <si>
    <t>Definición del catálogo de atención</t>
  </si>
  <si>
    <t>Servicios, solicitudes y exclusiones</t>
  </si>
  <si>
    <t>SUP1-002</t>
  </si>
  <si>
    <t>Definición de canales de ingreso</t>
  </si>
  <si>
    <t>Formulario, correo o portal</t>
  </si>
  <si>
    <t>SUP1-003</t>
  </si>
  <si>
    <t>Parametrización del flujo básico de tickets</t>
  </si>
  <si>
    <t>Configuración operativa de estados, asignación y cierre sobre una definición básica.</t>
  </si>
  <si>
    <t>El diseño formal de procesos ITSM se cotiza en SUP-02.</t>
  </si>
  <si>
    <t>SUP1-004</t>
  </si>
  <si>
    <t>Parametrización de prioridades y severidades</t>
  </si>
  <si>
    <t>Nivel</t>
  </si>
  <si>
    <t>Configuración en la herramienta de niveles previamente acordados.</t>
  </si>
  <si>
    <t>La definición metodológica completa se cotiza en SUP-02.</t>
  </si>
  <si>
    <t>SLA</t>
  </si>
  <si>
    <t>SUP1-005</t>
  </si>
  <si>
    <t>Parametrización de SLA definidos</t>
  </si>
  <si>
    <t>Configuración de tiempos de respuesta, resolución y cobertura en la herramienta.</t>
  </si>
  <si>
    <t>La definición y gobierno formal de SLA se cotizan en SUP-02.</t>
  </si>
  <si>
    <t>SUP1-006</t>
  </si>
  <si>
    <t>Configuración de campos y formularios</t>
  </si>
  <si>
    <t>Campos, validaciones y clasificación</t>
  </si>
  <si>
    <t>SUP1-007</t>
  </si>
  <si>
    <t>Configuración de estados y automatizaciones</t>
  </si>
  <si>
    <t>Asignación, notificación y escalamiento</t>
  </si>
  <si>
    <t>SUP1-008</t>
  </si>
  <si>
    <t>Configuración de usuarios y permisos</t>
  </si>
  <si>
    <t>Agentes, administradores y solicitantes</t>
  </si>
  <si>
    <t>SUP1-009</t>
  </si>
  <si>
    <t>Plantillas de comunicación</t>
  </si>
  <si>
    <t>Plantilla</t>
  </si>
  <si>
    <t>Recepción, actualización y cierre</t>
  </si>
  <si>
    <t>SUP1-010</t>
  </si>
  <si>
    <t>Dashboard y reporte inicial de puesta en marcha</t>
  </si>
  <si>
    <t>Vista inicial de volumen, tiempos y estado para validar la operación.</t>
  </si>
  <si>
    <t>La reportería operacional avanzada se contabiliza en SUP2-010.</t>
  </si>
  <si>
    <t>SUP1-011</t>
  </si>
  <si>
    <t>Piloto con casos de atención</t>
  </si>
  <si>
    <t>Creación, asignación, atención y cierre</t>
  </si>
  <si>
    <t>Entrega</t>
  </si>
  <si>
    <t>SUP1-012</t>
  </si>
  <si>
    <t>Capacitación y documentación</t>
  </si>
  <si>
    <t>Sesión</t>
  </si>
  <si>
    <t>Uso, administración y soporte</t>
  </si>
  <si>
    <t>SUP2-001</t>
  </si>
  <si>
    <t>Definición de alcance de procesos ITSM</t>
  </si>
  <si>
    <t>Incidente, solicitud, problema y cambio</t>
  </si>
  <si>
    <t>SUP2-002</t>
  </si>
  <si>
    <t>Diseño formal del proceso de incidentes</t>
  </si>
  <si>
    <t>Registro, clasificación, escalamiento y cierre</t>
  </si>
  <si>
    <t>SUP2-003</t>
  </si>
  <si>
    <t>Diseño formal del proceso de solicitudes</t>
  </si>
  <si>
    <t>Catálogo, aprobación y entrega</t>
  </si>
  <si>
    <t>SUP2-004</t>
  </si>
  <si>
    <t>Diseño formal del proceso de cambios</t>
  </si>
  <si>
    <t>Riesgo, aprobación, reversa y validación</t>
  </si>
  <si>
    <t>SUP2-005</t>
  </si>
  <si>
    <t>Diseño formal del proceso de problemas</t>
  </si>
  <si>
    <t>Causa raíz y error conocido</t>
  </si>
  <si>
    <t>Roles</t>
  </si>
  <si>
    <t>SUP2-006</t>
  </si>
  <si>
    <t>Definición de roles y responsabilidades</t>
  </si>
  <si>
    <t>Responsables y escalamiento</t>
  </si>
  <si>
    <t>Herramienta</t>
  </si>
  <si>
    <t>SUP2-007</t>
  </si>
  <si>
    <t>Configuración de herramienta o tablero</t>
  </si>
  <si>
    <t>Campos, vistas, estados y permisos</t>
  </si>
  <si>
    <t>SUP2-008</t>
  </si>
  <si>
    <t>Automatización de asignación y escalamiento</t>
  </si>
  <si>
    <t>Condiciones, responsables y avisos</t>
  </si>
  <si>
    <t>Indicadores</t>
  </si>
  <si>
    <t>SUP2-009</t>
  </si>
  <si>
    <t>Definición de indicadores de gestión</t>
  </si>
  <si>
    <t>Indicador</t>
  </si>
  <si>
    <t>Volumen, cumplimiento y tendencia</t>
  </si>
  <si>
    <t>SUP2-010</t>
  </si>
  <si>
    <t>Configuración de reportes operacionales avanzados</t>
  </si>
  <si>
    <t>Reportes periódicos por estado, SLA, carga, tendencia y cumplimiento.</t>
  </si>
  <si>
    <t>No vuelve a incluir el reporte inicial de puesta en marcha de SUP1-010.</t>
  </si>
  <si>
    <t>Piloto</t>
  </si>
  <si>
    <t>SUP2-011</t>
  </si>
  <si>
    <t>Piloto con casos reales</t>
  </si>
  <si>
    <t>Casos y retroalimentación</t>
  </si>
  <si>
    <t>SUP2-012</t>
  </si>
  <si>
    <t>Ajustes y documentación final</t>
  </si>
  <si>
    <t>Procedimientos y mejoras</t>
  </si>
  <si>
    <t>Gestión</t>
  </si>
  <si>
    <t>SUP3-001</t>
  </si>
  <si>
    <t>Reunión de priorización y planificación</t>
  </si>
  <si>
    <t>Prioridades, responsables y consumo</t>
  </si>
  <si>
    <t>SUP3-002</t>
  </si>
  <si>
    <t>Triage de solicitudes e incidentes</t>
  </si>
  <si>
    <t>Ticket</t>
  </si>
  <si>
    <t>Impacto, urgencia y estimación</t>
  </si>
  <si>
    <t>Soporte</t>
  </si>
  <si>
    <t>SUP3-003</t>
  </si>
  <si>
    <t>Atención de incidente menor</t>
  </si>
  <si>
    <t>Diagnóstico, corrección y cierre</t>
  </si>
  <si>
    <t>SUP3-004</t>
  </si>
  <si>
    <t>Atención de solicitud operativa</t>
  </si>
  <si>
    <t>Configuración o apoyo funcional</t>
  </si>
  <si>
    <t>Evolución</t>
  </si>
  <si>
    <t>SUP3-005</t>
  </si>
  <si>
    <t>Cambio menor de aplicación</t>
  </si>
  <si>
    <t>Ajuste acotado con pruebas</t>
  </si>
  <si>
    <t>Prevención</t>
  </si>
  <si>
    <t>SUP3-006</t>
  </si>
  <si>
    <t>Revisión preventiva de logs y alertas</t>
  </si>
  <si>
    <t>Eventos y riesgos recurrentes</t>
  </si>
  <si>
    <t>Documentación</t>
  </si>
  <si>
    <t>SUP3-007</t>
  </si>
  <si>
    <t>Actualización de documentación</t>
  </si>
  <si>
    <t>Cambios y soluciones recurrentes</t>
  </si>
  <si>
    <t>SUP3-008</t>
  </si>
  <si>
    <t>Reporte mensual de servicio</t>
  </si>
  <si>
    <t>Consumo, cumplimiento y recomendaciones</t>
  </si>
  <si>
    <t>Coordinación</t>
  </si>
  <si>
    <t>SUP3-009</t>
  </si>
  <si>
    <t>Gestión de pendientes y terceros</t>
  </si>
  <si>
    <t>Hora</t>
  </si>
  <si>
    <t>Dependencias, accesos y coordinaciones</t>
  </si>
  <si>
    <t>Inventario</t>
  </si>
  <si>
    <t>SUP4-001</t>
  </si>
  <si>
    <t>Inventario de procesos y documentos existentes</t>
  </si>
  <si>
    <t>Documentos, responsables y vigencia</t>
  </si>
  <si>
    <t>SUP4-002</t>
  </si>
  <si>
    <t>Diseño de estructura documental</t>
  </si>
  <si>
    <t>Categorías, nomenclatura y acceso</t>
  </si>
  <si>
    <t>SUP4-003</t>
  </si>
  <si>
    <t>Definición de control de versiones y aprobación</t>
  </si>
  <si>
    <t>Estados, responsables y publicación</t>
  </si>
  <si>
    <t>SUP4-004</t>
  </si>
  <si>
    <t>Creación de manual de usuario</t>
  </si>
  <si>
    <t>Flujos, pantallas y preguntas frecuentes</t>
  </si>
  <si>
    <t>SUP4-005</t>
  </si>
  <si>
    <t>Creación de manual técnico</t>
  </si>
  <si>
    <t>Arquitectura, instalación y operación</t>
  </si>
  <si>
    <t>SUP4-006</t>
  </si>
  <si>
    <t>Creación de procedimiento operativo</t>
  </si>
  <si>
    <t>Objetivo, pasos, responsables y evidencia</t>
  </si>
  <si>
    <t>SUP4-007</t>
  </si>
  <si>
    <t>Creación de runbook</t>
  </si>
  <si>
    <t>Eventos frecuentes, diagnóstico y escalamiento</t>
  </si>
  <si>
    <t>SUP4-008</t>
  </si>
  <si>
    <t>Creación de artículo de conocimiento</t>
  </si>
  <si>
    <t>Artículo</t>
  </si>
  <si>
    <t>Problema, solución y palabras clave</t>
  </si>
  <si>
    <t>SUP4-009</t>
  </si>
  <si>
    <t>Configuración de repositorio o portal</t>
  </si>
  <si>
    <t>Estructura, permisos y búsqueda</t>
  </si>
  <si>
    <t>SUP4-010</t>
  </si>
  <si>
    <t>Revisión técnica y funcional</t>
  </si>
  <si>
    <t>Exactitud, claridad y vigencia</t>
  </si>
  <si>
    <t>SUP4-011</t>
  </si>
  <si>
    <t>Capacitación y transferencia</t>
  </si>
  <si>
    <t>Uso, mantenimiento y responsabilidades</t>
  </si>
  <si>
    <t>DESARROLLO E IMPLEMENTACIÓN · VISTA SIMPLIFICADA</t>
  </si>
  <si>
    <t>Vista vinculada al Catálogo Maestro. Cada actividad muestra una sola duración y un solo valor base.</t>
  </si>
  <si>
    <t>Duración base HH</t>
  </si>
  <si>
    <t>MANTENIMIENTO Y EVOLUCIÓN · VISTA SIMPLIFICADA</t>
  </si>
  <si>
    <t>MONITOREO Y OBSERVABILIDAD · VISTA SIMPLIFICADA</t>
  </si>
  <si>
    <t>RESPALDO Y CONTINUIDAD · VISTA SIMPLIFICADA</t>
  </si>
  <si>
    <t>CIBERSEGURIDAD · VISTA SIMPLIFICADA</t>
  </si>
  <si>
    <t>SOPORTE Y GESTIÓN · VISTA SIMPLIFICADA</t>
  </si>
  <si>
    <t>CÁLCULO FINAL DEL PROYECTO</t>
  </si>
  <si>
    <t>Aquí se aplican los únicos ajustes porcentuales del proyecto. No modifique las actividades individuales para representar reutilización o complejidad.</t>
  </si>
  <si>
    <t>Entrada</t>
  </si>
  <si>
    <t>Explicación</t>
  </si>
  <si>
    <t>Total HH base seleccionadas</t>
  </si>
  <si>
    <t>Suma de actividades del proyecto antes de cualquier ajuste.</t>
  </si>
  <si>
    <t>100% = base nueva; menor = reutilización; mayor = esfuerzo extraordinario.</t>
  </si>
  <si>
    <t>Tarifa UF / HH</t>
  </si>
  <si>
    <t>Tarifa maestra del catálogo.</t>
  </si>
  <si>
    <t>Resultado</t>
  </si>
  <si>
    <t>Fórmula</t>
  </si>
  <si>
    <t>HH ajustadas</t>
  </si>
  <si>
    <t>HH base × Factor global</t>
  </si>
  <si>
    <t>Valor técnico UF</t>
  </si>
  <si>
    <t>HH ajustadas × Tarifa</t>
  </si>
  <si>
    <t>Contingencia UF</t>
  </si>
  <si>
    <t>Valor técnico × Contingencia</t>
  </si>
  <si>
    <t>TOTAL FINAL UF</t>
  </si>
  <si>
    <t>Valor técnico + Contingencia</t>
  </si>
  <si>
    <t>Ejemplo de criterio: nuevo = 100%; reutilizado = porcentaje que tú decidas al cerrar el alcance. No existen tablas de factores automáticos.</t>
  </si>
  <si>
    <t>VALIDACIÓN DE HH CON PROYECTOS REALES</t>
  </si>
  <si>
    <t>Compare la HH base del catálogo con la ejecución real. Si un proceso cambia de forma consistente, actualice su única HH base en Catálogo Maestro.</t>
  </si>
  <si>
    <t>Fecha</t>
  </si>
  <si>
    <t>Cliente</t>
  </si>
  <si>
    <t>HH base estimadas</t>
  </si>
  <si>
    <t>HH reales</t>
  </si>
  <si>
    <t>Diferencia HH</t>
  </si>
  <si>
    <t>Desviación %</t>
  </si>
  <si>
    <t>Motivo</t>
  </si>
  <si>
    <t>HH base propuesta</t>
  </si>
  <si>
    <t>Pendiente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</si>
</sst>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%"/>
  </numFmts>
  <fonts count="11">
    <font>
      <sz val="11"/>
      <name val="Carlito"/>
    </font>
    <font>
      <b/>
      <sz val="20"/>
      <color rgb="FFFFFFFF"/>
      <name val="Carlito"/>
    </font>
    <font>
      <i/>
      <sz val="10"/>
      <color rgb="FF102536"/>
      <name val="Carlito"/>
    </font>
    <font>
      <b/>
      <sz val="11"/>
      <color rgb="FFFFFFFF"/>
      <name val="Carlito"/>
    </font>
    <font>
      <b/>
      <sz val="11"/>
      <color rgb="FF39C6F4"/>
      <name val="Carlito"/>
    </font>
    <font>
      <b/>
      <sz val="11"/>
      <color rgb="FF102536"/>
      <name val="Carlito"/>
    </font>
    <font>
      <b/>
      <sz val="10"/>
      <color rgb="FFFFFFFF"/>
      <name val="Carlito"/>
    </font>
    <font>
      <sz val="9"/>
      <color rgb="FF102536"/>
      <name val="Carlito"/>
    </font>
    <font>
      <i/>
      <sz val="11"/>
      <color rgb="FF102536"/>
      <name val="Carlito"/>
    </font>
    <font>
      <b/>
      <sz val="9"/>
      <color rgb="FF102536"/>
      <name val="Carlito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071A2B"/>
      </patternFill>
    </fill>
    <fill>
      <patternFill patternType="solid">
        <fgColor rgb="FFDFF7FF"/>
      </patternFill>
    </fill>
    <fill>
      <patternFill patternType="solid">
        <fgColor rgb="FF0C2338"/>
      </patternFill>
    </fill>
    <fill>
      <patternFill patternType="solid">
        <fgColor rgb="FFE8F8F0"/>
      </patternFill>
    </fill>
    <fill>
      <patternFill patternType="solid">
        <fgColor rgb="FFFFF6D8"/>
      </patternFill>
    </fill>
  </fills>
  <borders count="9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 applyAlignment="1">
      <alignment wrapText="1"/>
    </xf>
    <xf numFmtId="0" fontId="4" fillId="0" borderId="0" xfId="0" applyNumberFormat="1" applyFont="1" applyFill="1" applyBorder="1"/>
    <xf numFmtId="0" fontId="5" fillId="0" borderId="0" xfId="0" applyNumberFormat="1" applyFont="1" applyFill="1" applyBorder="1" applyAlignment="1">
      <alignment wrapText="1"/>
    </xf>
    <xf numFmtId="0" fontId="5" fillId="0" borderId="0" xfId="0" applyNumberFormat="1" applyFont="1" applyFill="1" applyBorder="1"/>
    <xf numFmtId="0" fontId="6" fillId="4" borderId="0" xfId="0" applyNumberFormat="1" applyFont="1" applyFill="1" applyBorder="1" applyAlignment="1">
      <alignment horizontal="center" vertical="center" wrapText="1"/>
    </xf>
    <xf numFmtId="0" fontId="7" fillId="0" borderId="0" xfId="0" applyNumberFormat="1" applyFont="1" applyFill="1" applyBorder="1" applyAlignment="1">
      <alignment vertical="top" wrapText="1"/>
    </xf>
    <xf numFmtId="0" fontId="7" fillId="0" borderId="1" xfId="0" applyNumberFormat="1" applyFont="1" applyFill="1" applyBorder="1" applyAlignment="1">
      <alignment vertical="top" wrapText="1"/>
    </xf>
    <xf numFmtId="0" fontId="7" fillId="0" borderId="2" xfId="0" applyNumberFormat="1" applyFont="1" applyFill="1" applyBorder="1" applyAlignment="1">
      <alignment vertical="top" wrapText="1"/>
    </xf>
    <xf numFmtId="0" fontId="7" fillId="0" borderId="3" xfId="0" applyNumberFormat="1" applyFont="1" applyFill="1" applyBorder="1" applyAlignment="1">
      <alignment vertical="top" wrapText="1"/>
    </xf>
    <xf numFmtId="0" fontId="7" fillId="0" borderId="4" xfId="0" applyNumberFormat="1" applyFont="1" applyFill="1" applyBorder="1" applyAlignment="1">
      <alignment vertical="top" wrapText="1"/>
    </xf>
    <xf numFmtId="0" fontId="7" fillId="0" borderId="5" xfId="0" applyNumberFormat="1" applyFont="1" applyFill="1" applyBorder="1" applyAlignment="1">
      <alignment vertical="top" wrapText="1"/>
    </xf>
    <xf numFmtId="0" fontId="7" fillId="0" borderId="6" xfId="0" applyNumberFormat="1" applyFont="1" applyFill="1" applyBorder="1" applyAlignment="1">
      <alignment vertical="top" wrapText="1"/>
    </xf>
    <xf numFmtId="0" fontId="7" fillId="0" borderId="7" xfId="0" applyNumberFormat="1" applyFont="1" applyFill="1" applyBorder="1" applyAlignment="1">
      <alignment vertical="top" wrapText="1"/>
    </xf>
    <xf numFmtId="0" fontId="7" fillId="0" borderId="8" xfId="0" applyNumberFormat="1" applyFont="1" applyFill="1" applyBorder="1" applyAlignment="1">
      <alignment vertical="top" wrapText="1"/>
    </xf>
    <xf numFmtId="2" fontId="7" fillId="0" borderId="0" xfId="0" applyNumberFormat="1" applyFont="1" applyFill="1" applyBorder="1" applyAlignment="1">
      <alignment vertical="top" wrapText="1"/>
    </xf>
    <xf numFmtId="9" fontId="7" fillId="0" borderId="7" xfId="0" applyNumberFormat="1" applyFont="1" applyFill="1" applyBorder="1" applyAlignment="1">
      <alignment vertical="top" wrapText="1"/>
    </xf>
    <xf numFmtId="1" fontId="7" fillId="0" borderId="2" xfId="0" applyNumberFormat="1" applyFont="1" applyFill="1" applyBorder="1" applyAlignment="1">
      <alignment vertical="top" wrapText="1"/>
    </xf>
    <xf numFmtId="1" fontId="7" fillId="0" borderId="0" xfId="0" applyNumberFormat="1" applyFont="1" applyFill="1" applyBorder="1" applyAlignment="1">
      <alignment vertical="top" wrapText="1"/>
    </xf>
    <xf numFmtId="1" fontId="7" fillId="0" borderId="7" xfId="0" applyNumberFormat="1" applyFont="1" applyFill="1" applyBorder="1" applyAlignment="1">
      <alignment vertical="top" wrapText="1"/>
    </xf>
    <xf numFmtId="2" fontId="7" fillId="0" borderId="2" xfId="0" applyNumberFormat="1" applyFont="1" applyFill="1" applyBorder="1" applyAlignment="1">
      <alignment vertical="top" wrapText="1"/>
    </xf>
    <xf numFmtId="2" fontId="7" fillId="0" borderId="7" xfId="0" applyNumberFormat="1" applyFont="1" applyFill="1" applyBorder="1" applyAlignment="1">
      <alignment vertical="top" wrapText="1"/>
    </xf>
    <xf numFmtId="2" fontId="9" fillId="3" borderId="2" xfId="0" applyNumberFormat="1" applyFont="1" applyFill="1" applyBorder="1" applyAlignment="1">
      <alignment vertical="top" wrapText="1"/>
    </xf>
    <xf numFmtId="9" fontId="9" fillId="3" borderId="0" xfId="0" applyNumberFormat="1" applyFont="1" applyFill="1" applyBorder="1" applyAlignment="1">
      <alignment vertical="top" wrapText="1"/>
    </xf>
    <xf numFmtId="2" fontId="9" fillId="3" borderId="0" xfId="0" applyNumberFormat="1" applyFont="1" applyFill="1" applyBorder="1" applyAlignment="1">
      <alignment vertical="top" wrapText="1"/>
    </xf>
    <xf numFmtId="9" fontId="9" fillId="3" borderId="7" xfId="0" applyNumberFormat="1" applyFont="1" applyFill="1" applyBorder="1" applyAlignment="1">
      <alignment vertical="top" wrapText="1"/>
    </xf>
    <xf numFmtId="0" fontId="9" fillId="5" borderId="6" xfId="0" applyNumberFormat="1" applyFont="1" applyFill="1" applyBorder="1" applyAlignment="1">
      <alignment vertical="top" wrapText="1"/>
    </xf>
    <xf numFmtId="2" fontId="9" fillId="5" borderId="7" xfId="0" applyNumberFormat="1" applyFont="1" applyFill="1" applyBorder="1" applyAlignment="1">
      <alignment vertical="top" wrapText="1"/>
    </xf>
    <xf numFmtId="0" fontId="9" fillId="5" borderId="8" xfId="0" applyNumberFormat="1" applyFont="1" applyFill="1" applyBorder="1" applyAlignment="1">
      <alignment vertical="top" wrapText="1"/>
    </xf>
    <xf numFmtId="164" fontId="7" fillId="0" borderId="1" xfId="0" applyNumberFormat="1" applyFont="1" applyFill="1" applyBorder="1" applyAlignment="1">
      <alignment vertical="top" wrapText="1"/>
    </xf>
    <xf numFmtId="164" fontId="7" fillId="0" borderId="4" xfId="0" applyNumberFormat="1" applyFont="1" applyFill="1" applyBorder="1" applyAlignment="1">
      <alignment vertical="top" wrapText="1"/>
    </xf>
    <xf numFmtId="164" fontId="7" fillId="0" borderId="6" xfId="0" applyNumberFormat="1" applyFont="1" applyFill="1" applyBorder="1" applyAlignment="1">
      <alignment vertical="top" wrapText="1"/>
    </xf>
    <xf numFmtId="165" fontId="7" fillId="0" borderId="2" xfId="0" applyNumberFormat="1" applyFont="1" applyFill="1" applyBorder="1" applyAlignment="1">
      <alignment vertical="top" wrapText="1"/>
    </xf>
    <xf numFmtId="165" fontId="7" fillId="0" borderId="0" xfId="0" applyNumberFormat="1" applyFont="1" applyFill="1" applyBorder="1" applyAlignment="1">
      <alignment vertical="top" wrapText="1"/>
    </xf>
    <xf numFmtId="165" fontId="7" fillId="0" borderId="7" xfId="0" applyNumberFormat="1" applyFont="1" applyFill="1" applyBorder="1" applyAlignment="1">
      <alignment vertical="top" wrapText="1"/>
    </xf>
    <xf numFmtId="0" fontId="1" fillId="2" borderId="0" xfId="0" applyNumberFormat="1" applyFont="1" applyFill="1" applyBorder="1" applyAlignment="1">
      <alignment horizontal="center" vertical="center"/>
    </xf>
    <xf numFmtId="0" fontId="2" fillId="3" borderId="0" xfId="0" applyNumberFormat="1" applyFont="1" applyFill="1" applyBorder="1" applyAlignment="1">
      <alignment vertical="center" wrapText="1"/>
    </xf>
    <xf numFmtId="0" fontId="3" fillId="4" borderId="0" xfId="0" applyNumberFormat="1" applyFont="1" applyFill="1" applyBorder="1" applyAlignment="1">
      <alignment horizontal="center" vertical="center"/>
    </xf>
    <xf numFmtId="0" fontId="4" fillId="4" borderId="0" xfId="0" applyNumberFormat="1" applyFont="1" applyFill="1" applyBorder="1" applyAlignment="1">
      <alignment horizontal="center" vertical="center"/>
    </xf>
    <xf numFmtId="0" fontId="5" fillId="4" borderId="0" xfId="0" applyNumberFormat="1" applyFont="1" applyFill="1" applyBorder="1" applyAlignment="1">
      <alignment horizontal="center" vertical="center"/>
    </xf>
    <xf numFmtId="0" fontId="3" fillId="4" borderId="0" xfId="0" applyNumberFormat="1" applyFont="1" applyFill="1" applyBorder="1" applyAlignment="1">
      <alignment horizontal="left"/>
    </xf>
    <xf numFmtId="0" fontId="5" fillId="3" borderId="0" xfId="0" applyNumberFormat="1" applyFont="1" applyFill="1" applyBorder="1" applyAlignment="1">
      <alignment wrapText="1"/>
    </xf>
    <xf numFmtId="0" fontId="8" fillId="3" borderId="0" xfId="0" applyNumberFormat="1" applyFont="1" applyFill="1" applyBorder="1" applyAlignment="1">
      <alignment wrapText="1"/>
    </xf>
    <xf numFmtId="0" fontId="0" fillId="6" borderId="0" xfId="0" applyNumberFormat="1" applyFont="1" applyFill="1" applyBorder="1" applyAlignment="1">
      <alignment wrapText="1"/>
    </xf>
    <xf numFmtId="0" fontId="0" fillId="0" borderId="0" xfId="0" applyAlignment="1">
      <alignment horizontal="center"/>
    </xf>
    <xf numFmtId="2" fontId="7" fillId="0" borderId="2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Fill="1" applyBorder="1" applyAlignment="1">
      <alignment horizontal="center" vertical="top" wrapText="1"/>
    </xf>
    <xf numFmtId="2" fontId="7" fillId="0" borderId="7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workbookViewId="0"/>
  </sheetViews>
  <sheetFormatPr baseColWidth="10" defaultColWidth="9" defaultRowHeight="14.25"/>
  <cols>
    <col min="1" max="1" width="7" customWidth="1"/>
    <col min="2" max="2" width="28" customWidth="1"/>
    <col min="3" max="3" width="58" customWidth="1"/>
    <col min="4" max="4" width="4" customWidth="1"/>
    <col min="5" max="5" width="28" customWidth="1"/>
    <col min="6" max="6" width="50" customWidth="1"/>
    <col min="7" max="8" width="18" customWidth="1"/>
  </cols>
  <sheetData>
    <row r="1" spans="1:8" ht="33.950000000000003" customHeight="1">
      <c r="A1" s="36" t="s">
        <v>0</v>
      </c>
      <c r="B1" s="36"/>
      <c r="C1" s="36"/>
      <c r="D1" s="36"/>
      <c r="E1" s="36"/>
      <c r="F1" s="36"/>
      <c r="G1" s="36"/>
      <c r="H1" s="36"/>
    </row>
    <row r="3" spans="1:8" ht="33.950000000000003" customHeight="1">
      <c r="A3" s="37" t="s">
        <v>1</v>
      </c>
      <c r="B3" s="37"/>
      <c r="C3" s="37"/>
      <c r="D3" s="37"/>
      <c r="E3" s="37"/>
      <c r="F3" s="37"/>
      <c r="G3" s="37"/>
      <c r="H3" s="37"/>
    </row>
    <row r="5" spans="1:8" ht="15">
      <c r="A5" s="38" t="s">
        <v>2</v>
      </c>
      <c r="B5" s="38"/>
      <c r="C5" s="38"/>
      <c r="E5" s="38" t="s">
        <v>3</v>
      </c>
      <c r="F5" s="38"/>
      <c r="G5" s="38"/>
      <c r="H5" s="38"/>
    </row>
    <row r="7" spans="1:8" ht="30">
      <c r="A7" s="2" t="s">
        <v>4</v>
      </c>
      <c r="B7" s="4" t="s">
        <v>5</v>
      </c>
      <c r="C7" s="1" t="s">
        <v>6</v>
      </c>
      <c r="E7" s="4" t="s">
        <v>7</v>
      </c>
      <c r="F7" s="1">
        <v>6</v>
      </c>
      <c r="G7" s="1" t="s">
        <v>8</v>
      </c>
      <c r="H7" s="1">
        <v>21</v>
      </c>
    </row>
    <row r="8" spans="1:8" ht="29.25">
      <c r="A8" s="2" t="s">
        <v>9</v>
      </c>
      <c r="B8" s="4" t="s">
        <v>10</v>
      </c>
      <c r="C8" s="1" t="s">
        <v>11</v>
      </c>
      <c r="E8" s="4" t="s">
        <v>12</v>
      </c>
      <c r="F8" s="1">
        <v>254</v>
      </c>
      <c r="G8" s="1" t="s">
        <v>13</v>
      </c>
      <c r="H8" s="1" t="s">
        <v>14</v>
      </c>
    </row>
    <row r="9" spans="1:8" ht="29.25">
      <c r="A9" s="2" t="s">
        <v>15</v>
      </c>
      <c r="B9" s="4" t="s">
        <v>16</v>
      </c>
      <c r="C9" s="1" t="s">
        <v>17</v>
      </c>
      <c r="E9" s="4" t="s">
        <v>18</v>
      </c>
      <c r="F9" s="1" t="s">
        <v>19</v>
      </c>
      <c r="G9" s="1" t="s">
        <v>20</v>
      </c>
      <c r="H9" s="1" t="s">
        <v>21</v>
      </c>
    </row>
    <row r="10" spans="1:8" ht="29.25">
      <c r="A10" s="2" t="s">
        <v>22</v>
      </c>
      <c r="B10" s="4" t="s">
        <v>23</v>
      </c>
      <c r="C10" s="1" t="s">
        <v>24</v>
      </c>
      <c r="E10" s="4"/>
      <c r="F10" s="1"/>
      <c r="G10" s="1"/>
      <c r="H10" s="1"/>
    </row>
    <row r="11" spans="1:8" ht="15">
      <c r="A11" s="3"/>
      <c r="B11" s="5"/>
      <c r="E11" s="5"/>
    </row>
    <row r="12" spans="1:8" ht="15">
      <c r="A12" s="39" t="s">
        <v>25</v>
      </c>
      <c r="B12" s="40"/>
      <c r="C12" s="38"/>
      <c r="E12" s="40" t="s">
        <v>26</v>
      </c>
      <c r="F12" s="38"/>
      <c r="G12" s="38"/>
      <c r="H12" s="38"/>
    </row>
    <row r="13" spans="1:8" ht="15">
      <c r="A13" s="3"/>
      <c r="B13" s="5"/>
      <c r="E13" s="5"/>
    </row>
    <row r="14" spans="1:8" ht="29.25">
      <c r="A14" s="2" t="s">
        <v>4</v>
      </c>
      <c r="B14" s="4" t="s">
        <v>27</v>
      </c>
      <c r="C14" s="1" t="s">
        <v>28</v>
      </c>
      <c r="E14" s="4" t="s">
        <v>29</v>
      </c>
      <c r="F14" s="1" t="s">
        <v>30</v>
      </c>
      <c r="G14" s="1"/>
      <c r="H14" s="1"/>
    </row>
    <row r="15" spans="1:8" ht="30">
      <c r="A15" s="2" t="s">
        <v>9</v>
      </c>
      <c r="B15" s="4" t="s">
        <v>31</v>
      </c>
      <c r="C15" s="1" t="s">
        <v>32</v>
      </c>
      <c r="E15" s="4" t="s">
        <v>33</v>
      </c>
      <c r="F15" s="1" t="s">
        <v>34</v>
      </c>
      <c r="G15" s="1"/>
      <c r="H15" s="1"/>
    </row>
    <row r="16" spans="1:8" ht="29.25">
      <c r="A16" s="2" t="s">
        <v>15</v>
      </c>
      <c r="B16" s="4" t="s">
        <v>35</v>
      </c>
      <c r="C16" s="1" t="s">
        <v>36</v>
      </c>
      <c r="E16" s="4" t="s">
        <v>37</v>
      </c>
      <c r="F16" s="1" t="s">
        <v>38</v>
      </c>
      <c r="G16" s="1"/>
      <c r="H16" s="1"/>
    </row>
    <row r="17" spans="1:8" ht="30">
      <c r="A17" s="2" t="s">
        <v>22</v>
      </c>
      <c r="B17" s="4" t="s">
        <v>39</v>
      </c>
      <c r="C17" s="1" t="s">
        <v>40</v>
      </c>
      <c r="E17" s="4" t="s">
        <v>41</v>
      </c>
      <c r="F17" s="1" t="s">
        <v>42</v>
      </c>
      <c r="G17" s="1"/>
      <c r="H17" s="1"/>
    </row>
    <row r="18" spans="1:8" ht="29.25">
      <c r="A18" s="2" t="s">
        <v>43</v>
      </c>
      <c r="B18" s="4" t="s">
        <v>44</v>
      </c>
      <c r="C18" s="1" t="s">
        <v>45</v>
      </c>
      <c r="E18" s="4" t="s">
        <v>46</v>
      </c>
      <c r="F18" s="1" t="s">
        <v>47</v>
      </c>
      <c r="G18" s="1"/>
      <c r="H18" s="1"/>
    </row>
    <row r="19" spans="1:8" ht="29.25">
      <c r="E19" s="4" t="s">
        <v>48</v>
      </c>
      <c r="F19" s="1" t="s">
        <v>49</v>
      </c>
      <c r="G19" s="1"/>
      <c r="H19" s="1"/>
    </row>
  </sheetData>
  <mergeCells count="6">
    <mergeCell ref="A1:H1"/>
    <mergeCell ref="A3:H3"/>
    <mergeCell ref="A5:C5"/>
    <mergeCell ref="E5:H5"/>
    <mergeCell ref="A12:C12"/>
    <mergeCell ref="E12:H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1"/>
  <sheetViews>
    <sheetView tabSelected="1" workbookViewId="0">
      <selection activeCell="D17" sqref="D17"/>
    </sheetView>
  </sheetViews>
  <sheetFormatPr baseColWidth="10" defaultColWidth="9" defaultRowHeight="14.25"/>
  <cols>
    <col min="1" max="1" width="28" customWidth="1"/>
    <col min="2" max="2" width="20" customWidth="1"/>
    <col min="3" max="3" width="16" customWidth="1"/>
    <col min="4" max="4" width="24" customWidth="1"/>
    <col min="5" max="5" width="12" customWidth="1"/>
    <col min="6" max="6" width="44" customWidth="1"/>
  </cols>
  <sheetData>
    <row r="1" spans="1:6" ht="33.950000000000003" customHeight="1">
      <c r="A1" s="36" t="s">
        <v>50</v>
      </c>
      <c r="B1" s="36"/>
      <c r="C1" s="36"/>
      <c r="D1" s="36"/>
      <c r="E1" s="36"/>
      <c r="F1" s="36"/>
    </row>
    <row r="3" spans="1:6" ht="33.950000000000003" customHeight="1">
      <c r="A3" s="37" t="s">
        <v>51</v>
      </c>
      <c r="B3" s="37"/>
      <c r="C3" s="37"/>
      <c r="D3" s="37"/>
      <c r="E3" s="37"/>
      <c r="F3" s="37"/>
    </row>
    <row r="5" spans="1:6" ht="27.95" customHeight="1">
      <c r="A5" s="6" t="s">
        <v>52</v>
      </c>
      <c r="B5" s="6" t="s">
        <v>53</v>
      </c>
      <c r="C5" s="6" t="s">
        <v>54</v>
      </c>
      <c r="D5" s="6" t="s">
        <v>55</v>
      </c>
      <c r="E5" s="6" t="s">
        <v>56</v>
      </c>
      <c r="F5" s="6" t="s">
        <v>57</v>
      </c>
    </row>
    <row r="6" spans="1:6">
      <c r="A6" s="8" t="s">
        <v>58</v>
      </c>
      <c r="B6" s="9" t="s">
        <v>59</v>
      </c>
      <c r="C6" s="9" t="s">
        <v>60</v>
      </c>
      <c r="D6" s="9" t="s">
        <v>61</v>
      </c>
      <c r="E6" s="9" t="s">
        <v>62</v>
      </c>
      <c r="F6" s="10" t="s">
        <v>63</v>
      </c>
    </row>
    <row r="7" spans="1:6">
      <c r="A7" s="11" t="s">
        <v>64</v>
      </c>
      <c r="B7" s="7" t="s">
        <v>65</v>
      </c>
      <c r="C7" s="7" t="s">
        <v>66</v>
      </c>
      <c r="D7" s="7" t="s">
        <v>61</v>
      </c>
      <c r="E7" s="7" t="s">
        <v>62</v>
      </c>
      <c r="F7" s="12" t="s">
        <v>67</v>
      </c>
    </row>
    <row r="8" spans="1:6">
      <c r="A8" s="11" t="s">
        <v>68</v>
      </c>
      <c r="B8" s="7" t="s">
        <v>69</v>
      </c>
      <c r="C8" s="7" t="s">
        <v>60</v>
      </c>
      <c r="D8" s="7" t="s">
        <v>70</v>
      </c>
      <c r="E8" s="7" t="s">
        <v>71</v>
      </c>
      <c r="F8" s="12" t="s">
        <v>72</v>
      </c>
    </row>
    <row r="9" spans="1:6">
      <c r="A9" s="11" t="s">
        <v>73</v>
      </c>
      <c r="B9" s="16">
        <v>0.7</v>
      </c>
      <c r="C9" s="7" t="s">
        <v>74</v>
      </c>
      <c r="D9" s="7" t="s">
        <v>75</v>
      </c>
      <c r="E9" s="7" t="s">
        <v>71</v>
      </c>
      <c r="F9" s="12" t="s">
        <v>76</v>
      </c>
    </row>
    <row r="10" spans="1:6">
      <c r="A10" s="13" t="s">
        <v>77</v>
      </c>
      <c r="B10" s="17">
        <v>0.2</v>
      </c>
      <c r="C10" s="14" t="s">
        <v>78</v>
      </c>
      <c r="D10" s="14" t="s">
        <v>79</v>
      </c>
      <c r="E10" s="14" t="s">
        <v>71</v>
      </c>
      <c r="F10" s="15" t="s">
        <v>80</v>
      </c>
    </row>
    <row r="12" spans="1:6" ht="15">
      <c r="A12" s="41" t="s">
        <v>81</v>
      </c>
      <c r="B12" s="41"/>
      <c r="C12" s="41"/>
      <c r="D12" s="41"/>
      <c r="E12" s="41"/>
      <c r="F12" s="41"/>
    </row>
    <row r="14" spans="1:6" ht="57">
      <c r="A14" s="1" t="s">
        <v>4</v>
      </c>
      <c r="B14" s="1" t="s">
        <v>82</v>
      </c>
      <c r="C14" s="1" t="s">
        <v>83</v>
      </c>
    </row>
    <row r="15" spans="1:6" ht="99.75">
      <c r="A15" s="1" t="s">
        <v>9</v>
      </c>
      <c r="B15" s="1" t="s">
        <v>84</v>
      </c>
      <c r="C15" s="1" t="s">
        <v>85</v>
      </c>
    </row>
    <row r="16" spans="1:6" ht="28.5">
      <c r="A16" s="1" t="s">
        <v>15</v>
      </c>
      <c r="B16" s="1" t="s">
        <v>86</v>
      </c>
      <c r="C16" s="1" t="s">
        <v>87</v>
      </c>
    </row>
    <row r="17" spans="1:6" ht="28.5">
      <c r="A17" s="1" t="s">
        <v>22</v>
      </c>
      <c r="B17" s="1" t="s">
        <v>88</v>
      </c>
      <c r="C17" s="1" t="s">
        <v>89</v>
      </c>
    </row>
    <row r="19" spans="1:6" ht="15">
      <c r="A19" s="41" t="s">
        <v>90</v>
      </c>
      <c r="B19" s="41"/>
      <c r="C19" s="41"/>
      <c r="D19" s="41"/>
      <c r="E19" s="41"/>
      <c r="F19" s="41"/>
    </row>
    <row r="21" spans="1:6" ht="15">
      <c r="A21" s="42" t="s">
        <v>91</v>
      </c>
      <c r="B21" s="42"/>
      <c r="C21" s="42"/>
      <c r="D21" s="42"/>
      <c r="E21" s="42"/>
      <c r="F21" s="42"/>
    </row>
  </sheetData>
  <mergeCells count="5">
    <mergeCell ref="A1:F1"/>
    <mergeCell ref="A3:F3"/>
    <mergeCell ref="A12:F12"/>
    <mergeCell ref="A19:F19"/>
    <mergeCell ref="A21:F2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8"/>
  <sheetViews>
    <sheetView workbookViewId="0">
      <selection sqref="A1:G1"/>
    </sheetView>
  </sheetViews>
  <sheetFormatPr baseColWidth="10" defaultColWidth="9" defaultRowHeight="14.25"/>
  <cols>
    <col min="1" max="1" width="30" customWidth="1"/>
    <col min="2" max="2" width="13" customWidth="1"/>
    <col min="3" max="3" width="48" customWidth="1"/>
    <col min="4" max="4" width="12" customWidth="1"/>
    <col min="5" max="6" width="16" customWidth="1"/>
    <col min="7" max="7" width="14" customWidth="1"/>
  </cols>
  <sheetData>
    <row r="1" spans="1:7" ht="33.950000000000003" customHeight="1">
      <c r="A1" s="36" t="s">
        <v>92</v>
      </c>
      <c r="B1" s="36"/>
      <c r="C1" s="36"/>
      <c r="D1" s="36"/>
      <c r="E1" s="36"/>
      <c r="F1" s="36"/>
      <c r="G1" s="36"/>
    </row>
    <row r="3" spans="1:7" ht="33.950000000000003" customHeight="1">
      <c r="A3" s="37" t="s">
        <v>93</v>
      </c>
      <c r="B3" s="37"/>
      <c r="C3" s="37"/>
      <c r="D3" s="37"/>
      <c r="E3" s="37"/>
      <c r="F3" s="37"/>
      <c r="G3" s="37"/>
    </row>
    <row r="5" spans="1:7" ht="27.95" customHeight="1">
      <c r="A5" s="6" t="s">
        <v>94</v>
      </c>
      <c r="B5" s="6" t="s">
        <v>95</v>
      </c>
      <c r="C5" s="6" t="s">
        <v>96</v>
      </c>
      <c r="D5" s="6" t="s">
        <v>97</v>
      </c>
      <c r="E5" s="6" t="s">
        <v>98</v>
      </c>
      <c r="F5" s="6" t="s">
        <v>99</v>
      </c>
      <c r="G5" s="6" t="s">
        <v>100</v>
      </c>
    </row>
    <row r="6" spans="1:7">
      <c r="A6" s="8" t="s">
        <v>29</v>
      </c>
      <c r="B6" s="9" t="s">
        <v>101</v>
      </c>
      <c r="C6" s="9" t="s">
        <v>102</v>
      </c>
      <c r="D6" s="18">
        <f>COUNTIF('Catalogo Maestro'!$B$6:$B$259,B6)</f>
        <v>22</v>
      </c>
      <c r="E6" s="21">
        <f>SUMPRODUCT(('Catalogo Maestro'!$B$6:$B$259=B6)*('Catalogo Maestro'!$G$6:$G$259&lt;&gt;"Opcional")*'Catalogo Maestro'!$I$6:$I$259*'Catalogo Maestro'!$J$6:$J$259)</f>
        <v>18.7</v>
      </c>
      <c r="F6" s="21">
        <f>E6*Parametros!$B$9</f>
        <v>13.089999999999998</v>
      </c>
      <c r="G6" s="10" t="s">
        <v>103</v>
      </c>
    </row>
    <row r="7" spans="1:7">
      <c r="A7" s="11" t="s">
        <v>29</v>
      </c>
      <c r="B7" s="7" t="s">
        <v>104</v>
      </c>
      <c r="C7" s="7" t="s">
        <v>105</v>
      </c>
      <c r="D7" s="19">
        <f>COUNTIF('Catalogo Maestro'!$B$6:$B$259,B7)</f>
        <v>18</v>
      </c>
      <c r="E7" s="16">
        <f>SUMPRODUCT(('Catalogo Maestro'!$B$6:$B$259=B7)*('Catalogo Maestro'!$G$6:$G$259&lt;&gt;"Opcional")*'Catalogo Maestro'!$I$6:$I$259*'Catalogo Maestro'!$J$6:$J$259)</f>
        <v>44.9</v>
      </c>
      <c r="F7" s="16">
        <f>E7*Parametros!$B$9</f>
        <v>31.429999999999996</v>
      </c>
      <c r="G7" s="12" t="s">
        <v>103</v>
      </c>
    </row>
    <row r="8" spans="1:7">
      <c r="A8" s="11" t="s">
        <v>29</v>
      </c>
      <c r="B8" s="7" t="s">
        <v>106</v>
      </c>
      <c r="C8" s="7" t="s">
        <v>107</v>
      </c>
      <c r="D8" s="19">
        <f>COUNTIF('Catalogo Maestro'!$B$6:$B$259,B8)</f>
        <v>10</v>
      </c>
      <c r="E8" s="16">
        <f>SUMPRODUCT(('Catalogo Maestro'!$B$6:$B$259=B8)*('Catalogo Maestro'!$G$6:$G$259&lt;&gt;"Opcional")*'Catalogo Maestro'!$I$6:$I$259*'Catalogo Maestro'!$J$6:$J$259)</f>
        <v>16</v>
      </c>
      <c r="F8" s="16">
        <f>E8*Parametros!$B$9</f>
        <v>11.2</v>
      </c>
      <c r="G8" s="12" t="s">
        <v>103</v>
      </c>
    </row>
    <row r="9" spans="1:7">
      <c r="A9" s="11" t="s">
        <v>33</v>
      </c>
      <c r="B9" s="7" t="s">
        <v>108</v>
      </c>
      <c r="C9" s="7" t="s">
        <v>109</v>
      </c>
      <c r="D9" s="19">
        <f>COUNTIF('Catalogo Maestro'!$B$6:$B$259,B9)</f>
        <v>14</v>
      </c>
      <c r="E9" s="16">
        <f>SUMPRODUCT(('Catalogo Maestro'!$B$6:$B$259=B9)*('Catalogo Maestro'!$G$6:$G$259&lt;&gt;"Opcional")*'Catalogo Maestro'!$I$6:$I$259*'Catalogo Maestro'!$J$6:$J$259)</f>
        <v>15.5</v>
      </c>
      <c r="F9" s="16">
        <f>E9*Parametros!$B$9</f>
        <v>10.85</v>
      </c>
      <c r="G9" s="12" t="s">
        <v>103</v>
      </c>
    </row>
    <row r="10" spans="1:7">
      <c r="A10" s="11" t="s">
        <v>33</v>
      </c>
      <c r="B10" s="7" t="s">
        <v>110</v>
      </c>
      <c r="C10" s="7" t="s">
        <v>111</v>
      </c>
      <c r="D10" s="19">
        <f>COUNTIF('Catalogo Maestro'!$B$6:$B$259,B10)</f>
        <v>15</v>
      </c>
      <c r="E10" s="16">
        <f>SUMPRODUCT(('Catalogo Maestro'!$B$6:$B$259=B10)*('Catalogo Maestro'!$G$6:$G$259&lt;&gt;"Opcional")*'Catalogo Maestro'!$I$6:$I$259*'Catalogo Maestro'!$J$6:$J$259)</f>
        <v>34</v>
      </c>
      <c r="F10" s="16">
        <f>E10*Parametros!$B$9</f>
        <v>23.799999999999997</v>
      </c>
      <c r="G10" s="12" t="s">
        <v>103</v>
      </c>
    </row>
    <row r="11" spans="1:7">
      <c r="A11" s="11" t="s">
        <v>33</v>
      </c>
      <c r="B11" s="7" t="s">
        <v>112</v>
      </c>
      <c r="C11" s="7" t="s">
        <v>113</v>
      </c>
      <c r="D11" s="19">
        <f>COUNTIF('Catalogo Maestro'!$B$6:$B$259,B11)</f>
        <v>14</v>
      </c>
      <c r="E11" s="16">
        <f>SUMPRODUCT(('Catalogo Maestro'!$B$6:$B$259=B11)*('Catalogo Maestro'!$G$6:$G$259&lt;&gt;"Opcional")*'Catalogo Maestro'!$I$6:$I$259*'Catalogo Maestro'!$J$6:$J$259)</f>
        <v>42.25</v>
      </c>
      <c r="F11" s="16">
        <f>E11*Parametros!$B$9</f>
        <v>29.574999999999999</v>
      </c>
      <c r="G11" s="12" t="s">
        <v>103</v>
      </c>
    </row>
    <row r="12" spans="1:7">
      <c r="A12" s="11" t="s">
        <v>33</v>
      </c>
      <c r="B12" s="7" t="s">
        <v>114</v>
      </c>
      <c r="C12" s="7" t="s">
        <v>115</v>
      </c>
      <c r="D12" s="19">
        <f>COUNTIF('Catalogo Maestro'!$B$6:$B$259,B12)</f>
        <v>12</v>
      </c>
      <c r="E12" s="16">
        <f>SUMPRODUCT(('Catalogo Maestro'!$B$6:$B$259=B12)*('Catalogo Maestro'!$G$6:$G$259&lt;&gt;"Opcional")*'Catalogo Maestro'!$I$6:$I$259*'Catalogo Maestro'!$J$6:$J$259)</f>
        <v>22</v>
      </c>
      <c r="F12" s="16">
        <f>E12*Parametros!$B$9</f>
        <v>15.399999999999999</v>
      </c>
      <c r="G12" s="12" t="s">
        <v>103</v>
      </c>
    </row>
    <row r="13" spans="1:7">
      <c r="A13" s="11" t="s">
        <v>37</v>
      </c>
      <c r="B13" s="7" t="s">
        <v>116</v>
      </c>
      <c r="C13" s="7" t="s">
        <v>117</v>
      </c>
      <c r="D13" s="19">
        <f>COUNTIF('Catalogo Maestro'!$B$6:$B$259,B13)</f>
        <v>10</v>
      </c>
      <c r="E13" s="16">
        <f>SUMPRODUCT(('Catalogo Maestro'!$B$6:$B$259=B13)*('Catalogo Maestro'!$G$6:$G$259&lt;&gt;"Opcional")*'Catalogo Maestro'!$I$6:$I$259*'Catalogo Maestro'!$J$6:$J$259)</f>
        <v>19</v>
      </c>
      <c r="F13" s="16">
        <f>E13*Parametros!$B$9</f>
        <v>13.299999999999999</v>
      </c>
      <c r="G13" s="12" t="s">
        <v>103</v>
      </c>
    </row>
    <row r="14" spans="1:7">
      <c r="A14" s="11" t="s">
        <v>37</v>
      </c>
      <c r="B14" s="7" t="s">
        <v>118</v>
      </c>
      <c r="C14" s="7" t="s">
        <v>119</v>
      </c>
      <c r="D14" s="19">
        <f>COUNTIF('Catalogo Maestro'!$B$6:$B$259,B14)</f>
        <v>10</v>
      </c>
      <c r="E14" s="16">
        <f>SUMPRODUCT(('Catalogo Maestro'!$B$6:$B$259=B14)*('Catalogo Maestro'!$G$6:$G$259&lt;&gt;"Opcional")*'Catalogo Maestro'!$I$6:$I$259*'Catalogo Maestro'!$J$6:$J$259)</f>
        <v>27</v>
      </c>
      <c r="F14" s="16">
        <f>E14*Parametros!$B$9</f>
        <v>18.899999999999999</v>
      </c>
      <c r="G14" s="12" t="s">
        <v>103</v>
      </c>
    </row>
    <row r="15" spans="1:7">
      <c r="A15" s="11" t="s">
        <v>37</v>
      </c>
      <c r="B15" s="7" t="s">
        <v>120</v>
      </c>
      <c r="C15" s="7" t="s">
        <v>121</v>
      </c>
      <c r="D15" s="19">
        <f>COUNTIF('Catalogo Maestro'!$B$6:$B$259,B15)</f>
        <v>10</v>
      </c>
      <c r="E15" s="16">
        <f>SUMPRODUCT(('Catalogo Maestro'!$B$6:$B$259=B15)*('Catalogo Maestro'!$G$6:$G$259&lt;&gt;"Opcional")*'Catalogo Maestro'!$I$6:$I$259*'Catalogo Maestro'!$J$6:$J$259)</f>
        <v>25.25</v>
      </c>
      <c r="F15" s="16">
        <f>E15*Parametros!$B$9</f>
        <v>17.674999999999997</v>
      </c>
      <c r="G15" s="12" t="s">
        <v>103</v>
      </c>
    </row>
    <row r="16" spans="1:7">
      <c r="A16" s="11" t="s">
        <v>41</v>
      </c>
      <c r="B16" s="7" t="s">
        <v>122</v>
      </c>
      <c r="C16" s="7" t="s">
        <v>123</v>
      </c>
      <c r="D16" s="19">
        <f>COUNTIF('Catalogo Maestro'!$B$6:$B$259,B16)</f>
        <v>10</v>
      </c>
      <c r="E16" s="16">
        <f>SUMPRODUCT(('Catalogo Maestro'!$B$6:$B$259=B16)*('Catalogo Maestro'!$G$6:$G$259&lt;&gt;"Opcional")*'Catalogo Maestro'!$I$6:$I$259*'Catalogo Maestro'!$J$6:$J$259)</f>
        <v>23.75</v>
      </c>
      <c r="F16" s="16">
        <f>E16*Parametros!$B$9</f>
        <v>16.625</v>
      </c>
      <c r="G16" s="12" t="s">
        <v>103</v>
      </c>
    </row>
    <row r="17" spans="1:7">
      <c r="A17" s="11" t="s">
        <v>41</v>
      </c>
      <c r="B17" s="7" t="s">
        <v>124</v>
      </c>
      <c r="C17" s="7" t="s">
        <v>125</v>
      </c>
      <c r="D17" s="19">
        <f>COUNTIF('Catalogo Maestro'!$B$6:$B$259,B17)</f>
        <v>10</v>
      </c>
      <c r="E17" s="16">
        <f>SUMPRODUCT(('Catalogo Maestro'!$B$6:$B$259=B17)*('Catalogo Maestro'!$G$6:$G$259&lt;&gt;"Opcional")*'Catalogo Maestro'!$I$6:$I$259*'Catalogo Maestro'!$J$6:$J$259)</f>
        <v>36</v>
      </c>
      <c r="F17" s="16">
        <f>E17*Parametros!$B$9</f>
        <v>25.2</v>
      </c>
      <c r="G17" s="12" t="s">
        <v>103</v>
      </c>
    </row>
    <row r="18" spans="1:7">
      <c r="A18" s="11" t="s">
        <v>41</v>
      </c>
      <c r="B18" s="7" t="s">
        <v>126</v>
      </c>
      <c r="C18" s="7" t="s">
        <v>127</v>
      </c>
      <c r="D18" s="19">
        <f>COUNTIF('Catalogo Maestro'!$B$6:$B$259,B18)</f>
        <v>9</v>
      </c>
      <c r="E18" s="16">
        <f>SUMPRODUCT(('Catalogo Maestro'!$B$6:$B$259=B18)*('Catalogo Maestro'!$G$6:$G$259&lt;&gt;"Opcional")*'Catalogo Maestro'!$I$6:$I$259*'Catalogo Maestro'!$J$6:$J$259)</f>
        <v>23.5</v>
      </c>
      <c r="F18" s="16">
        <f>E18*Parametros!$B$9</f>
        <v>16.45</v>
      </c>
      <c r="G18" s="12" t="s">
        <v>103</v>
      </c>
    </row>
    <row r="19" spans="1:7">
      <c r="A19" s="11" t="s">
        <v>46</v>
      </c>
      <c r="B19" s="7" t="s">
        <v>128</v>
      </c>
      <c r="C19" s="7" t="s">
        <v>129</v>
      </c>
      <c r="D19" s="19">
        <f>COUNTIF('Catalogo Maestro'!$B$6:$B$259,B19)</f>
        <v>13</v>
      </c>
      <c r="E19" s="16">
        <f>SUMPRODUCT(('Catalogo Maestro'!$B$6:$B$259=B19)*('Catalogo Maestro'!$G$6:$G$259&lt;&gt;"Opcional")*'Catalogo Maestro'!$I$6:$I$259*'Catalogo Maestro'!$J$6:$J$259)</f>
        <v>23.5</v>
      </c>
      <c r="F19" s="16">
        <f>E19*Parametros!$B$9</f>
        <v>16.45</v>
      </c>
      <c r="G19" s="12" t="s">
        <v>103</v>
      </c>
    </row>
    <row r="20" spans="1:7">
      <c r="A20" s="11" t="s">
        <v>46</v>
      </c>
      <c r="B20" s="7" t="s">
        <v>130</v>
      </c>
      <c r="C20" s="7" t="s">
        <v>131</v>
      </c>
      <c r="D20" s="19">
        <f>COUNTIF('Catalogo Maestro'!$B$6:$B$259,B20)</f>
        <v>11</v>
      </c>
      <c r="E20" s="16">
        <f>SUMPRODUCT(('Catalogo Maestro'!$B$6:$B$259=B20)*('Catalogo Maestro'!$G$6:$G$259&lt;&gt;"Opcional")*'Catalogo Maestro'!$I$6:$I$259*'Catalogo Maestro'!$J$6:$J$259)</f>
        <v>25.5</v>
      </c>
      <c r="F20" s="16">
        <f>E20*Parametros!$B$9</f>
        <v>17.849999999999998</v>
      </c>
      <c r="G20" s="12" t="s">
        <v>103</v>
      </c>
    </row>
    <row r="21" spans="1:7">
      <c r="A21" s="11" t="s">
        <v>46</v>
      </c>
      <c r="B21" s="7" t="s">
        <v>132</v>
      </c>
      <c r="C21" s="7" t="s">
        <v>133</v>
      </c>
      <c r="D21" s="19">
        <f>COUNTIF('Catalogo Maestro'!$B$6:$B$259,B21)</f>
        <v>11</v>
      </c>
      <c r="E21" s="16">
        <f>SUMPRODUCT(('Catalogo Maestro'!$B$6:$B$259=B21)*('Catalogo Maestro'!$G$6:$G$259&lt;&gt;"Opcional")*'Catalogo Maestro'!$I$6:$I$259*'Catalogo Maestro'!$J$6:$J$259)</f>
        <v>29</v>
      </c>
      <c r="F21" s="16">
        <f>E21*Parametros!$B$9</f>
        <v>20.299999999999997</v>
      </c>
      <c r="G21" s="12" t="s">
        <v>103</v>
      </c>
    </row>
    <row r="22" spans="1:7">
      <c r="A22" s="11" t="s">
        <v>46</v>
      </c>
      <c r="B22" s="7" t="s">
        <v>134</v>
      </c>
      <c r="C22" s="7" t="s">
        <v>135</v>
      </c>
      <c r="D22" s="19">
        <f>COUNTIF('Catalogo Maestro'!$B$6:$B$259,B22)</f>
        <v>11</v>
      </c>
      <c r="E22" s="16">
        <f>SUMPRODUCT(('Catalogo Maestro'!$B$6:$B$259=B22)*('Catalogo Maestro'!$G$6:$G$259&lt;&gt;"Opcional")*'Catalogo Maestro'!$I$6:$I$259*'Catalogo Maestro'!$J$6:$J$259)</f>
        <v>28.5</v>
      </c>
      <c r="F22" s="16">
        <f>E22*Parametros!$B$9</f>
        <v>19.95</v>
      </c>
      <c r="G22" s="12" t="s">
        <v>103</v>
      </c>
    </row>
    <row r="23" spans="1:7">
      <c r="A23" s="11" t="s">
        <v>48</v>
      </c>
      <c r="B23" s="7" t="s">
        <v>136</v>
      </c>
      <c r="C23" s="7" t="s">
        <v>137</v>
      </c>
      <c r="D23" s="19">
        <f>COUNTIF('Catalogo Maestro'!$B$6:$B$259,B23)</f>
        <v>12</v>
      </c>
      <c r="E23" s="16">
        <f>SUMPRODUCT(('Catalogo Maestro'!$B$6:$B$259=B23)*('Catalogo Maestro'!$G$6:$G$259&lt;&gt;"Opcional")*'Catalogo Maestro'!$I$6:$I$259*'Catalogo Maestro'!$J$6:$J$259)</f>
        <v>29.75</v>
      </c>
      <c r="F23" s="16">
        <f>E23*Parametros!$B$9</f>
        <v>20.824999999999999</v>
      </c>
      <c r="G23" s="12" t="s">
        <v>103</v>
      </c>
    </row>
    <row r="24" spans="1:7">
      <c r="A24" s="11" t="s">
        <v>48</v>
      </c>
      <c r="B24" s="7" t="s">
        <v>138</v>
      </c>
      <c r="C24" s="7" t="s">
        <v>139</v>
      </c>
      <c r="D24" s="19">
        <f>COUNTIF('Catalogo Maestro'!$B$6:$B$259,B24)</f>
        <v>12</v>
      </c>
      <c r="E24" s="16">
        <f>SUMPRODUCT(('Catalogo Maestro'!$B$6:$B$259=B24)*('Catalogo Maestro'!$G$6:$G$259&lt;&gt;"Opcional")*'Catalogo Maestro'!$I$6:$I$259*'Catalogo Maestro'!$J$6:$J$259)</f>
        <v>29</v>
      </c>
      <c r="F24" s="16">
        <f>E24*Parametros!$B$9</f>
        <v>20.299999999999997</v>
      </c>
      <c r="G24" s="12" t="s">
        <v>103</v>
      </c>
    </row>
    <row r="25" spans="1:7">
      <c r="A25" s="11" t="s">
        <v>48</v>
      </c>
      <c r="B25" s="7" t="s">
        <v>140</v>
      </c>
      <c r="C25" s="7" t="s">
        <v>141</v>
      </c>
      <c r="D25" s="19">
        <f>COUNTIF('Catalogo Maestro'!$B$6:$B$259,B25)</f>
        <v>9</v>
      </c>
      <c r="E25" s="16">
        <f>SUMPRODUCT(('Catalogo Maestro'!$B$6:$B$259=B25)*('Catalogo Maestro'!$G$6:$G$259&lt;&gt;"Opcional")*'Catalogo Maestro'!$I$6:$I$259*'Catalogo Maestro'!$J$6:$J$259)</f>
        <v>22.5</v>
      </c>
      <c r="F25" s="16">
        <f>E25*Parametros!$B$9</f>
        <v>15.749999999999998</v>
      </c>
      <c r="G25" s="12" t="s">
        <v>103</v>
      </c>
    </row>
    <row r="26" spans="1:7">
      <c r="A26" s="13" t="s">
        <v>48</v>
      </c>
      <c r="B26" s="14" t="s">
        <v>142</v>
      </c>
      <c r="C26" s="14" t="s">
        <v>143</v>
      </c>
      <c r="D26" s="20">
        <f>COUNTIF('Catalogo Maestro'!$B$6:$B$259,B26)</f>
        <v>11</v>
      </c>
      <c r="E26" s="22">
        <f>SUMPRODUCT(('Catalogo Maestro'!$B$6:$B$259=B26)*('Catalogo Maestro'!$G$6:$G$259&lt;&gt;"Opcional")*'Catalogo Maestro'!$I$6:$I$259*'Catalogo Maestro'!$J$6:$J$259)</f>
        <v>28.75</v>
      </c>
      <c r="F26" s="22">
        <f>E26*Parametros!$B$9</f>
        <v>20.125</v>
      </c>
      <c r="G26" s="15" t="s">
        <v>103</v>
      </c>
    </row>
    <row r="28" spans="1:7">
      <c r="A28" s="43" t="s">
        <v>144</v>
      </c>
      <c r="B28" s="43"/>
      <c r="C28" s="43"/>
      <c r="D28" s="43"/>
      <c r="E28" s="43"/>
      <c r="F28" s="43"/>
      <c r="G28" s="43"/>
    </row>
  </sheetData>
  <mergeCells count="3">
    <mergeCell ref="A1:G1"/>
    <mergeCell ref="A3:G3"/>
    <mergeCell ref="A28:G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59"/>
  <sheetViews>
    <sheetView topLeftCell="A77" workbookViewId="0">
      <selection activeCell="A49" sqref="A49"/>
    </sheetView>
  </sheetViews>
  <sheetFormatPr baseColWidth="10" defaultColWidth="9" defaultRowHeight="14.25"/>
  <cols>
    <col min="1" max="1" width="28" customWidth="1"/>
    <col min="2" max="2" width="14" customWidth="1"/>
    <col min="3" max="3" width="42" customWidth="1"/>
    <col min="4" max="4" width="18" customWidth="1"/>
    <col min="5" max="5" width="14" customWidth="1"/>
    <col min="6" max="6" width="46" customWidth="1"/>
    <col min="7" max="7" width="18" customWidth="1"/>
    <col min="8" max="8" width="14" customWidth="1"/>
    <col min="9" max="9" width="12" style="45" customWidth="1"/>
    <col min="10" max="10" width="16" style="45" customWidth="1"/>
    <col min="11" max="11" width="17" style="45" customWidth="1"/>
    <col min="12" max="12" width="58" customWidth="1"/>
    <col min="13" max="13" width="48" customWidth="1"/>
    <col min="14" max="14" width="28" customWidth="1"/>
    <col min="15" max="15" width="14" customWidth="1"/>
  </cols>
  <sheetData>
    <row r="1" spans="1:15" ht="33.950000000000003" customHeight="1">
      <c r="A1" s="36" t="s">
        <v>145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</row>
    <row r="3" spans="1:15" ht="33.950000000000003" customHeight="1">
      <c r="A3" s="37" t="s">
        <v>146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</row>
    <row r="5" spans="1:15" ht="27.95" customHeight="1">
      <c r="A5" s="6" t="s">
        <v>147</v>
      </c>
      <c r="B5" s="6" t="s">
        <v>148</v>
      </c>
      <c r="C5" s="6" t="s">
        <v>96</v>
      </c>
      <c r="D5" s="6" t="s">
        <v>149</v>
      </c>
      <c r="E5" s="6" t="s">
        <v>150</v>
      </c>
      <c r="F5" s="6" t="s">
        <v>151</v>
      </c>
      <c r="G5" s="6" t="s">
        <v>152</v>
      </c>
      <c r="H5" s="6" t="s">
        <v>54</v>
      </c>
      <c r="I5" s="6" t="s">
        <v>153</v>
      </c>
      <c r="J5" s="6" t="s">
        <v>154</v>
      </c>
      <c r="K5" s="6" t="s">
        <v>155</v>
      </c>
      <c r="L5" s="6" t="s">
        <v>156</v>
      </c>
      <c r="M5" s="6" t="s">
        <v>157</v>
      </c>
      <c r="N5" s="6" t="s">
        <v>158</v>
      </c>
      <c r="O5" s="6" t="s">
        <v>100</v>
      </c>
    </row>
    <row r="6" spans="1:15" ht="36">
      <c r="A6" s="8" t="s">
        <v>29</v>
      </c>
      <c r="B6" s="9" t="s">
        <v>101</v>
      </c>
      <c r="C6" s="9" t="s">
        <v>102</v>
      </c>
      <c r="D6" s="9" t="s">
        <v>159</v>
      </c>
      <c r="E6" s="9" t="s">
        <v>160</v>
      </c>
      <c r="F6" s="9" t="s">
        <v>161</v>
      </c>
      <c r="G6" s="9" t="s">
        <v>162</v>
      </c>
      <c r="H6" s="9" t="s">
        <v>163</v>
      </c>
      <c r="I6" s="46">
        <v>1</v>
      </c>
      <c r="J6" s="46">
        <v>1.5</v>
      </c>
      <c r="K6" s="46">
        <f>J6*Parametros!$B$9</f>
        <v>1.0499999999999998</v>
      </c>
      <c r="L6" s="9" t="s">
        <v>164</v>
      </c>
      <c r="M6" s="9" t="s">
        <v>165</v>
      </c>
      <c r="N6" s="9"/>
      <c r="O6" s="10" t="s">
        <v>103</v>
      </c>
    </row>
    <row r="7" spans="1:15" ht="36">
      <c r="A7" s="11" t="s">
        <v>29</v>
      </c>
      <c r="B7" s="7" t="s">
        <v>101</v>
      </c>
      <c r="C7" s="7" t="s">
        <v>102</v>
      </c>
      <c r="D7" s="7" t="s">
        <v>166</v>
      </c>
      <c r="E7" s="7" t="s">
        <v>167</v>
      </c>
      <c r="F7" s="7" t="s">
        <v>168</v>
      </c>
      <c r="G7" s="7" t="s">
        <v>162</v>
      </c>
      <c r="H7" s="7" t="s">
        <v>163</v>
      </c>
      <c r="I7" s="47">
        <v>1</v>
      </c>
      <c r="J7" s="47">
        <v>2</v>
      </c>
      <c r="K7" s="47">
        <f>J7*Parametros!$B$9</f>
        <v>1.4</v>
      </c>
      <c r="L7" s="7" t="s">
        <v>169</v>
      </c>
      <c r="M7" s="7" t="s">
        <v>170</v>
      </c>
      <c r="N7" s="7" t="s">
        <v>160</v>
      </c>
      <c r="O7" s="12" t="s">
        <v>103</v>
      </c>
    </row>
    <row r="8" spans="1:15" ht="24">
      <c r="A8" s="11" t="s">
        <v>29</v>
      </c>
      <c r="B8" s="7" t="s">
        <v>101</v>
      </c>
      <c r="C8" s="7" t="s">
        <v>102</v>
      </c>
      <c r="D8" s="7" t="s">
        <v>171</v>
      </c>
      <c r="E8" s="7" t="s">
        <v>172</v>
      </c>
      <c r="F8" s="7" t="s">
        <v>173</v>
      </c>
      <c r="G8" s="7" t="s">
        <v>162</v>
      </c>
      <c r="H8" s="7" t="s">
        <v>174</v>
      </c>
      <c r="I8" s="47">
        <v>1</v>
      </c>
      <c r="J8" s="47">
        <v>1.2</v>
      </c>
      <c r="K8" s="47">
        <f>J8*Parametros!$B$9</f>
        <v>0.84</v>
      </c>
      <c r="L8" s="7" t="s">
        <v>175</v>
      </c>
      <c r="M8" s="7" t="s">
        <v>176</v>
      </c>
      <c r="N8" s="7" t="s">
        <v>177</v>
      </c>
      <c r="O8" s="12" t="s">
        <v>103</v>
      </c>
    </row>
    <row r="9" spans="1:15" ht="24">
      <c r="A9" s="11" t="s">
        <v>29</v>
      </c>
      <c r="B9" s="7" t="s">
        <v>101</v>
      </c>
      <c r="C9" s="7" t="s">
        <v>102</v>
      </c>
      <c r="D9" s="7" t="s">
        <v>171</v>
      </c>
      <c r="E9" s="7" t="s">
        <v>178</v>
      </c>
      <c r="F9" s="7" t="s">
        <v>179</v>
      </c>
      <c r="G9" s="7" t="s">
        <v>162</v>
      </c>
      <c r="H9" s="7" t="s">
        <v>174</v>
      </c>
      <c r="I9" s="47">
        <v>1</v>
      </c>
      <c r="J9" s="47">
        <v>1.8</v>
      </c>
      <c r="K9" s="47">
        <f>J9*Parametros!$B$9</f>
        <v>1.26</v>
      </c>
      <c r="L9" s="7" t="s">
        <v>180</v>
      </c>
      <c r="M9" s="7" t="s">
        <v>181</v>
      </c>
      <c r="N9" s="7" t="s">
        <v>177</v>
      </c>
      <c r="O9" s="12" t="s">
        <v>103</v>
      </c>
    </row>
    <row r="10" spans="1:15" ht="24">
      <c r="A10" s="11" t="s">
        <v>29</v>
      </c>
      <c r="B10" s="7" t="s">
        <v>101</v>
      </c>
      <c r="C10" s="7" t="s">
        <v>102</v>
      </c>
      <c r="D10" s="7" t="s">
        <v>171</v>
      </c>
      <c r="E10" s="7" t="s">
        <v>182</v>
      </c>
      <c r="F10" s="7" t="s">
        <v>183</v>
      </c>
      <c r="G10" s="7" t="s">
        <v>184</v>
      </c>
      <c r="H10" s="7" t="s">
        <v>185</v>
      </c>
      <c r="I10" s="47">
        <v>1</v>
      </c>
      <c r="J10" s="47">
        <v>1</v>
      </c>
      <c r="K10" s="47">
        <f>J10*Parametros!$B$9</f>
        <v>0.7</v>
      </c>
      <c r="L10" s="7" t="s">
        <v>186</v>
      </c>
      <c r="M10" s="7" t="s">
        <v>187</v>
      </c>
      <c r="N10" s="7" t="s">
        <v>167</v>
      </c>
      <c r="O10" s="12" t="s">
        <v>103</v>
      </c>
    </row>
    <row r="11" spans="1:15" ht="24">
      <c r="A11" s="11" t="s">
        <v>29</v>
      </c>
      <c r="B11" s="7" t="s">
        <v>101</v>
      </c>
      <c r="C11" s="7" t="s">
        <v>102</v>
      </c>
      <c r="D11" s="7" t="s">
        <v>171</v>
      </c>
      <c r="E11" s="7" t="s">
        <v>188</v>
      </c>
      <c r="F11" s="7" t="s">
        <v>189</v>
      </c>
      <c r="G11" s="7" t="s">
        <v>184</v>
      </c>
      <c r="H11" s="7" t="s">
        <v>185</v>
      </c>
      <c r="I11" s="47">
        <v>1</v>
      </c>
      <c r="J11" s="47">
        <v>1</v>
      </c>
      <c r="K11" s="47">
        <f>J11*Parametros!$B$9</f>
        <v>0.7</v>
      </c>
      <c r="L11" s="7" t="s">
        <v>190</v>
      </c>
      <c r="M11" s="7" t="s">
        <v>191</v>
      </c>
      <c r="N11" s="7" t="s">
        <v>167</v>
      </c>
      <c r="O11" s="12" t="s">
        <v>103</v>
      </c>
    </row>
    <row r="12" spans="1:15" ht="24">
      <c r="A12" s="11" t="s">
        <v>29</v>
      </c>
      <c r="B12" s="7" t="s">
        <v>101</v>
      </c>
      <c r="C12" s="7" t="s">
        <v>102</v>
      </c>
      <c r="D12" s="7" t="s">
        <v>171</v>
      </c>
      <c r="E12" s="7" t="s">
        <v>192</v>
      </c>
      <c r="F12" s="7" t="s">
        <v>193</v>
      </c>
      <c r="G12" s="7" t="s">
        <v>194</v>
      </c>
      <c r="H12" s="7" t="s">
        <v>185</v>
      </c>
      <c r="I12" s="47">
        <v>1</v>
      </c>
      <c r="J12" s="47">
        <v>1.5</v>
      </c>
      <c r="K12" s="47">
        <f>J12*Parametros!$B$9</f>
        <v>1.0499999999999998</v>
      </c>
      <c r="L12" s="7" t="s">
        <v>195</v>
      </c>
      <c r="M12" s="7" t="s">
        <v>196</v>
      </c>
      <c r="N12" s="7" t="s">
        <v>167</v>
      </c>
      <c r="O12" s="12" t="s">
        <v>103</v>
      </c>
    </row>
    <row r="13" spans="1:15" ht="24">
      <c r="A13" s="11" t="s">
        <v>29</v>
      </c>
      <c r="B13" s="7" t="s">
        <v>101</v>
      </c>
      <c r="C13" s="7" t="s">
        <v>102</v>
      </c>
      <c r="D13" s="7" t="s">
        <v>171</v>
      </c>
      <c r="E13" s="7" t="s">
        <v>197</v>
      </c>
      <c r="F13" s="7" t="s">
        <v>198</v>
      </c>
      <c r="G13" s="7" t="s">
        <v>194</v>
      </c>
      <c r="H13" s="7" t="s">
        <v>185</v>
      </c>
      <c r="I13" s="47">
        <v>1</v>
      </c>
      <c r="J13" s="47">
        <v>1.5</v>
      </c>
      <c r="K13" s="47">
        <f>J13*Parametros!$B$9</f>
        <v>1.0499999999999998</v>
      </c>
      <c r="L13" s="7" t="s">
        <v>199</v>
      </c>
      <c r="M13" s="7" t="s">
        <v>200</v>
      </c>
      <c r="N13" s="7" t="s">
        <v>167</v>
      </c>
      <c r="O13" s="12" t="s">
        <v>103</v>
      </c>
    </row>
    <row r="14" spans="1:15" ht="24">
      <c r="A14" s="11" t="s">
        <v>29</v>
      </c>
      <c r="B14" s="7" t="s">
        <v>101</v>
      </c>
      <c r="C14" s="7" t="s">
        <v>102</v>
      </c>
      <c r="D14" s="7" t="s">
        <v>171</v>
      </c>
      <c r="E14" s="7" t="s">
        <v>201</v>
      </c>
      <c r="F14" s="7" t="s">
        <v>202</v>
      </c>
      <c r="G14" s="7" t="s">
        <v>194</v>
      </c>
      <c r="H14" s="7" t="s">
        <v>185</v>
      </c>
      <c r="I14" s="47">
        <v>1</v>
      </c>
      <c r="J14" s="47">
        <v>1</v>
      </c>
      <c r="K14" s="47">
        <f>J14*Parametros!$B$9</f>
        <v>0.7</v>
      </c>
      <c r="L14" s="7" t="s">
        <v>203</v>
      </c>
      <c r="M14" s="7" t="s">
        <v>204</v>
      </c>
      <c r="N14" s="7" t="s">
        <v>167</v>
      </c>
      <c r="O14" s="12" t="s">
        <v>103</v>
      </c>
    </row>
    <row r="15" spans="1:15" ht="24">
      <c r="A15" s="11" t="s">
        <v>29</v>
      </c>
      <c r="B15" s="7" t="s">
        <v>101</v>
      </c>
      <c r="C15" s="7" t="s">
        <v>102</v>
      </c>
      <c r="D15" s="7" t="s">
        <v>205</v>
      </c>
      <c r="E15" s="7" t="s">
        <v>206</v>
      </c>
      <c r="F15" s="7" t="s">
        <v>207</v>
      </c>
      <c r="G15" s="7" t="s">
        <v>194</v>
      </c>
      <c r="H15" s="7" t="s">
        <v>208</v>
      </c>
      <c r="I15" s="47">
        <v>1</v>
      </c>
      <c r="J15" s="47">
        <v>1</v>
      </c>
      <c r="K15" s="47">
        <f>J15*Parametros!$B$9</f>
        <v>0.7</v>
      </c>
      <c r="L15" s="7" t="s">
        <v>209</v>
      </c>
      <c r="M15" s="7" t="s">
        <v>210</v>
      </c>
      <c r="N15" s="7" t="s">
        <v>167</v>
      </c>
      <c r="O15" s="12" t="s">
        <v>103</v>
      </c>
    </row>
    <row r="16" spans="1:15" ht="24">
      <c r="A16" s="11" t="s">
        <v>29</v>
      </c>
      <c r="B16" s="7" t="s">
        <v>101</v>
      </c>
      <c r="C16" s="7" t="s">
        <v>102</v>
      </c>
      <c r="D16" s="7" t="s">
        <v>171</v>
      </c>
      <c r="E16" s="7" t="s">
        <v>211</v>
      </c>
      <c r="F16" s="7" t="s">
        <v>212</v>
      </c>
      <c r="G16" s="7" t="s">
        <v>162</v>
      </c>
      <c r="H16" s="7" t="s">
        <v>174</v>
      </c>
      <c r="I16" s="47">
        <v>1</v>
      </c>
      <c r="J16" s="47">
        <v>1</v>
      </c>
      <c r="K16" s="47">
        <f>J16*Parametros!$B$9</f>
        <v>0.7</v>
      </c>
      <c r="L16" s="7" t="s">
        <v>213</v>
      </c>
      <c r="M16" s="7" t="s">
        <v>214</v>
      </c>
      <c r="N16" s="7" t="s">
        <v>167</v>
      </c>
      <c r="O16" s="12" t="s">
        <v>103</v>
      </c>
    </row>
    <row r="17" spans="1:15" ht="24">
      <c r="A17" s="11" t="s">
        <v>29</v>
      </c>
      <c r="B17" s="7" t="s">
        <v>101</v>
      </c>
      <c r="C17" s="7" t="s">
        <v>102</v>
      </c>
      <c r="D17" s="7" t="s">
        <v>171</v>
      </c>
      <c r="E17" s="7" t="s">
        <v>215</v>
      </c>
      <c r="F17" s="7" t="s">
        <v>216</v>
      </c>
      <c r="G17" s="7" t="s">
        <v>194</v>
      </c>
      <c r="H17" s="7" t="s">
        <v>217</v>
      </c>
      <c r="I17" s="47">
        <v>1</v>
      </c>
      <c r="J17" s="47">
        <v>1.5</v>
      </c>
      <c r="K17" s="47">
        <f>J17*Parametros!$B$9</f>
        <v>1.0499999999999998</v>
      </c>
      <c r="L17" s="7" t="s">
        <v>218</v>
      </c>
      <c r="M17" s="7" t="s">
        <v>219</v>
      </c>
      <c r="N17" s="7" t="s">
        <v>220</v>
      </c>
      <c r="O17" s="12" t="s">
        <v>103</v>
      </c>
    </row>
    <row r="18" spans="1:15">
      <c r="A18" s="11" t="s">
        <v>29</v>
      </c>
      <c r="B18" s="7" t="s">
        <v>101</v>
      </c>
      <c r="C18" s="7" t="s">
        <v>102</v>
      </c>
      <c r="D18" s="7" t="s">
        <v>221</v>
      </c>
      <c r="E18" s="7" t="s">
        <v>222</v>
      </c>
      <c r="F18" s="7" t="s">
        <v>223</v>
      </c>
      <c r="G18" s="7" t="s">
        <v>194</v>
      </c>
      <c r="H18" s="7" t="s">
        <v>224</v>
      </c>
      <c r="I18" s="47">
        <v>1</v>
      </c>
      <c r="J18" s="47">
        <v>0.5</v>
      </c>
      <c r="K18" s="47">
        <f>J18*Parametros!$B$9</f>
        <v>0.35</v>
      </c>
      <c r="L18" s="7" t="s">
        <v>225</v>
      </c>
      <c r="M18" s="7" t="s">
        <v>226</v>
      </c>
      <c r="N18" s="7"/>
      <c r="O18" s="12" t="s">
        <v>103</v>
      </c>
    </row>
    <row r="19" spans="1:15">
      <c r="A19" s="11" t="s">
        <v>29</v>
      </c>
      <c r="B19" s="7" t="s">
        <v>101</v>
      </c>
      <c r="C19" s="7" t="s">
        <v>102</v>
      </c>
      <c r="D19" s="7" t="s">
        <v>221</v>
      </c>
      <c r="E19" s="7" t="s">
        <v>227</v>
      </c>
      <c r="F19" s="7" t="s">
        <v>228</v>
      </c>
      <c r="G19" s="7" t="s">
        <v>194</v>
      </c>
      <c r="H19" s="7" t="s">
        <v>224</v>
      </c>
      <c r="I19" s="47">
        <v>1</v>
      </c>
      <c r="J19" s="47">
        <v>0.5</v>
      </c>
      <c r="K19" s="47">
        <f>J19*Parametros!$B$9</f>
        <v>0.35</v>
      </c>
      <c r="L19" s="7" t="s">
        <v>229</v>
      </c>
      <c r="M19" s="7" t="s">
        <v>230</v>
      </c>
      <c r="N19" s="7"/>
      <c r="O19" s="12" t="s">
        <v>103</v>
      </c>
    </row>
    <row r="20" spans="1:15" ht="24">
      <c r="A20" s="11" t="s">
        <v>29</v>
      </c>
      <c r="B20" s="7" t="s">
        <v>101</v>
      </c>
      <c r="C20" s="7" t="s">
        <v>102</v>
      </c>
      <c r="D20" s="7" t="s">
        <v>221</v>
      </c>
      <c r="E20" s="7" t="s">
        <v>231</v>
      </c>
      <c r="F20" s="7" t="s">
        <v>232</v>
      </c>
      <c r="G20" s="7" t="s">
        <v>194</v>
      </c>
      <c r="H20" s="7" t="s">
        <v>224</v>
      </c>
      <c r="I20" s="47">
        <v>1</v>
      </c>
      <c r="J20" s="47">
        <v>0.5</v>
      </c>
      <c r="K20" s="47">
        <f>J20*Parametros!$B$9</f>
        <v>0.35</v>
      </c>
      <c r="L20" s="7" t="s">
        <v>233</v>
      </c>
      <c r="M20" s="7" t="s">
        <v>234</v>
      </c>
      <c r="N20" s="7"/>
      <c r="O20" s="12" t="s">
        <v>103</v>
      </c>
    </row>
    <row r="21" spans="1:15" ht="24">
      <c r="A21" s="11" t="s">
        <v>29</v>
      </c>
      <c r="B21" s="7" t="s">
        <v>101</v>
      </c>
      <c r="C21" s="7" t="s">
        <v>102</v>
      </c>
      <c r="D21" s="7" t="s">
        <v>235</v>
      </c>
      <c r="E21" s="7" t="s">
        <v>236</v>
      </c>
      <c r="F21" s="7" t="s">
        <v>237</v>
      </c>
      <c r="G21" s="7" t="s">
        <v>184</v>
      </c>
      <c r="H21" s="7" t="s">
        <v>163</v>
      </c>
      <c r="I21" s="47">
        <v>1</v>
      </c>
      <c r="J21" s="47">
        <v>1.2</v>
      </c>
      <c r="K21" s="47">
        <f>J21*Parametros!$B$9</f>
        <v>0.84</v>
      </c>
      <c r="L21" s="7" t="s">
        <v>238</v>
      </c>
      <c r="M21" s="7" t="s">
        <v>239</v>
      </c>
      <c r="N21" s="7" t="s">
        <v>160</v>
      </c>
      <c r="O21" s="12" t="s">
        <v>103</v>
      </c>
    </row>
    <row r="22" spans="1:15" ht="36">
      <c r="A22" s="11" t="s">
        <v>29</v>
      </c>
      <c r="B22" s="7" t="s">
        <v>101</v>
      </c>
      <c r="C22" s="7" t="s">
        <v>102</v>
      </c>
      <c r="D22" s="7" t="s">
        <v>240</v>
      </c>
      <c r="E22" s="7" t="s">
        <v>241</v>
      </c>
      <c r="F22" s="7" t="s">
        <v>242</v>
      </c>
      <c r="G22" s="7" t="s">
        <v>162</v>
      </c>
      <c r="H22" s="7" t="s">
        <v>163</v>
      </c>
      <c r="I22" s="47">
        <v>1</v>
      </c>
      <c r="J22" s="47">
        <v>2</v>
      </c>
      <c r="K22" s="47">
        <f>J22*Parametros!$B$9</f>
        <v>1.4</v>
      </c>
      <c r="L22" s="7" t="s">
        <v>243</v>
      </c>
      <c r="M22" s="7" t="s">
        <v>244</v>
      </c>
      <c r="N22" s="7" t="s">
        <v>245</v>
      </c>
      <c r="O22" s="12" t="s">
        <v>103</v>
      </c>
    </row>
    <row r="23" spans="1:15" ht="24">
      <c r="A23" s="11" t="s">
        <v>29</v>
      </c>
      <c r="B23" s="7" t="s">
        <v>101</v>
      </c>
      <c r="C23" s="7" t="s">
        <v>102</v>
      </c>
      <c r="D23" s="7" t="s">
        <v>246</v>
      </c>
      <c r="E23" s="7" t="s">
        <v>247</v>
      </c>
      <c r="F23" s="7" t="s">
        <v>248</v>
      </c>
      <c r="G23" s="7" t="s">
        <v>184</v>
      </c>
      <c r="H23" s="7" t="s">
        <v>163</v>
      </c>
      <c r="I23" s="47">
        <v>1</v>
      </c>
      <c r="J23" s="47">
        <v>1.5</v>
      </c>
      <c r="K23" s="47">
        <f>J23*Parametros!$B$9</f>
        <v>1.0499999999999998</v>
      </c>
      <c r="L23" s="7" t="s">
        <v>249</v>
      </c>
      <c r="M23" s="7" t="s">
        <v>250</v>
      </c>
      <c r="N23" s="7" t="s">
        <v>160</v>
      </c>
      <c r="O23" s="12" t="s">
        <v>103</v>
      </c>
    </row>
    <row r="24" spans="1:15" ht="24">
      <c r="A24" s="11" t="s">
        <v>29</v>
      </c>
      <c r="B24" s="7" t="s">
        <v>101</v>
      </c>
      <c r="C24" s="7" t="s">
        <v>102</v>
      </c>
      <c r="D24" s="7" t="s">
        <v>251</v>
      </c>
      <c r="E24" s="7" t="s">
        <v>252</v>
      </c>
      <c r="F24" s="7" t="s">
        <v>253</v>
      </c>
      <c r="G24" s="7" t="s">
        <v>184</v>
      </c>
      <c r="H24" s="7" t="s">
        <v>163</v>
      </c>
      <c r="I24" s="47">
        <v>1</v>
      </c>
      <c r="J24" s="47">
        <v>1.5</v>
      </c>
      <c r="K24" s="47">
        <f>J24*Parametros!$B$9</f>
        <v>1.0499999999999998</v>
      </c>
      <c r="L24" s="7" t="s">
        <v>254</v>
      </c>
      <c r="M24" s="7" t="s">
        <v>255</v>
      </c>
      <c r="N24" s="7" t="s">
        <v>256</v>
      </c>
      <c r="O24" s="12" t="s">
        <v>103</v>
      </c>
    </row>
    <row r="25" spans="1:15" ht="24">
      <c r="A25" s="11" t="s">
        <v>29</v>
      </c>
      <c r="B25" s="7" t="s">
        <v>101</v>
      </c>
      <c r="C25" s="7" t="s">
        <v>102</v>
      </c>
      <c r="D25" s="7" t="s">
        <v>257</v>
      </c>
      <c r="E25" s="7" t="s">
        <v>258</v>
      </c>
      <c r="F25" s="7" t="s">
        <v>259</v>
      </c>
      <c r="G25" s="7" t="s">
        <v>194</v>
      </c>
      <c r="H25" s="7" t="s">
        <v>163</v>
      </c>
      <c r="I25" s="47">
        <v>1</v>
      </c>
      <c r="J25" s="47">
        <v>0.6</v>
      </c>
      <c r="K25" s="47">
        <f>J25*Parametros!$B$9</f>
        <v>0.42</v>
      </c>
      <c r="L25" s="7" t="s">
        <v>260</v>
      </c>
      <c r="M25" s="7" t="s">
        <v>261</v>
      </c>
      <c r="N25" s="7"/>
      <c r="O25" s="12" t="s">
        <v>103</v>
      </c>
    </row>
    <row r="26" spans="1:15" ht="36">
      <c r="A26" s="11" t="s">
        <v>29</v>
      </c>
      <c r="B26" s="7" t="s">
        <v>101</v>
      </c>
      <c r="C26" s="7" t="s">
        <v>102</v>
      </c>
      <c r="D26" s="7" t="s">
        <v>240</v>
      </c>
      <c r="E26" s="7" t="s">
        <v>262</v>
      </c>
      <c r="F26" s="7" t="s">
        <v>263</v>
      </c>
      <c r="G26" s="7" t="s">
        <v>162</v>
      </c>
      <c r="H26" s="7" t="s">
        <v>163</v>
      </c>
      <c r="I26" s="47">
        <v>1</v>
      </c>
      <c r="J26" s="47">
        <v>1.5</v>
      </c>
      <c r="K26" s="47">
        <f>J26*Parametros!$B$9</f>
        <v>1.0499999999999998</v>
      </c>
      <c r="L26" s="7" t="s">
        <v>264</v>
      </c>
      <c r="M26" s="7" t="s">
        <v>265</v>
      </c>
      <c r="N26" s="7" t="s">
        <v>241</v>
      </c>
      <c r="O26" s="12" t="s">
        <v>103</v>
      </c>
    </row>
    <row r="27" spans="1:15" ht="24">
      <c r="A27" s="11" t="s">
        <v>29</v>
      </c>
      <c r="B27" s="7" t="s">
        <v>101</v>
      </c>
      <c r="C27" s="7" t="s">
        <v>102</v>
      </c>
      <c r="D27" s="7" t="s">
        <v>266</v>
      </c>
      <c r="E27" s="7" t="s">
        <v>267</v>
      </c>
      <c r="F27" s="7" t="s">
        <v>268</v>
      </c>
      <c r="G27" s="7" t="s">
        <v>162</v>
      </c>
      <c r="H27" s="7" t="s">
        <v>163</v>
      </c>
      <c r="I27" s="47">
        <v>1</v>
      </c>
      <c r="J27" s="47">
        <v>1.5</v>
      </c>
      <c r="K27" s="47">
        <f>J27*Parametros!$B$9</f>
        <v>1.0499999999999998</v>
      </c>
      <c r="L27" s="7" t="s">
        <v>269</v>
      </c>
      <c r="M27" s="7" t="s">
        <v>270</v>
      </c>
      <c r="N27" s="7" t="s">
        <v>262</v>
      </c>
      <c r="O27" s="12" t="s">
        <v>103</v>
      </c>
    </row>
    <row r="28" spans="1:15" ht="24">
      <c r="A28" s="11" t="s">
        <v>29</v>
      </c>
      <c r="B28" s="7" t="s">
        <v>104</v>
      </c>
      <c r="C28" s="7" t="s">
        <v>105</v>
      </c>
      <c r="D28" s="7" t="s">
        <v>159</v>
      </c>
      <c r="E28" s="7" t="s">
        <v>271</v>
      </c>
      <c r="F28" s="7" t="s">
        <v>272</v>
      </c>
      <c r="G28" s="7" t="s">
        <v>162</v>
      </c>
      <c r="H28" s="7" t="s">
        <v>163</v>
      </c>
      <c r="I28" s="47">
        <v>1</v>
      </c>
      <c r="J28" s="47">
        <v>1.5</v>
      </c>
      <c r="K28" s="47">
        <f>J28*Parametros!$B$9</f>
        <v>1.0499999999999998</v>
      </c>
      <c r="L28" s="7" t="s">
        <v>273</v>
      </c>
      <c r="M28" s="7" t="s">
        <v>274</v>
      </c>
      <c r="N28" s="7"/>
      <c r="O28" s="12" t="s">
        <v>103</v>
      </c>
    </row>
    <row r="29" spans="1:15" ht="24">
      <c r="A29" s="11" t="s">
        <v>29</v>
      </c>
      <c r="B29" s="7" t="s">
        <v>104</v>
      </c>
      <c r="C29" s="7" t="s">
        <v>105</v>
      </c>
      <c r="D29" s="7" t="s">
        <v>275</v>
      </c>
      <c r="E29" s="7" t="s">
        <v>276</v>
      </c>
      <c r="F29" s="7" t="s">
        <v>277</v>
      </c>
      <c r="G29" s="7" t="s">
        <v>162</v>
      </c>
      <c r="H29" s="7" t="s">
        <v>163</v>
      </c>
      <c r="I29" s="47">
        <v>1</v>
      </c>
      <c r="J29" s="47">
        <v>2.5</v>
      </c>
      <c r="K29" s="47">
        <f>J29*Parametros!$B$9</f>
        <v>1.75</v>
      </c>
      <c r="L29" s="7" t="s">
        <v>278</v>
      </c>
      <c r="M29" s="7" t="s">
        <v>279</v>
      </c>
      <c r="N29" s="7" t="s">
        <v>271</v>
      </c>
      <c r="O29" s="12" t="s">
        <v>103</v>
      </c>
    </row>
    <row r="30" spans="1:15" ht="24">
      <c r="A30" s="11" t="s">
        <v>29</v>
      </c>
      <c r="B30" s="7" t="s">
        <v>104</v>
      </c>
      <c r="C30" s="7" t="s">
        <v>105</v>
      </c>
      <c r="D30" s="7" t="s">
        <v>280</v>
      </c>
      <c r="E30" s="7" t="s">
        <v>281</v>
      </c>
      <c r="F30" s="7" t="s">
        <v>282</v>
      </c>
      <c r="G30" s="7" t="s">
        <v>184</v>
      </c>
      <c r="H30" s="7" t="s">
        <v>283</v>
      </c>
      <c r="I30" s="47">
        <v>2</v>
      </c>
      <c r="J30" s="47">
        <v>1</v>
      </c>
      <c r="K30" s="47">
        <f>J30*Parametros!$B$9</f>
        <v>0.7</v>
      </c>
      <c r="L30" s="7" t="s">
        <v>284</v>
      </c>
      <c r="M30" s="7" t="s">
        <v>285</v>
      </c>
      <c r="N30" s="7" t="s">
        <v>271</v>
      </c>
      <c r="O30" s="12" t="s">
        <v>103</v>
      </c>
    </row>
    <row r="31" spans="1:15" ht="24">
      <c r="A31" s="11" t="s">
        <v>29</v>
      </c>
      <c r="B31" s="7" t="s">
        <v>104</v>
      </c>
      <c r="C31" s="7" t="s">
        <v>105</v>
      </c>
      <c r="D31" s="7" t="s">
        <v>275</v>
      </c>
      <c r="E31" s="7" t="s">
        <v>286</v>
      </c>
      <c r="F31" s="7" t="s">
        <v>287</v>
      </c>
      <c r="G31" s="7" t="s">
        <v>162</v>
      </c>
      <c r="H31" s="7" t="s">
        <v>163</v>
      </c>
      <c r="I31" s="47">
        <v>1</v>
      </c>
      <c r="J31" s="47">
        <v>2</v>
      </c>
      <c r="K31" s="47">
        <f>J31*Parametros!$B$9</f>
        <v>1.4</v>
      </c>
      <c r="L31" s="7" t="s">
        <v>288</v>
      </c>
      <c r="M31" s="7" t="s">
        <v>289</v>
      </c>
      <c r="N31" s="7" t="s">
        <v>271</v>
      </c>
      <c r="O31" s="12" t="s">
        <v>103</v>
      </c>
    </row>
    <row r="32" spans="1:15" ht="24">
      <c r="A32" s="11" t="s">
        <v>29</v>
      </c>
      <c r="B32" s="7" t="s">
        <v>104</v>
      </c>
      <c r="C32" s="7" t="s">
        <v>105</v>
      </c>
      <c r="D32" s="7" t="s">
        <v>290</v>
      </c>
      <c r="E32" s="7" t="s">
        <v>291</v>
      </c>
      <c r="F32" s="7" t="s">
        <v>292</v>
      </c>
      <c r="G32" s="7" t="s">
        <v>184</v>
      </c>
      <c r="H32" s="7" t="s">
        <v>293</v>
      </c>
      <c r="I32" s="47">
        <v>3</v>
      </c>
      <c r="J32" s="47">
        <v>1</v>
      </c>
      <c r="K32" s="47">
        <f>J32*Parametros!$B$9</f>
        <v>0.7</v>
      </c>
      <c r="L32" s="7" t="s">
        <v>294</v>
      </c>
      <c r="M32" s="7" t="s">
        <v>295</v>
      </c>
      <c r="N32" s="7" t="s">
        <v>271</v>
      </c>
      <c r="O32" s="12" t="s">
        <v>103</v>
      </c>
    </row>
    <row r="33" spans="1:15" ht="24">
      <c r="A33" s="11" t="s">
        <v>29</v>
      </c>
      <c r="B33" s="7" t="s">
        <v>104</v>
      </c>
      <c r="C33" s="7" t="s">
        <v>105</v>
      </c>
      <c r="D33" s="7" t="s">
        <v>296</v>
      </c>
      <c r="E33" s="7" t="s">
        <v>297</v>
      </c>
      <c r="F33" s="7" t="s">
        <v>298</v>
      </c>
      <c r="G33" s="7" t="s">
        <v>162</v>
      </c>
      <c r="H33" s="7" t="s">
        <v>163</v>
      </c>
      <c r="I33" s="47">
        <v>1</v>
      </c>
      <c r="J33" s="47">
        <v>2.5</v>
      </c>
      <c r="K33" s="47">
        <f>J33*Parametros!$B$9</f>
        <v>1.75</v>
      </c>
      <c r="L33" s="7" t="s">
        <v>299</v>
      </c>
      <c r="M33" s="7" t="s">
        <v>300</v>
      </c>
      <c r="N33" s="7" t="s">
        <v>301</v>
      </c>
      <c r="O33" s="12" t="s">
        <v>103</v>
      </c>
    </row>
    <row r="34" spans="1:15" ht="24">
      <c r="A34" s="11" t="s">
        <v>29</v>
      </c>
      <c r="B34" s="7" t="s">
        <v>104</v>
      </c>
      <c r="C34" s="7" t="s">
        <v>105</v>
      </c>
      <c r="D34" s="7" t="s">
        <v>296</v>
      </c>
      <c r="E34" s="7" t="s">
        <v>302</v>
      </c>
      <c r="F34" s="7" t="s">
        <v>303</v>
      </c>
      <c r="G34" s="7" t="s">
        <v>184</v>
      </c>
      <c r="H34" s="7" t="s">
        <v>293</v>
      </c>
      <c r="I34" s="47">
        <v>3</v>
      </c>
      <c r="J34" s="47">
        <v>2.5</v>
      </c>
      <c r="K34" s="47">
        <f>J34*Parametros!$B$9</f>
        <v>1.75</v>
      </c>
      <c r="L34" s="7" t="s">
        <v>304</v>
      </c>
      <c r="M34" s="7" t="s">
        <v>305</v>
      </c>
      <c r="N34" s="7" t="s">
        <v>306</v>
      </c>
      <c r="O34" s="12" t="s">
        <v>103</v>
      </c>
    </row>
    <row r="35" spans="1:15">
      <c r="A35" s="11" t="s">
        <v>29</v>
      </c>
      <c r="B35" s="7" t="s">
        <v>104</v>
      </c>
      <c r="C35" s="7" t="s">
        <v>105</v>
      </c>
      <c r="D35" s="7" t="s">
        <v>296</v>
      </c>
      <c r="E35" s="7" t="s">
        <v>307</v>
      </c>
      <c r="F35" s="7" t="s">
        <v>308</v>
      </c>
      <c r="G35" s="7" t="s">
        <v>194</v>
      </c>
      <c r="H35" s="7" t="s">
        <v>309</v>
      </c>
      <c r="I35" s="47">
        <v>1</v>
      </c>
      <c r="J35" s="47">
        <v>3.5</v>
      </c>
      <c r="K35" s="47">
        <f>J35*Parametros!$B$9</f>
        <v>2.4499999999999997</v>
      </c>
      <c r="L35" s="7" t="s">
        <v>310</v>
      </c>
      <c r="M35" s="7" t="s">
        <v>311</v>
      </c>
      <c r="N35" s="7" t="s">
        <v>276</v>
      </c>
      <c r="O35" s="12" t="s">
        <v>103</v>
      </c>
    </row>
    <row r="36" spans="1:15" ht="24">
      <c r="A36" s="11" t="s">
        <v>29</v>
      </c>
      <c r="B36" s="7" t="s">
        <v>104</v>
      </c>
      <c r="C36" s="7" t="s">
        <v>105</v>
      </c>
      <c r="D36" s="7" t="s">
        <v>312</v>
      </c>
      <c r="E36" s="7" t="s">
        <v>313</v>
      </c>
      <c r="F36" s="7" t="s">
        <v>314</v>
      </c>
      <c r="G36" s="7" t="s">
        <v>184</v>
      </c>
      <c r="H36" s="7" t="s">
        <v>315</v>
      </c>
      <c r="I36" s="47">
        <v>3</v>
      </c>
      <c r="J36" s="47">
        <v>2.2999999999999998</v>
      </c>
      <c r="K36" s="47">
        <f>J36*Parametros!$B$9</f>
        <v>1.6099999999999999</v>
      </c>
      <c r="L36" s="7" t="s">
        <v>316</v>
      </c>
      <c r="M36" s="7" t="s">
        <v>317</v>
      </c>
      <c r="N36" s="7" t="s">
        <v>276</v>
      </c>
      <c r="O36" s="12" t="s">
        <v>103</v>
      </c>
    </row>
    <row r="37" spans="1:15" ht="24">
      <c r="A37" s="11" t="s">
        <v>29</v>
      </c>
      <c r="B37" s="7" t="s">
        <v>104</v>
      </c>
      <c r="C37" s="7" t="s">
        <v>105</v>
      </c>
      <c r="D37" s="7" t="s">
        <v>280</v>
      </c>
      <c r="E37" s="7" t="s">
        <v>318</v>
      </c>
      <c r="F37" s="7" t="s">
        <v>319</v>
      </c>
      <c r="G37" s="7" t="s">
        <v>162</v>
      </c>
      <c r="H37" s="7" t="s">
        <v>320</v>
      </c>
      <c r="I37" s="47">
        <v>1</v>
      </c>
      <c r="J37" s="47">
        <v>2.5</v>
      </c>
      <c r="K37" s="47">
        <f>J37*Parametros!$B$9</f>
        <v>1.75</v>
      </c>
      <c r="L37" s="7" t="s">
        <v>321</v>
      </c>
      <c r="M37" s="7" t="s">
        <v>322</v>
      </c>
      <c r="N37" s="7" t="s">
        <v>323</v>
      </c>
      <c r="O37" s="12" t="s">
        <v>103</v>
      </c>
    </row>
    <row r="38" spans="1:15" ht="24">
      <c r="A38" s="11" t="s">
        <v>29</v>
      </c>
      <c r="B38" s="7" t="s">
        <v>104</v>
      </c>
      <c r="C38" s="7" t="s">
        <v>105</v>
      </c>
      <c r="D38" s="7" t="s">
        <v>280</v>
      </c>
      <c r="E38" s="7" t="s">
        <v>324</v>
      </c>
      <c r="F38" s="7" t="s">
        <v>325</v>
      </c>
      <c r="G38" s="7" t="s">
        <v>184</v>
      </c>
      <c r="H38" s="7" t="s">
        <v>283</v>
      </c>
      <c r="I38" s="47">
        <v>2</v>
      </c>
      <c r="J38" s="47">
        <v>1.5</v>
      </c>
      <c r="K38" s="47">
        <f>J38*Parametros!$B$9</f>
        <v>1.0499999999999998</v>
      </c>
      <c r="L38" s="7" t="s">
        <v>326</v>
      </c>
      <c r="M38" s="7" t="s">
        <v>327</v>
      </c>
      <c r="N38" s="7" t="s">
        <v>328</v>
      </c>
      <c r="O38" s="12" t="s">
        <v>103</v>
      </c>
    </row>
    <row r="39" spans="1:15" ht="24">
      <c r="A39" s="11" t="s">
        <v>29</v>
      </c>
      <c r="B39" s="7" t="s">
        <v>104</v>
      </c>
      <c r="C39" s="7" t="s">
        <v>105</v>
      </c>
      <c r="D39" s="7" t="s">
        <v>329</v>
      </c>
      <c r="E39" s="7" t="s">
        <v>330</v>
      </c>
      <c r="F39" s="7" t="s">
        <v>331</v>
      </c>
      <c r="G39" s="7" t="s">
        <v>184</v>
      </c>
      <c r="H39" s="7" t="s">
        <v>332</v>
      </c>
      <c r="I39" s="47">
        <v>2</v>
      </c>
      <c r="J39" s="47">
        <v>3</v>
      </c>
      <c r="K39" s="47">
        <f>J39*Parametros!$B$9</f>
        <v>2.0999999999999996</v>
      </c>
      <c r="L39" s="7" t="s">
        <v>333</v>
      </c>
      <c r="M39" s="7" t="s">
        <v>334</v>
      </c>
      <c r="N39" s="7" t="s">
        <v>313</v>
      </c>
      <c r="O39" s="12" t="s">
        <v>103</v>
      </c>
    </row>
    <row r="40" spans="1:15">
      <c r="A40" s="11" t="s">
        <v>29</v>
      </c>
      <c r="B40" s="7" t="s">
        <v>104</v>
      </c>
      <c r="C40" s="7" t="s">
        <v>105</v>
      </c>
      <c r="D40" s="7" t="s">
        <v>335</v>
      </c>
      <c r="E40" s="7" t="s">
        <v>336</v>
      </c>
      <c r="F40" s="7" t="s">
        <v>337</v>
      </c>
      <c r="G40" s="7" t="s">
        <v>194</v>
      </c>
      <c r="H40" s="7" t="s">
        <v>338</v>
      </c>
      <c r="I40" s="47">
        <v>1</v>
      </c>
      <c r="J40" s="47">
        <v>1</v>
      </c>
      <c r="K40" s="47">
        <f>J40*Parametros!$B$9</f>
        <v>0.7</v>
      </c>
      <c r="L40" s="7" t="s">
        <v>339</v>
      </c>
      <c r="M40" s="7" t="s">
        <v>340</v>
      </c>
      <c r="N40" s="7" t="s">
        <v>313</v>
      </c>
      <c r="O40" s="12" t="s">
        <v>103</v>
      </c>
    </row>
    <row r="41" spans="1:15" ht="24">
      <c r="A41" s="11" t="s">
        <v>29</v>
      </c>
      <c r="B41" s="7" t="s">
        <v>104</v>
      </c>
      <c r="C41" s="7" t="s">
        <v>105</v>
      </c>
      <c r="D41" s="7" t="s">
        <v>341</v>
      </c>
      <c r="E41" s="7" t="s">
        <v>342</v>
      </c>
      <c r="F41" s="7" t="s">
        <v>343</v>
      </c>
      <c r="G41" s="7" t="s">
        <v>194</v>
      </c>
      <c r="H41" s="7" t="s">
        <v>344</v>
      </c>
      <c r="I41" s="47">
        <v>1</v>
      </c>
      <c r="J41" s="47">
        <v>1.5</v>
      </c>
      <c r="K41" s="47">
        <f>J41*Parametros!$B$9</f>
        <v>1.0499999999999998</v>
      </c>
      <c r="L41" s="7" t="s">
        <v>345</v>
      </c>
      <c r="M41" s="7" t="s">
        <v>346</v>
      </c>
      <c r="N41" s="7" t="s">
        <v>313</v>
      </c>
      <c r="O41" s="12" t="s">
        <v>103</v>
      </c>
    </row>
    <row r="42" spans="1:15" ht="24">
      <c r="A42" s="11" t="s">
        <v>29</v>
      </c>
      <c r="B42" s="7" t="s">
        <v>104</v>
      </c>
      <c r="C42" s="7" t="s">
        <v>105</v>
      </c>
      <c r="D42" s="7" t="s">
        <v>347</v>
      </c>
      <c r="E42" s="7" t="s">
        <v>348</v>
      </c>
      <c r="F42" s="7" t="s">
        <v>349</v>
      </c>
      <c r="G42" s="7" t="s">
        <v>194</v>
      </c>
      <c r="H42" s="7" t="s">
        <v>350</v>
      </c>
      <c r="I42" s="47">
        <v>1</v>
      </c>
      <c r="J42" s="47">
        <v>2.5</v>
      </c>
      <c r="K42" s="47">
        <f>J42*Parametros!$B$9</f>
        <v>1.75</v>
      </c>
      <c r="L42" s="7" t="s">
        <v>351</v>
      </c>
      <c r="M42" s="7" t="s">
        <v>352</v>
      </c>
      <c r="N42" s="7" t="s">
        <v>276</v>
      </c>
      <c r="O42" s="12" t="s">
        <v>103</v>
      </c>
    </row>
    <row r="43" spans="1:15" ht="24">
      <c r="A43" s="11" t="s">
        <v>29</v>
      </c>
      <c r="B43" s="7" t="s">
        <v>104</v>
      </c>
      <c r="C43" s="7" t="s">
        <v>105</v>
      </c>
      <c r="D43" s="7" t="s">
        <v>240</v>
      </c>
      <c r="E43" s="7" t="s">
        <v>353</v>
      </c>
      <c r="F43" s="7" t="s">
        <v>354</v>
      </c>
      <c r="G43" s="7" t="s">
        <v>162</v>
      </c>
      <c r="H43" s="7" t="s">
        <v>163</v>
      </c>
      <c r="I43" s="47">
        <v>1</v>
      </c>
      <c r="J43" s="47">
        <v>2.5</v>
      </c>
      <c r="K43" s="47">
        <f>J43*Parametros!$B$9</f>
        <v>1.75</v>
      </c>
      <c r="L43" s="7" t="s">
        <v>355</v>
      </c>
      <c r="M43" s="7" t="s">
        <v>356</v>
      </c>
      <c r="N43" s="7" t="s">
        <v>357</v>
      </c>
      <c r="O43" s="12" t="s">
        <v>103</v>
      </c>
    </row>
    <row r="44" spans="1:15" ht="24">
      <c r="A44" s="11" t="s">
        <v>29</v>
      </c>
      <c r="B44" s="7" t="s">
        <v>104</v>
      </c>
      <c r="C44" s="7" t="s">
        <v>105</v>
      </c>
      <c r="D44" s="7" t="s">
        <v>358</v>
      </c>
      <c r="E44" s="7" t="s">
        <v>359</v>
      </c>
      <c r="F44" s="7" t="s">
        <v>360</v>
      </c>
      <c r="G44" s="7" t="s">
        <v>162</v>
      </c>
      <c r="H44" s="7" t="s">
        <v>361</v>
      </c>
      <c r="I44" s="47">
        <v>1</v>
      </c>
      <c r="J44" s="47">
        <v>1.5</v>
      </c>
      <c r="K44" s="47">
        <f>J44*Parametros!$B$9</f>
        <v>1.0499999999999998</v>
      </c>
      <c r="L44" s="7" t="s">
        <v>362</v>
      </c>
      <c r="M44" s="7" t="s">
        <v>363</v>
      </c>
      <c r="N44" s="7" t="s">
        <v>353</v>
      </c>
      <c r="O44" s="12" t="s">
        <v>103</v>
      </c>
    </row>
    <row r="45" spans="1:15" ht="24">
      <c r="A45" s="11" t="s">
        <v>29</v>
      </c>
      <c r="B45" s="7" t="s">
        <v>104</v>
      </c>
      <c r="C45" s="7" t="s">
        <v>105</v>
      </c>
      <c r="D45" s="7" t="s">
        <v>364</v>
      </c>
      <c r="E45" s="7" t="s">
        <v>365</v>
      </c>
      <c r="F45" s="7" t="s">
        <v>366</v>
      </c>
      <c r="G45" s="7" t="s">
        <v>184</v>
      </c>
      <c r="H45" s="7" t="s">
        <v>163</v>
      </c>
      <c r="I45" s="47">
        <v>1</v>
      </c>
      <c r="J45" s="47">
        <v>1.5</v>
      </c>
      <c r="K45" s="47">
        <f>J45*Parametros!$B$9</f>
        <v>1.0499999999999998</v>
      </c>
      <c r="L45" s="7" t="s">
        <v>367</v>
      </c>
      <c r="M45" s="7" t="s">
        <v>368</v>
      </c>
      <c r="N45" s="7" t="s">
        <v>359</v>
      </c>
      <c r="O45" s="12" t="s">
        <v>103</v>
      </c>
    </row>
    <row r="46" spans="1:15" ht="36">
      <c r="A46" s="11" t="s">
        <v>29</v>
      </c>
      <c r="B46" s="7" t="s">
        <v>106</v>
      </c>
      <c r="C46" s="7" t="s">
        <v>107</v>
      </c>
      <c r="D46" s="7" t="s">
        <v>159</v>
      </c>
      <c r="E46" s="7" t="s">
        <v>369</v>
      </c>
      <c r="F46" s="7" t="s">
        <v>370</v>
      </c>
      <c r="G46" s="7" t="s">
        <v>162</v>
      </c>
      <c r="H46" s="7" t="s">
        <v>224</v>
      </c>
      <c r="I46" s="47">
        <v>1</v>
      </c>
      <c r="J46" s="47">
        <v>3</v>
      </c>
      <c r="K46" s="47">
        <f>J46*Parametros!$B$9</f>
        <v>2.0999999999999996</v>
      </c>
      <c r="L46" s="7" t="s">
        <v>371</v>
      </c>
      <c r="M46" s="7" t="s">
        <v>372</v>
      </c>
      <c r="N46" s="7"/>
      <c r="O46" s="12" t="s">
        <v>103</v>
      </c>
    </row>
    <row r="47" spans="1:15">
      <c r="A47" s="11" t="s">
        <v>29</v>
      </c>
      <c r="B47" s="7" t="s">
        <v>106</v>
      </c>
      <c r="C47" s="7" t="s">
        <v>107</v>
      </c>
      <c r="D47" s="7" t="s">
        <v>166</v>
      </c>
      <c r="E47" s="7" t="s">
        <v>373</v>
      </c>
      <c r="F47" s="7" t="s">
        <v>374</v>
      </c>
      <c r="G47" s="7" t="s">
        <v>162</v>
      </c>
      <c r="H47" s="7" t="s">
        <v>361</v>
      </c>
      <c r="I47" s="47">
        <v>1</v>
      </c>
      <c r="J47" s="47">
        <v>1</v>
      </c>
      <c r="K47" s="47">
        <f>J47*Parametros!$B$9</f>
        <v>0.7</v>
      </c>
      <c r="L47" s="7" t="s">
        <v>375</v>
      </c>
      <c r="M47" s="7" t="s">
        <v>376</v>
      </c>
      <c r="N47" s="7" t="s">
        <v>369</v>
      </c>
      <c r="O47" s="12" t="s">
        <v>103</v>
      </c>
    </row>
    <row r="48" spans="1:15" ht="24">
      <c r="A48" s="11" t="s">
        <v>29</v>
      </c>
      <c r="B48" s="7" t="s">
        <v>106</v>
      </c>
      <c r="C48" s="7" t="s">
        <v>107</v>
      </c>
      <c r="D48" s="7" t="s">
        <v>377</v>
      </c>
      <c r="E48" s="7" t="s">
        <v>378</v>
      </c>
      <c r="F48" s="7" t="s">
        <v>379</v>
      </c>
      <c r="G48" s="7" t="s">
        <v>184</v>
      </c>
      <c r="H48" s="7" t="s">
        <v>224</v>
      </c>
      <c r="I48" s="47">
        <v>1</v>
      </c>
      <c r="J48" s="47">
        <v>3.5</v>
      </c>
      <c r="K48" s="47">
        <f>J48*Parametros!$B$9</f>
        <v>2.4499999999999997</v>
      </c>
      <c r="L48" s="7" t="s">
        <v>380</v>
      </c>
      <c r="M48" s="7" t="s">
        <v>381</v>
      </c>
      <c r="N48" s="7" t="s">
        <v>382</v>
      </c>
      <c r="O48" s="12" t="s">
        <v>103</v>
      </c>
    </row>
    <row r="49" spans="1:15" ht="24">
      <c r="A49" s="11" t="s">
        <v>29</v>
      </c>
      <c r="B49" s="7" t="s">
        <v>106</v>
      </c>
      <c r="C49" s="7" t="s">
        <v>107</v>
      </c>
      <c r="D49" s="7" t="s">
        <v>377</v>
      </c>
      <c r="E49" s="7" t="s">
        <v>383</v>
      </c>
      <c r="F49" s="7" t="s">
        <v>384</v>
      </c>
      <c r="G49" s="7" t="s">
        <v>194</v>
      </c>
      <c r="H49" s="7" t="s">
        <v>344</v>
      </c>
      <c r="I49" s="47">
        <v>1</v>
      </c>
      <c r="J49" s="47">
        <v>2.2000000000000002</v>
      </c>
      <c r="K49" s="47">
        <f>J49*Parametros!$B$9</f>
        <v>1.54</v>
      </c>
      <c r="L49" s="7" t="s">
        <v>385</v>
      </c>
      <c r="M49" s="7" t="s">
        <v>386</v>
      </c>
      <c r="N49" s="7" t="s">
        <v>369</v>
      </c>
      <c r="O49" s="12" t="s">
        <v>103</v>
      </c>
    </row>
    <row r="50" spans="1:15" ht="24">
      <c r="A50" s="11" t="s">
        <v>29</v>
      </c>
      <c r="B50" s="7" t="s">
        <v>106</v>
      </c>
      <c r="C50" s="7" t="s">
        <v>107</v>
      </c>
      <c r="D50" s="7" t="s">
        <v>377</v>
      </c>
      <c r="E50" s="7" t="s">
        <v>387</v>
      </c>
      <c r="F50" s="7" t="s">
        <v>388</v>
      </c>
      <c r="G50" s="7" t="s">
        <v>194</v>
      </c>
      <c r="H50" s="7" t="s">
        <v>389</v>
      </c>
      <c r="I50" s="47">
        <v>1</v>
      </c>
      <c r="J50" s="47">
        <v>2</v>
      </c>
      <c r="K50" s="47">
        <f>J50*Parametros!$B$9</f>
        <v>1.4</v>
      </c>
      <c r="L50" s="7" t="s">
        <v>390</v>
      </c>
      <c r="M50" s="7" t="s">
        <v>391</v>
      </c>
      <c r="N50" s="7" t="s">
        <v>369</v>
      </c>
      <c r="O50" s="12" t="s">
        <v>103</v>
      </c>
    </row>
    <row r="51" spans="1:15">
      <c r="A51" s="11" t="s">
        <v>29</v>
      </c>
      <c r="B51" s="7" t="s">
        <v>106</v>
      </c>
      <c r="C51" s="7" t="s">
        <v>107</v>
      </c>
      <c r="D51" s="7" t="s">
        <v>392</v>
      </c>
      <c r="E51" s="7" t="s">
        <v>393</v>
      </c>
      <c r="F51" s="7" t="s">
        <v>394</v>
      </c>
      <c r="G51" s="7" t="s">
        <v>184</v>
      </c>
      <c r="H51" s="7" t="s">
        <v>395</v>
      </c>
      <c r="I51" s="47">
        <v>1</v>
      </c>
      <c r="J51" s="47">
        <v>2</v>
      </c>
      <c r="K51" s="47">
        <f>J51*Parametros!$B$9</f>
        <v>1.4</v>
      </c>
      <c r="L51" s="7" t="s">
        <v>396</v>
      </c>
      <c r="M51" s="7" t="s">
        <v>397</v>
      </c>
      <c r="N51" s="7" t="s">
        <v>369</v>
      </c>
      <c r="O51" s="12" t="s">
        <v>103</v>
      </c>
    </row>
    <row r="52" spans="1:15" ht="24">
      <c r="A52" s="11" t="s">
        <v>29</v>
      </c>
      <c r="B52" s="7" t="s">
        <v>106</v>
      </c>
      <c r="C52" s="7" t="s">
        <v>107</v>
      </c>
      <c r="D52" s="7" t="s">
        <v>392</v>
      </c>
      <c r="E52" s="7" t="s">
        <v>398</v>
      </c>
      <c r="F52" s="7" t="s">
        <v>399</v>
      </c>
      <c r="G52" s="7" t="s">
        <v>184</v>
      </c>
      <c r="H52" s="7" t="s">
        <v>400</v>
      </c>
      <c r="I52" s="47">
        <v>2</v>
      </c>
      <c r="J52" s="47">
        <v>1</v>
      </c>
      <c r="K52" s="47">
        <f>J52*Parametros!$B$9</f>
        <v>0.7</v>
      </c>
      <c r="L52" s="7" t="s">
        <v>401</v>
      </c>
      <c r="M52" s="7" t="s">
        <v>402</v>
      </c>
      <c r="N52" s="7" t="s">
        <v>369</v>
      </c>
      <c r="O52" s="12" t="s">
        <v>103</v>
      </c>
    </row>
    <row r="53" spans="1:15" ht="24">
      <c r="A53" s="11" t="s">
        <v>29</v>
      </c>
      <c r="B53" s="7" t="s">
        <v>106</v>
      </c>
      <c r="C53" s="7" t="s">
        <v>107</v>
      </c>
      <c r="D53" s="7" t="s">
        <v>403</v>
      </c>
      <c r="E53" s="7" t="s">
        <v>404</v>
      </c>
      <c r="F53" s="7" t="s">
        <v>405</v>
      </c>
      <c r="G53" s="7" t="s">
        <v>162</v>
      </c>
      <c r="H53" s="7" t="s">
        <v>224</v>
      </c>
      <c r="I53" s="47">
        <v>1</v>
      </c>
      <c r="J53" s="47">
        <v>1</v>
      </c>
      <c r="K53" s="47">
        <f>J53*Parametros!$B$9</f>
        <v>0.7</v>
      </c>
      <c r="L53" s="7" t="s">
        <v>406</v>
      </c>
      <c r="M53" s="7" t="s">
        <v>407</v>
      </c>
      <c r="N53" s="7" t="s">
        <v>408</v>
      </c>
      <c r="O53" s="12" t="s">
        <v>103</v>
      </c>
    </row>
    <row r="54" spans="1:15" ht="24">
      <c r="A54" s="11" t="s">
        <v>29</v>
      </c>
      <c r="B54" s="7" t="s">
        <v>106</v>
      </c>
      <c r="C54" s="7" t="s">
        <v>107</v>
      </c>
      <c r="D54" s="7" t="s">
        <v>240</v>
      </c>
      <c r="E54" s="7" t="s">
        <v>409</v>
      </c>
      <c r="F54" s="7" t="s">
        <v>410</v>
      </c>
      <c r="G54" s="7" t="s">
        <v>162</v>
      </c>
      <c r="H54" s="7" t="s">
        <v>224</v>
      </c>
      <c r="I54" s="47">
        <v>1</v>
      </c>
      <c r="J54" s="47">
        <v>2</v>
      </c>
      <c r="K54" s="47">
        <f>J54*Parametros!$B$9</f>
        <v>1.4</v>
      </c>
      <c r="L54" s="7" t="s">
        <v>411</v>
      </c>
      <c r="M54" s="7" t="s">
        <v>412</v>
      </c>
      <c r="N54" s="7" t="s">
        <v>413</v>
      </c>
      <c r="O54" s="12" t="s">
        <v>103</v>
      </c>
    </row>
    <row r="55" spans="1:15" ht="24">
      <c r="A55" s="11" t="s">
        <v>29</v>
      </c>
      <c r="B55" s="7" t="s">
        <v>106</v>
      </c>
      <c r="C55" s="7" t="s">
        <v>107</v>
      </c>
      <c r="D55" s="7" t="s">
        <v>358</v>
      </c>
      <c r="E55" s="7" t="s">
        <v>414</v>
      </c>
      <c r="F55" s="7" t="s">
        <v>415</v>
      </c>
      <c r="G55" s="7" t="s">
        <v>162</v>
      </c>
      <c r="H55" s="7" t="s">
        <v>224</v>
      </c>
      <c r="I55" s="47">
        <v>1</v>
      </c>
      <c r="J55" s="47">
        <v>1.5</v>
      </c>
      <c r="K55" s="47">
        <f>J55*Parametros!$B$9</f>
        <v>1.0499999999999998</v>
      </c>
      <c r="L55" s="7" t="s">
        <v>416</v>
      </c>
      <c r="M55" s="7" t="s">
        <v>417</v>
      </c>
      <c r="N55" s="7" t="s">
        <v>409</v>
      </c>
      <c r="O55" s="12" t="s">
        <v>103</v>
      </c>
    </row>
    <row r="56" spans="1:15">
      <c r="A56" s="11" t="s">
        <v>33</v>
      </c>
      <c r="B56" s="7" t="s">
        <v>108</v>
      </c>
      <c r="C56" s="7" t="s">
        <v>109</v>
      </c>
      <c r="D56" s="7" t="s">
        <v>418</v>
      </c>
      <c r="E56" s="7" t="s">
        <v>419</v>
      </c>
      <c r="F56" s="7" t="s">
        <v>420</v>
      </c>
      <c r="G56" s="7" t="s">
        <v>162</v>
      </c>
      <c r="H56" s="7" t="s">
        <v>421</v>
      </c>
      <c r="I56" s="47">
        <v>1</v>
      </c>
      <c r="J56" s="47">
        <v>0.5</v>
      </c>
      <c r="K56" s="47">
        <f>J56*Parametros!$B$9</f>
        <v>0.35</v>
      </c>
      <c r="L56" s="7" t="s">
        <v>422</v>
      </c>
      <c r="M56" s="7"/>
      <c r="N56" s="7"/>
      <c r="O56" s="12" t="s">
        <v>103</v>
      </c>
    </row>
    <row r="57" spans="1:15">
      <c r="A57" s="11" t="s">
        <v>33</v>
      </c>
      <c r="B57" s="7" t="s">
        <v>108</v>
      </c>
      <c r="C57" s="7" t="s">
        <v>109</v>
      </c>
      <c r="D57" s="7" t="s">
        <v>423</v>
      </c>
      <c r="E57" s="7" t="s">
        <v>424</v>
      </c>
      <c r="F57" s="7" t="s">
        <v>425</v>
      </c>
      <c r="G57" s="7" t="s">
        <v>162</v>
      </c>
      <c r="H57" s="7" t="s">
        <v>421</v>
      </c>
      <c r="I57" s="47">
        <v>1</v>
      </c>
      <c r="J57" s="47">
        <v>0.5</v>
      </c>
      <c r="K57" s="47">
        <f>J57*Parametros!$B$9</f>
        <v>0.35</v>
      </c>
      <c r="L57" s="7" t="s">
        <v>426</v>
      </c>
      <c r="M57" s="7"/>
      <c r="N57" s="7" t="s">
        <v>419</v>
      </c>
      <c r="O57" s="12" t="s">
        <v>103</v>
      </c>
    </row>
    <row r="58" spans="1:15">
      <c r="A58" s="11" t="s">
        <v>33</v>
      </c>
      <c r="B58" s="7" t="s">
        <v>108</v>
      </c>
      <c r="C58" s="7" t="s">
        <v>109</v>
      </c>
      <c r="D58" s="7" t="s">
        <v>427</v>
      </c>
      <c r="E58" s="7" t="s">
        <v>428</v>
      </c>
      <c r="F58" s="7" t="s">
        <v>429</v>
      </c>
      <c r="G58" s="7" t="s">
        <v>162</v>
      </c>
      <c r="H58" s="7" t="s">
        <v>421</v>
      </c>
      <c r="I58" s="47">
        <v>1</v>
      </c>
      <c r="J58" s="47">
        <v>1.5</v>
      </c>
      <c r="K58" s="47">
        <f>J58*Parametros!$B$9</f>
        <v>1.0499999999999998</v>
      </c>
      <c r="L58" s="7" t="s">
        <v>430</v>
      </c>
      <c r="M58" s="7"/>
      <c r="N58" s="7" t="s">
        <v>419</v>
      </c>
      <c r="O58" s="12" t="s">
        <v>103</v>
      </c>
    </row>
    <row r="59" spans="1:15">
      <c r="A59" s="11" t="s">
        <v>33</v>
      </c>
      <c r="B59" s="7" t="s">
        <v>108</v>
      </c>
      <c r="C59" s="7" t="s">
        <v>109</v>
      </c>
      <c r="D59" s="7" t="s">
        <v>427</v>
      </c>
      <c r="E59" s="7" t="s">
        <v>431</v>
      </c>
      <c r="F59" s="7" t="s">
        <v>432</v>
      </c>
      <c r="G59" s="7" t="s">
        <v>162</v>
      </c>
      <c r="H59" s="7" t="s">
        <v>421</v>
      </c>
      <c r="I59" s="47">
        <v>1</v>
      </c>
      <c r="J59" s="47">
        <v>2</v>
      </c>
      <c r="K59" s="47">
        <f>J59*Parametros!$B$9</f>
        <v>1.4</v>
      </c>
      <c r="L59" s="7" t="s">
        <v>433</v>
      </c>
      <c r="M59" s="7"/>
      <c r="N59" s="7" t="s">
        <v>428</v>
      </c>
      <c r="O59" s="12" t="s">
        <v>103</v>
      </c>
    </row>
    <row r="60" spans="1:15">
      <c r="A60" s="11" t="s">
        <v>33</v>
      </c>
      <c r="B60" s="7" t="s">
        <v>108</v>
      </c>
      <c r="C60" s="7" t="s">
        <v>109</v>
      </c>
      <c r="D60" s="7" t="s">
        <v>427</v>
      </c>
      <c r="E60" s="7" t="s">
        <v>434</v>
      </c>
      <c r="F60" s="7" t="s">
        <v>435</v>
      </c>
      <c r="G60" s="7" t="s">
        <v>162</v>
      </c>
      <c r="H60" s="7" t="s">
        <v>421</v>
      </c>
      <c r="I60" s="47">
        <v>1</v>
      </c>
      <c r="J60" s="47">
        <v>1.5</v>
      </c>
      <c r="K60" s="47">
        <f>J60*Parametros!$B$9</f>
        <v>1.0499999999999998</v>
      </c>
      <c r="L60" s="7" t="s">
        <v>436</v>
      </c>
      <c r="M60" s="7"/>
      <c r="N60" s="7" t="s">
        <v>431</v>
      </c>
      <c r="O60" s="12" t="s">
        <v>103</v>
      </c>
    </row>
    <row r="61" spans="1:15">
      <c r="A61" s="11" t="s">
        <v>33</v>
      </c>
      <c r="B61" s="7" t="s">
        <v>108</v>
      </c>
      <c r="C61" s="7" t="s">
        <v>109</v>
      </c>
      <c r="D61" s="7" t="s">
        <v>159</v>
      </c>
      <c r="E61" s="7" t="s">
        <v>437</v>
      </c>
      <c r="F61" s="7" t="s">
        <v>438</v>
      </c>
      <c r="G61" s="7" t="s">
        <v>162</v>
      </c>
      <c r="H61" s="7" t="s">
        <v>439</v>
      </c>
      <c r="I61" s="47">
        <v>1</v>
      </c>
      <c r="J61" s="47">
        <v>1</v>
      </c>
      <c r="K61" s="47">
        <f>J61*Parametros!$B$9</f>
        <v>0.7</v>
      </c>
      <c r="L61" s="7" t="s">
        <v>440</v>
      </c>
      <c r="M61" s="7"/>
      <c r="N61" s="7" t="s">
        <v>434</v>
      </c>
      <c r="O61" s="12" t="s">
        <v>103</v>
      </c>
    </row>
    <row r="62" spans="1:15">
      <c r="A62" s="11" t="s">
        <v>33</v>
      </c>
      <c r="B62" s="7" t="s">
        <v>108</v>
      </c>
      <c r="C62" s="7" t="s">
        <v>109</v>
      </c>
      <c r="D62" s="7" t="s">
        <v>441</v>
      </c>
      <c r="E62" s="7" t="s">
        <v>442</v>
      </c>
      <c r="F62" s="7" t="s">
        <v>443</v>
      </c>
      <c r="G62" s="7" t="s">
        <v>184</v>
      </c>
      <c r="H62" s="7" t="s">
        <v>439</v>
      </c>
      <c r="I62" s="47">
        <v>1</v>
      </c>
      <c r="J62" s="47">
        <v>2</v>
      </c>
      <c r="K62" s="47">
        <f>J62*Parametros!$B$9</f>
        <v>1.4</v>
      </c>
      <c r="L62" s="7" t="s">
        <v>444</v>
      </c>
      <c r="M62" s="7" t="s">
        <v>445</v>
      </c>
      <c r="N62" s="7" t="s">
        <v>437</v>
      </c>
      <c r="O62" s="12" t="s">
        <v>103</v>
      </c>
    </row>
    <row r="63" spans="1:15">
      <c r="A63" s="11" t="s">
        <v>33</v>
      </c>
      <c r="B63" s="7" t="s">
        <v>108</v>
      </c>
      <c r="C63" s="7" t="s">
        <v>109</v>
      </c>
      <c r="D63" s="7" t="s">
        <v>441</v>
      </c>
      <c r="E63" s="7" t="s">
        <v>446</v>
      </c>
      <c r="F63" s="7" t="s">
        <v>447</v>
      </c>
      <c r="G63" s="7" t="s">
        <v>194</v>
      </c>
      <c r="H63" s="7" t="s">
        <v>439</v>
      </c>
      <c r="I63" s="47">
        <v>2</v>
      </c>
      <c r="J63" s="47">
        <v>4</v>
      </c>
      <c r="K63" s="47">
        <f>J63*Parametros!$B$9</f>
        <v>2.8</v>
      </c>
      <c r="L63" s="7" t="s">
        <v>448</v>
      </c>
      <c r="M63" s="7" t="s">
        <v>449</v>
      </c>
      <c r="N63" s="7" t="s">
        <v>437</v>
      </c>
      <c r="O63" s="12" t="s">
        <v>103</v>
      </c>
    </row>
    <row r="64" spans="1:15">
      <c r="A64" s="11" t="s">
        <v>33</v>
      </c>
      <c r="B64" s="7" t="s">
        <v>108</v>
      </c>
      <c r="C64" s="7" t="s">
        <v>109</v>
      </c>
      <c r="D64" s="7" t="s">
        <v>347</v>
      </c>
      <c r="E64" s="7" t="s">
        <v>450</v>
      </c>
      <c r="F64" s="7" t="s">
        <v>451</v>
      </c>
      <c r="G64" s="7" t="s">
        <v>194</v>
      </c>
      <c r="H64" s="7" t="s">
        <v>350</v>
      </c>
      <c r="I64" s="47">
        <v>2</v>
      </c>
      <c r="J64" s="47">
        <v>2.5</v>
      </c>
      <c r="K64" s="47">
        <f>J64*Parametros!$B$9</f>
        <v>1.75</v>
      </c>
      <c r="L64" s="7" t="s">
        <v>452</v>
      </c>
      <c r="M64" s="7" t="s">
        <v>453</v>
      </c>
      <c r="N64" s="7" t="s">
        <v>437</v>
      </c>
      <c r="O64" s="12" t="s">
        <v>103</v>
      </c>
    </row>
    <row r="65" spans="1:15">
      <c r="A65" s="11" t="s">
        <v>33</v>
      </c>
      <c r="B65" s="7" t="s">
        <v>108</v>
      </c>
      <c r="C65" s="7" t="s">
        <v>109</v>
      </c>
      <c r="D65" s="7" t="s">
        <v>240</v>
      </c>
      <c r="E65" s="7" t="s">
        <v>454</v>
      </c>
      <c r="F65" s="7" t="s">
        <v>455</v>
      </c>
      <c r="G65" s="7" t="s">
        <v>162</v>
      </c>
      <c r="H65" s="7" t="s">
        <v>456</v>
      </c>
      <c r="I65" s="47">
        <v>1</v>
      </c>
      <c r="J65" s="47">
        <v>1</v>
      </c>
      <c r="K65" s="47">
        <f>J65*Parametros!$B$9</f>
        <v>0.7</v>
      </c>
      <c r="L65" s="7" t="s">
        <v>457</v>
      </c>
      <c r="M65" s="7"/>
      <c r="N65" s="7" t="s">
        <v>442</v>
      </c>
      <c r="O65" s="12" t="s">
        <v>103</v>
      </c>
    </row>
    <row r="66" spans="1:15">
      <c r="A66" s="11" t="s">
        <v>33</v>
      </c>
      <c r="B66" s="7" t="s">
        <v>108</v>
      </c>
      <c r="C66" s="7" t="s">
        <v>109</v>
      </c>
      <c r="D66" s="7" t="s">
        <v>240</v>
      </c>
      <c r="E66" s="7" t="s">
        <v>458</v>
      </c>
      <c r="F66" s="7" t="s">
        <v>459</v>
      </c>
      <c r="G66" s="7" t="s">
        <v>162</v>
      </c>
      <c r="H66" s="7" t="s">
        <v>456</v>
      </c>
      <c r="I66" s="47">
        <v>3</v>
      </c>
      <c r="J66" s="47">
        <v>0.75</v>
      </c>
      <c r="K66" s="47">
        <f>J66*Parametros!$B$9</f>
        <v>0.52499999999999991</v>
      </c>
      <c r="L66" s="7" t="s">
        <v>460</v>
      </c>
      <c r="M66" s="7"/>
      <c r="N66" s="7" t="s">
        <v>454</v>
      </c>
      <c r="O66" s="12" t="s">
        <v>103</v>
      </c>
    </row>
    <row r="67" spans="1:15">
      <c r="A67" s="11" t="s">
        <v>33</v>
      </c>
      <c r="B67" s="7" t="s">
        <v>108</v>
      </c>
      <c r="C67" s="7" t="s">
        <v>109</v>
      </c>
      <c r="D67" s="7" t="s">
        <v>358</v>
      </c>
      <c r="E67" s="7" t="s">
        <v>461</v>
      </c>
      <c r="F67" s="7" t="s">
        <v>462</v>
      </c>
      <c r="G67" s="7" t="s">
        <v>162</v>
      </c>
      <c r="H67" s="7" t="s">
        <v>361</v>
      </c>
      <c r="I67" s="47">
        <v>1</v>
      </c>
      <c r="J67" s="47">
        <v>1.5</v>
      </c>
      <c r="K67" s="47">
        <f>J67*Parametros!$B$9</f>
        <v>1.0499999999999998</v>
      </c>
      <c r="L67" s="7" t="s">
        <v>463</v>
      </c>
      <c r="M67" s="7"/>
      <c r="N67" s="7" t="s">
        <v>458</v>
      </c>
      <c r="O67" s="12" t="s">
        <v>103</v>
      </c>
    </row>
    <row r="68" spans="1:15">
      <c r="A68" s="11" t="s">
        <v>33</v>
      </c>
      <c r="B68" s="7" t="s">
        <v>108</v>
      </c>
      <c r="C68" s="7" t="s">
        <v>109</v>
      </c>
      <c r="D68" s="7" t="s">
        <v>464</v>
      </c>
      <c r="E68" s="7" t="s">
        <v>465</v>
      </c>
      <c r="F68" s="7" t="s">
        <v>466</v>
      </c>
      <c r="G68" s="7" t="s">
        <v>184</v>
      </c>
      <c r="H68" s="7" t="s">
        <v>467</v>
      </c>
      <c r="I68" s="47">
        <v>1</v>
      </c>
      <c r="J68" s="47">
        <v>1</v>
      </c>
      <c r="K68" s="47">
        <f>J68*Parametros!$B$9</f>
        <v>0.7</v>
      </c>
      <c r="L68" s="7" t="s">
        <v>468</v>
      </c>
      <c r="M68" s="7"/>
      <c r="N68" s="7" t="s">
        <v>461</v>
      </c>
      <c r="O68" s="12" t="s">
        <v>103</v>
      </c>
    </row>
    <row r="69" spans="1:15">
      <c r="A69" s="11" t="s">
        <v>33</v>
      </c>
      <c r="B69" s="7" t="s">
        <v>108</v>
      </c>
      <c r="C69" s="7" t="s">
        <v>109</v>
      </c>
      <c r="D69" s="7" t="s">
        <v>364</v>
      </c>
      <c r="E69" s="7" t="s">
        <v>469</v>
      </c>
      <c r="F69" s="7" t="s">
        <v>470</v>
      </c>
      <c r="G69" s="7" t="s">
        <v>162</v>
      </c>
      <c r="H69" s="7" t="s">
        <v>421</v>
      </c>
      <c r="I69" s="47">
        <v>1</v>
      </c>
      <c r="J69" s="47">
        <v>0.75</v>
      </c>
      <c r="K69" s="47">
        <f>J69*Parametros!$B$9</f>
        <v>0.52499999999999991</v>
      </c>
      <c r="L69" s="7" t="s">
        <v>471</v>
      </c>
      <c r="M69" s="7"/>
      <c r="N69" s="7"/>
      <c r="O69" s="12" t="s">
        <v>103</v>
      </c>
    </row>
    <row r="70" spans="1:15">
      <c r="A70" s="11" t="s">
        <v>33</v>
      </c>
      <c r="B70" s="7" t="s">
        <v>110</v>
      </c>
      <c r="C70" s="7" t="s">
        <v>111</v>
      </c>
      <c r="D70" s="7" t="s">
        <v>472</v>
      </c>
      <c r="E70" s="7" t="s">
        <v>473</v>
      </c>
      <c r="F70" s="7" t="s">
        <v>474</v>
      </c>
      <c r="G70" s="7" t="s">
        <v>162</v>
      </c>
      <c r="H70" s="7" t="s">
        <v>329</v>
      </c>
      <c r="I70" s="47">
        <v>1</v>
      </c>
      <c r="J70" s="47">
        <v>1.5</v>
      </c>
      <c r="K70" s="47">
        <f>J70*Parametros!$B$9</f>
        <v>1.0499999999999998</v>
      </c>
      <c r="L70" s="7" t="s">
        <v>475</v>
      </c>
      <c r="M70" s="7"/>
      <c r="N70" s="7"/>
      <c r="O70" s="12" t="s">
        <v>103</v>
      </c>
    </row>
    <row r="71" spans="1:15">
      <c r="A71" s="11" t="s">
        <v>33</v>
      </c>
      <c r="B71" s="7" t="s">
        <v>110</v>
      </c>
      <c r="C71" s="7" t="s">
        <v>111</v>
      </c>
      <c r="D71" s="7" t="s">
        <v>476</v>
      </c>
      <c r="E71" s="7" t="s">
        <v>477</v>
      </c>
      <c r="F71" s="7" t="s">
        <v>478</v>
      </c>
      <c r="G71" s="7" t="s">
        <v>162</v>
      </c>
      <c r="H71" s="7" t="s">
        <v>329</v>
      </c>
      <c r="I71" s="47">
        <v>1</v>
      </c>
      <c r="J71" s="47">
        <v>2.5</v>
      </c>
      <c r="K71" s="47">
        <f>J71*Parametros!$B$9</f>
        <v>1.75</v>
      </c>
      <c r="L71" s="7" t="s">
        <v>479</v>
      </c>
      <c r="M71" s="7"/>
      <c r="N71" s="7" t="s">
        <v>473</v>
      </c>
      <c r="O71" s="12" t="s">
        <v>103</v>
      </c>
    </row>
    <row r="72" spans="1:15">
      <c r="A72" s="11" t="s">
        <v>33</v>
      </c>
      <c r="B72" s="7" t="s">
        <v>110</v>
      </c>
      <c r="C72" s="7" t="s">
        <v>111</v>
      </c>
      <c r="D72" s="7" t="s">
        <v>480</v>
      </c>
      <c r="E72" s="7" t="s">
        <v>481</v>
      </c>
      <c r="F72" s="7" t="s">
        <v>482</v>
      </c>
      <c r="G72" s="7" t="s">
        <v>162</v>
      </c>
      <c r="H72" s="7" t="s">
        <v>329</v>
      </c>
      <c r="I72" s="47">
        <v>1</v>
      </c>
      <c r="J72" s="47">
        <v>1.5</v>
      </c>
      <c r="K72" s="47">
        <f>J72*Parametros!$B$9</f>
        <v>1.0499999999999998</v>
      </c>
      <c r="L72" s="7" t="s">
        <v>483</v>
      </c>
      <c r="M72" s="7"/>
      <c r="N72" s="7" t="s">
        <v>473</v>
      </c>
      <c r="O72" s="12" t="s">
        <v>103</v>
      </c>
    </row>
    <row r="73" spans="1:15">
      <c r="A73" s="11" t="s">
        <v>33</v>
      </c>
      <c r="B73" s="7" t="s">
        <v>110</v>
      </c>
      <c r="C73" s="7" t="s">
        <v>111</v>
      </c>
      <c r="D73" s="7" t="s">
        <v>484</v>
      </c>
      <c r="E73" s="7" t="s">
        <v>485</v>
      </c>
      <c r="F73" s="7" t="s">
        <v>486</v>
      </c>
      <c r="G73" s="7" t="s">
        <v>162</v>
      </c>
      <c r="H73" s="7" t="s">
        <v>332</v>
      </c>
      <c r="I73" s="47">
        <v>1</v>
      </c>
      <c r="J73" s="47">
        <v>2</v>
      </c>
      <c r="K73" s="47">
        <f>J73*Parametros!$B$9</f>
        <v>1.4</v>
      </c>
      <c r="L73" s="7" t="s">
        <v>487</v>
      </c>
      <c r="M73" s="7"/>
      <c r="N73" s="7" t="s">
        <v>481</v>
      </c>
      <c r="O73" s="12" t="s">
        <v>103</v>
      </c>
    </row>
    <row r="74" spans="1:15">
      <c r="A74" s="11" t="s">
        <v>33</v>
      </c>
      <c r="B74" s="7" t="s">
        <v>110</v>
      </c>
      <c r="C74" s="7" t="s">
        <v>111</v>
      </c>
      <c r="D74" s="7" t="s">
        <v>484</v>
      </c>
      <c r="E74" s="7" t="s">
        <v>488</v>
      </c>
      <c r="F74" s="7" t="s">
        <v>489</v>
      </c>
      <c r="G74" s="7" t="s">
        <v>184</v>
      </c>
      <c r="H74" s="7" t="s">
        <v>293</v>
      </c>
      <c r="I74" s="47">
        <v>2</v>
      </c>
      <c r="J74" s="47">
        <v>1</v>
      </c>
      <c r="K74" s="47">
        <f>J74*Parametros!$B$9</f>
        <v>0.7</v>
      </c>
      <c r="L74" s="7" t="s">
        <v>490</v>
      </c>
      <c r="M74" s="7"/>
      <c r="N74" s="7" t="s">
        <v>485</v>
      </c>
      <c r="O74" s="12" t="s">
        <v>103</v>
      </c>
    </row>
    <row r="75" spans="1:15">
      <c r="A75" s="11" t="s">
        <v>33</v>
      </c>
      <c r="B75" s="7" t="s">
        <v>110</v>
      </c>
      <c r="C75" s="7" t="s">
        <v>111</v>
      </c>
      <c r="D75" s="7" t="s">
        <v>347</v>
      </c>
      <c r="E75" s="7" t="s">
        <v>491</v>
      </c>
      <c r="F75" s="7" t="s">
        <v>492</v>
      </c>
      <c r="G75" s="7" t="s">
        <v>194</v>
      </c>
      <c r="H75" s="7" t="s">
        <v>315</v>
      </c>
      <c r="I75" s="47">
        <v>1</v>
      </c>
      <c r="J75" s="47">
        <v>2.5</v>
      </c>
      <c r="K75" s="47">
        <f>J75*Parametros!$B$9</f>
        <v>1.75</v>
      </c>
      <c r="L75" s="7" t="s">
        <v>493</v>
      </c>
      <c r="M75" s="7"/>
      <c r="N75" s="7" t="s">
        <v>477</v>
      </c>
      <c r="O75" s="12" t="s">
        <v>103</v>
      </c>
    </row>
    <row r="76" spans="1:15">
      <c r="A76" s="11" t="s">
        <v>33</v>
      </c>
      <c r="B76" s="7" t="s">
        <v>110</v>
      </c>
      <c r="C76" s="7" t="s">
        <v>111</v>
      </c>
      <c r="D76" s="7" t="s">
        <v>312</v>
      </c>
      <c r="E76" s="7" t="s">
        <v>494</v>
      </c>
      <c r="F76" s="7" t="s">
        <v>495</v>
      </c>
      <c r="G76" s="7" t="s">
        <v>184</v>
      </c>
      <c r="H76" s="7" t="s">
        <v>400</v>
      </c>
      <c r="I76" s="47">
        <v>2</v>
      </c>
      <c r="J76" s="47">
        <v>2</v>
      </c>
      <c r="K76" s="47">
        <f>J76*Parametros!$B$9</f>
        <v>1.4</v>
      </c>
      <c r="L76" s="7" t="s">
        <v>496</v>
      </c>
      <c r="M76" s="7"/>
      <c r="N76" s="7" t="s">
        <v>481</v>
      </c>
      <c r="O76" s="12" t="s">
        <v>103</v>
      </c>
    </row>
    <row r="77" spans="1:15">
      <c r="A77" s="11" t="s">
        <v>33</v>
      </c>
      <c r="B77" s="7" t="s">
        <v>110</v>
      </c>
      <c r="C77" s="7" t="s">
        <v>111</v>
      </c>
      <c r="D77" s="7" t="s">
        <v>312</v>
      </c>
      <c r="E77" s="7" t="s">
        <v>497</v>
      </c>
      <c r="F77" s="7" t="s">
        <v>498</v>
      </c>
      <c r="G77" s="7" t="s">
        <v>184</v>
      </c>
      <c r="H77" s="7" t="s">
        <v>499</v>
      </c>
      <c r="I77" s="47">
        <v>1</v>
      </c>
      <c r="J77" s="47">
        <v>3</v>
      </c>
      <c r="K77" s="47">
        <f>J77*Parametros!$B$9</f>
        <v>2.0999999999999996</v>
      </c>
      <c r="L77" s="7" t="s">
        <v>500</v>
      </c>
      <c r="M77" s="7"/>
      <c r="N77" s="7" t="s">
        <v>491</v>
      </c>
      <c r="O77" s="12" t="s">
        <v>103</v>
      </c>
    </row>
    <row r="78" spans="1:15">
      <c r="A78" s="11" t="s">
        <v>33</v>
      </c>
      <c r="B78" s="7" t="s">
        <v>110</v>
      </c>
      <c r="C78" s="7" t="s">
        <v>111</v>
      </c>
      <c r="D78" s="7" t="s">
        <v>296</v>
      </c>
      <c r="E78" s="7" t="s">
        <v>501</v>
      </c>
      <c r="F78" s="7" t="s">
        <v>502</v>
      </c>
      <c r="G78" s="7" t="s">
        <v>184</v>
      </c>
      <c r="H78" s="7" t="s">
        <v>293</v>
      </c>
      <c r="I78" s="47">
        <v>2</v>
      </c>
      <c r="J78" s="47">
        <v>3</v>
      </c>
      <c r="K78" s="47">
        <f>J78*Parametros!$B$9</f>
        <v>2.0999999999999996</v>
      </c>
      <c r="L78" s="7" t="s">
        <v>503</v>
      </c>
      <c r="M78" s="7"/>
      <c r="N78" s="7" t="s">
        <v>488</v>
      </c>
      <c r="O78" s="12" t="s">
        <v>103</v>
      </c>
    </row>
    <row r="79" spans="1:15">
      <c r="A79" s="11" t="s">
        <v>33</v>
      </c>
      <c r="B79" s="7" t="s">
        <v>110</v>
      </c>
      <c r="C79" s="7" t="s">
        <v>111</v>
      </c>
      <c r="D79" s="7" t="s">
        <v>280</v>
      </c>
      <c r="E79" s="7" t="s">
        <v>504</v>
      </c>
      <c r="F79" s="7" t="s">
        <v>505</v>
      </c>
      <c r="G79" s="7" t="s">
        <v>184</v>
      </c>
      <c r="H79" s="7" t="s">
        <v>283</v>
      </c>
      <c r="I79" s="47">
        <v>2</v>
      </c>
      <c r="J79" s="47">
        <v>1</v>
      </c>
      <c r="K79" s="47">
        <f>J79*Parametros!$B$9</f>
        <v>0.7</v>
      </c>
      <c r="L79" s="7" t="s">
        <v>506</v>
      </c>
      <c r="M79" s="7"/>
      <c r="N79" s="7" t="s">
        <v>477</v>
      </c>
      <c r="O79" s="12" t="s">
        <v>103</v>
      </c>
    </row>
    <row r="80" spans="1:15">
      <c r="A80" s="11" t="s">
        <v>33</v>
      </c>
      <c r="B80" s="7" t="s">
        <v>110</v>
      </c>
      <c r="C80" s="7" t="s">
        <v>111</v>
      </c>
      <c r="D80" s="7" t="s">
        <v>224</v>
      </c>
      <c r="E80" s="7" t="s">
        <v>507</v>
      </c>
      <c r="F80" s="7" t="s">
        <v>508</v>
      </c>
      <c r="G80" s="7" t="s">
        <v>194</v>
      </c>
      <c r="H80" s="7" t="s">
        <v>224</v>
      </c>
      <c r="I80" s="47">
        <v>0</v>
      </c>
      <c r="J80" s="47">
        <v>3</v>
      </c>
      <c r="K80" s="47">
        <f>J80*Parametros!$B$9</f>
        <v>2.0999999999999996</v>
      </c>
      <c r="L80" s="7" t="s">
        <v>509</v>
      </c>
      <c r="M80" s="7"/>
      <c r="N80" s="7"/>
      <c r="O80" s="12" t="s">
        <v>103</v>
      </c>
    </row>
    <row r="81" spans="1:15">
      <c r="A81" s="11" t="s">
        <v>33</v>
      </c>
      <c r="B81" s="7" t="s">
        <v>110</v>
      </c>
      <c r="C81" s="7" t="s">
        <v>111</v>
      </c>
      <c r="D81" s="7" t="s">
        <v>240</v>
      </c>
      <c r="E81" s="7" t="s">
        <v>510</v>
      </c>
      <c r="F81" s="7" t="s">
        <v>511</v>
      </c>
      <c r="G81" s="7" t="s">
        <v>184</v>
      </c>
      <c r="H81" s="7" t="s">
        <v>456</v>
      </c>
      <c r="I81" s="47">
        <v>3</v>
      </c>
      <c r="J81" s="47">
        <v>1</v>
      </c>
      <c r="K81" s="47">
        <f>J81*Parametros!$B$9</f>
        <v>0.7</v>
      </c>
      <c r="L81" s="7" t="s">
        <v>512</v>
      </c>
      <c r="M81" s="7"/>
      <c r="N81" s="7" t="s">
        <v>494</v>
      </c>
      <c r="O81" s="12" t="s">
        <v>103</v>
      </c>
    </row>
    <row r="82" spans="1:15">
      <c r="A82" s="11" t="s">
        <v>33</v>
      </c>
      <c r="B82" s="7" t="s">
        <v>110</v>
      </c>
      <c r="C82" s="7" t="s">
        <v>111</v>
      </c>
      <c r="D82" s="7" t="s">
        <v>240</v>
      </c>
      <c r="E82" s="7" t="s">
        <v>513</v>
      </c>
      <c r="F82" s="7" t="s">
        <v>514</v>
      </c>
      <c r="G82" s="7" t="s">
        <v>162</v>
      </c>
      <c r="H82" s="7" t="s">
        <v>163</v>
      </c>
      <c r="I82" s="47">
        <v>1</v>
      </c>
      <c r="J82" s="47">
        <v>3</v>
      </c>
      <c r="K82" s="47">
        <f>J82*Parametros!$B$9</f>
        <v>2.0999999999999996</v>
      </c>
      <c r="L82" s="7" t="s">
        <v>515</v>
      </c>
      <c r="M82" s="7"/>
      <c r="N82" s="7"/>
      <c r="O82" s="12" t="s">
        <v>103</v>
      </c>
    </row>
    <row r="83" spans="1:15">
      <c r="A83" s="11" t="s">
        <v>33</v>
      </c>
      <c r="B83" s="7" t="s">
        <v>110</v>
      </c>
      <c r="C83" s="7" t="s">
        <v>111</v>
      </c>
      <c r="D83" s="7" t="s">
        <v>358</v>
      </c>
      <c r="E83" s="7" t="s">
        <v>516</v>
      </c>
      <c r="F83" s="7" t="s">
        <v>517</v>
      </c>
      <c r="G83" s="7" t="s">
        <v>162</v>
      </c>
      <c r="H83" s="7" t="s">
        <v>361</v>
      </c>
      <c r="I83" s="47">
        <v>1</v>
      </c>
      <c r="J83" s="47">
        <v>2</v>
      </c>
      <c r="K83" s="47">
        <f>J83*Parametros!$B$9</f>
        <v>1.4</v>
      </c>
      <c r="L83" s="7" t="s">
        <v>518</v>
      </c>
      <c r="M83" s="7"/>
      <c r="N83" s="7" t="s">
        <v>513</v>
      </c>
      <c r="O83" s="12" t="s">
        <v>103</v>
      </c>
    </row>
    <row r="84" spans="1:15">
      <c r="A84" s="11" t="s">
        <v>33</v>
      </c>
      <c r="B84" s="7" t="s">
        <v>110</v>
      </c>
      <c r="C84" s="7" t="s">
        <v>111</v>
      </c>
      <c r="D84" s="7" t="s">
        <v>364</v>
      </c>
      <c r="E84" s="7" t="s">
        <v>519</v>
      </c>
      <c r="F84" s="7" t="s">
        <v>520</v>
      </c>
      <c r="G84" s="7" t="s">
        <v>184</v>
      </c>
      <c r="H84" s="7" t="s">
        <v>329</v>
      </c>
      <c r="I84" s="47">
        <v>1</v>
      </c>
      <c r="J84" s="47">
        <v>1.5</v>
      </c>
      <c r="K84" s="47">
        <f>J84*Parametros!$B$9</f>
        <v>1.0499999999999998</v>
      </c>
      <c r="L84" s="7" t="s">
        <v>521</v>
      </c>
      <c r="M84" s="7"/>
      <c r="N84" s="7"/>
      <c r="O84" s="12" t="s">
        <v>103</v>
      </c>
    </row>
    <row r="85" spans="1:15">
      <c r="A85" s="11" t="s">
        <v>33</v>
      </c>
      <c r="B85" s="7" t="s">
        <v>112</v>
      </c>
      <c r="C85" s="7" t="s">
        <v>113</v>
      </c>
      <c r="D85" s="7" t="s">
        <v>522</v>
      </c>
      <c r="E85" s="7" t="s">
        <v>523</v>
      </c>
      <c r="F85" s="7" t="s">
        <v>524</v>
      </c>
      <c r="G85" s="7" t="s">
        <v>162</v>
      </c>
      <c r="H85" s="7" t="s">
        <v>163</v>
      </c>
      <c r="I85" s="47">
        <v>1</v>
      </c>
      <c r="J85" s="47">
        <v>3</v>
      </c>
      <c r="K85" s="47">
        <f>J85*Parametros!$B$9</f>
        <v>2.0999999999999996</v>
      </c>
      <c r="L85" s="7" t="s">
        <v>525</v>
      </c>
      <c r="M85" s="7"/>
      <c r="N85" s="7"/>
      <c r="O85" s="12" t="s">
        <v>103</v>
      </c>
    </row>
    <row r="86" spans="1:15">
      <c r="A86" s="11" t="s">
        <v>33</v>
      </c>
      <c r="B86" s="7" t="s">
        <v>112</v>
      </c>
      <c r="C86" s="7" t="s">
        <v>113</v>
      </c>
      <c r="D86" s="7" t="s">
        <v>522</v>
      </c>
      <c r="E86" s="7" t="s">
        <v>526</v>
      </c>
      <c r="F86" s="7" t="s">
        <v>527</v>
      </c>
      <c r="G86" s="7" t="s">
        <v>162</v>
      </c>
      <c r="H86" s="7" t="s">
        <v>163</v>
      </c>
      <c r="I86" s="47">
        <v>1</v>
      </c>
      <c r="J86" s="47">
        <v>4</v>
      </c>
      <c r="K86" s="47">
        <f>J86*Parametros!$B$9</f>
        <v>2.8</v>
      </c>
      <c r="L86" s="7" t="s">
        <v>528</v>
      </c>
      <c r="M86" s="7"/>
      <c r="N86" s="7" t="s">
        <v>523</v>
      </c>
      <c r="O86" s="12" t="s">
        <v>103</v>
      </c>
    </row>
    <row r="87" spans="1:15">
      <c r="A87" s="11" t="s">
        <v>33</v>
      </c>
      <c r="B87" s="7" t="s">
        <v>112</v>
      </c>
      <c r="C87" s="7" t="s">
        <v>113</v>
      </c>
      <c r="D87" s="7" t="s">
        <v>159</v>
      </c>
      <c r="E87" s="7" t="s">
        <v>529</v>
      </c>
      <c r="F87" s="7" t="s">
        <v>530</v>
      </c>
      <c r="G87" s="7" t="s">
        <v>162</v>
      </c>
      <c r="H87" s="7" t="s">
        <v>163</v>
      </c>
      <c r="I87" s="47">
        <v>1</v>
      </c>
      <c r="J87" s="47">
        <v>3</v>
      </c>
      <c r="K87" s="47">
        <f>J87*Parametros!$B$9</f>
        <v>2.0999999999999996</v>
      </c>
      <c r="L87" s="7" t="s">
        <v>531</v>
      </c>
      <c r="M87" s="7"/>
      <c r="N87" s="7" t="s">
        <v>526</v>
      </c>
      <c r="O87" s="12" t="s">
        <v>103</v>
      </c>
    </row>
    <row r="88" spans="1:15">
      <c r="A88" s="11" t="s">
        <v>33</v>
      </c>
      <c r="B88" s="7" t="s">
        <v>112</v>
      </c>
      <c r="C88" s="7" t="s">
        <v>113</v>
      </c>
      <c r="D88" s="7" t="s">
        <v>166</v>
      </c>
      <c r="E88" s="7" t="s">
        <v>532</v>
      </c>
      <c r="F88" s="7" t="s">
        <v>533</v>
      </c>
      <c r="G88" s="7" t="s">
        <v>162</v>
      </c>
      <c r="H88" s="7" t="s">
        <v>332</v>
      </c>
      <c r="I88" s="47">
        <v>3</v>
      </c>
      <c r="J88" s="47">
        <v>2</v>
      </c>
      <c r="K88" s="47">
        <f>J88*Parametros!$B$9</f>
        <v>1.4</v>
      </c>
      <c r="L88" s="7" t="s">
        <v>534</v>
      </c>
      <c r="M88" s="7"/>
      <c r="N88" s="7" t="s">
        <v>529</v>
      </c>
      <c r="O88" s="12" t="s">
        <v>103</v>
      </c>
    </row>
    <row r="89" spans="1:15" ht="24">
      <c r="A89" s="11" t="s">
        <v>33</v>
      </c>
      <c r="B89" s="7" t="s">
        <v>112</v>
      </c>
      <c r="C89" s="7" t="s">
        <v>113</v>
      </c>
      <c r="D89" s="7" t="s">
        <v>158</v>
      </c>
      <c r="E89" s="7" t="s">
        <v>535</v>
      </c>
      <c r="F89" s="7" t="s">
        <v>536</v>
      </c>
      <c r="G89" s="7" t="s">
        <v>184</v>
      </c>
      <c r="H89" s="7" t="s">
        <v>537</v>
      </c>
      <c r="I89" s="47">
        <v>5</v>
      </c>
      <c r="J89" s="47">
        <v>0.75</v>
      </c>
      <c r="K89" s="47">
        <f>J89*Parametros!$B$9</f>
        <v>0.52499999999999991</v>
      </c>
      <c r="L89" s="7" t="s">
        <v>538</v>
      </c>
      <c r="M89" s="7" t="s">
        <v>539</v>
      </c>
      <c r="N89" s="7" t="s">
        <v>532</v>
      </c>
      <c r="O89" s="12" t="s">
        <v>103</v>
      </c>
    </row>
    <row r="90" spans="1:15">
      <c r="A90" s="11" t="s">
        <v>33</v>
      </c>
      <c r="B90" s="7" t="s">
        <v>112</v>
      </c>
      <c r="C90" s="7" t="s">
        <v>113</v>
      </c>
      <c r="D90" s="7" t="s">
        <v>95</v>
      </c>
      <c r="E90" s="7" t="s">
        <v>540</v>
      </c>
      <c r="F90" s="7" t="s">
        <v>541</v>
      </c>
      <c r="G90" s="7" t="s">
        <v>184</v>
      </c>
      <c r="H90" s="7" t="s">
        <v>542</v>
      </c>
      <c r="I90" s="47">
        <v>2</v>
      </c>
      <c r="J90" s="47">
        <v>5</v>
      </c>
      <c r="K90" s="47">
        <f>J90*Parametros!$B$9</f>
        <v>3.5</v>
      </c>
      <c r="L90" s="7" t="s">
        <v>543</v>
      </c>
      <c r="M90" s="7"/>
      <c r="N90" s="7" t="s">
        <v>532</v>
      </c>
      <c r="O90" s="12" t="s">
        <v>103</v>
      </c>
    </row>
    <row r="91" spans="1:15">
      <c r="A91" s="11" t="s">
        <v>33</v>
      </c>
      <c r="B91" s="7" t="s">
        <v>112</v>
      </c>
      <c r="C91" s="7" t="s">
        <v>113</v>
      </c>
      <c r="D91" s="7" t="s">
        <v>275</v>
      </c>
      <c r="E91" s="7" t="s">
        <v>544</v>
      </c>
      <c r="F91" s="7" t="s">
        <v>545</v>
      </c>
      <c r="G91" s="7" t="s">
        <v>194</v>
      </c>
      <c r="H91" s="7" t="s">
        <v>174</v>
      </c>
      <c r="I91" s="47">
        <v>2</v>
      </c>
      <c r="J91" s="47">
        <v>3</v>
      </c>
      <c r="K91" s="47">
        <f>J91*Parametros!$B$9</f>
        <v>2.0999999999999996</v>
      </c>
      <c r="L91" s="7" t="s">
        <v>546</v>
      </c>
      <c r="M91" s="7"/>
      <c r="N91" s="7" t="s">
        <v>540</v>
      </c>
      <c r="O91" s="12" t="s">
        <v>103</v>
      </c>
    </row>
    <row r="92" spans="1:15">
      <c r="A92" s="11" t="s">
        <v>33</v>
      </c>
      <c r="B92" s="7" t="s">
        <v>112</v>
      </c>
      <c r="C92" s="7" t="s">
        <v>113</v>
      </c>
      <c r="D92" s="7" t="s">
        <v>347</v>
      </c>
      <c r="E92" s="7" t="s">
        <v>547</v>
      </c>
      <c r="F92" s="7" t="s">
        <v>548</v>
      </c>
      <c r="G92" s="7" t="s">
        <v>194</v>
      </c>
      <c r="H92" s="7" t="s">
        <v>549</v>
      </c>
      <c r="I92" s="47">
        <v>1</v>
      </c>
      <c r="J92" s="47">
        <v>4</v>
      </c>
      <c r="K92" s="47">
        <f>J92*Parametros!$B$9</f>
        <v>2.8</v>
      </c>
      <c r="L92" s="7" t="s">
        <v>550</v>
      </c>
      <c r="M92" s="7"/>
      <c r="N92" s="7" t="s">
        <v>529</v>
      </c>
      <c r="O92" s="12" t="s">
        <v>103</v>
      </c>
    </row>
    <row r="93" spans="1:15" ht="24">
      <c r="A93" s="11" t="s">
        <v>33</v>
      </c>
      <c r="B93" s="7" t="s">
        <v>112</v>
      </c>
      <c r="C93" s="7" t="s">
        <v>113</v>
      </c>
      <c r="D93" s="7" t="s">
        <v>280</v>
      </c>
      <c r="E93" s="7" t="s">
        <v>551</v>
      </c>
      <c r="F93" s="7" t="s">
        <v>552</v>
      </c>
      <c r="G93" s="7" t="s">
        <v>194</v>
      </c>
      <c r="H93" s="7" t="s">
        <v>553</v>
      </c>
      <c r="I93" s="47">
        <v>0</v>
      </c>
      <c r="J93" s="47">
        <v>1.5</v>
      </c>
      <c r="K93" s="47">
        <f>J93*Parametros!$B$9</f>
        <v>1.0499999999999998</v>
      </c>
      <c r="L93" s="7" t="s">
        <v>554</v>
      </c>
      <c r="M93" s="7" t="s">
        <v>555</v>
      </c>
      <c r="N93" s="7" t="s">
        <v>535</v>
      </c>
      <c r="O93" s="12" t="s">
        <v>103</v>
      </c>
    </row>
    <row r="94" spans="1:15">
      <c r="A94" s="11" t="s">
        <v>33</v>
      </c>
      <c r="B94" s="7" t="s">
        <v>112</v>
      </c>
      <c r="C94" s="7" t="s">
        <v>113</v>
      </c>
      <c r="D94" s="7" t="s">
        <v>240</v>
      </c>
      <c r="E94" s="7" t="s">
        <v>556</v>
      </c>
      <c r="F94" s="7" t="s">
        <v>557</v>
      </c>
      <c r="G94" s="7" t="s">
        <v>162</v>
      </c>
      <c r="H94" s="7" t="s">
        <v>332</v>
      </c>
      <c r="I94" s="47">
        <v>5</v>
      </c>
      <c r="J94" s="47">
        <v>1</v>
      </c>
      <c r="K94" s="47">
        <f>J94*Parametros!$B$9</f>
        <v>0.7</v>
      </c>
      <c r="L94" s="7" t="s">
        <v>558</v>
      </c>
      <c r="M94" s="7"/>
      <c r="N94" s="7"/>
      <c r="O94" s="12" t="s">
        <v>103</v>
      </c>
    </row>
    <row r="95" spans="1:15">
      <c r="A95" s="11" t="s">
        <v>33</v>
      </c>
      <c r="B95" s="7" t="s">
        <v>112</v>
      </c>
      <c r="C95" s="7" t="s">
        <v>113</v>
      </c>
      <c r="D95" s="7" t="s">
        <v>559</v>
      </c>
      <c r="E95" s="7" t="s">
        <v>560</v>
      </c>
      <c r="F95" s="7" t="s">
        <v>561</v>
      </c>
      <c r="G95" s="7" t="s">
        <v>194</v>
      </c>
      <c r="H95" s="7" t="s">
        <v>163</v>
      </c>
      <c r="I95" s="47">
        <v>1</v>
      </c>
      <c r="J95" s="47">
        <v>3</v>
      </c>
      <c r="K95" s="47">
        <f>J95*Parametros!$B$9</f>
        <v>2.0999999999999996</v>
      </c>
      <c r="L95" s="7" t="s">
        <v>562</v>
      </c>
      <c r="M95" s="7"/>
      <c r="N95" s="7"/>
      <c r="O95" s="12" t="s">
        <v>103</v>
      </c>
    </row>
    <row r="96" spans="1:15">
      <c r="A96" s="11" t="s">
        <v>33</v>
      </c>
      <c r="B96" s="7" t="s">
        <v>112</v>
      </c>
      <c r="C96" s="7" t="s">
        <v>113</v>
      </c>
      <c r="D96" s="7" t="s">
        <v>358</v>
      </c>
      <c r="E96" s="7" t="s">
        <v>563</v>
      </c>
      <c r="F96" s="7" t="s">
        <v>564</v>
      </c>
      <c r="G96" s="7" t="s">
        <v>162</v>
      </c>
      <c r="H96" s="7" t="s">
        <v>361</v>
      </c>
      <c r="I96" s="47">
        <v>1</v>
      </c>
      <c r="J96" s="47">
        <v>2</v>
      </c>
      <c r="K96" s="47">
        <f>J96*Parametros!$B$9</f>
        <v>1.4</v>
      </c>
      <c r="L96" s="7" t="s">
        <v>565</v>
      </c>
      <c r="M96" s="7"/>
      <c r="N96" s="7" t="s">
        <v>529</v>
      </c>
      <c r="O96" s="12" t="s">
        <v>103</v>
      </c>
    </row>
    <row r="97" spans="1:15">
      <c r="A97" s="11" t="s">
        <v>33</v>
      </c>
      <c r="B97" s="7" t="s">
        <v>112</v>
      </c>
      <c r="C97" s="7" t="s">
        <v>113</v>
      </c>
      <c r="D97" s="7" t="s">
        <v>358</v>
      </c>
      <c r="E97" s="7" t="s">
        <v>566</v>
      </c>
      <c r="F97" s="7" t="s">
        <v>567</v>
      </c>
      <c r="G97" s="7" t="s">
        <v>162</v>
      </c>
      <c r="H97" s="7" t="s">
        <v>361</v>
      </c>
      <c r="I97" s="47">
        <v>1</v>
      </c>
      <c r="J97" s="47">
        <v>3</v>
      </c>
      <c r="K97" s="47">
        <f>J97*Parametros!$B$9</f>
        <v>2.0999999999999996</v>
      </c>
      <c r="L97" s="7" t="s">
        <v>568</v>
      </c>
      <c r="M97" s="7"/>
      <c r="N97" s="7" t="s">
        <v>563</v>
      </c>
      <c r="O97" s="12" t="s">
        <v>103</v>
      </c>
    </row>
    <row r="98" spans="1:15">
      <c r="A98" s="11" t="s">
        <v>33</v>
      </c>
      <c r="B98" s="7" t="s">
        <v>112</v>
      </c>
      <c r="C98" s="7" t="s">
        <v>113</v>
      </c>
      <c r="D98" s="7" t="s">
        <v>364</v>
      </c>
      <c r="E98" s="7" t="s">
        <v>569</v>
      </c>
      <c r="F98" s="7" t="s">
        <v>570</v>
      </c>
      <c r="G98" s="7" t="s">
        <v>162</v>
      </c>
      <c r="H98" s="7" t="s">
        <v>163</v>
      </c>
      <c r="I98" s="47">
        <v>1</v>
      </c>
      <c r="J98" s="47">
        <v>2.5</v>
      </c>
      <c r="K98" s="47">
        <f>J98*Parametros!$B$9</f>
        <v>1.75</v>
      </c>
      <c r="L98" s="7" t="s">
        <v>571</v>
      </c>
      <c r="M98" s="7"/>
      <c r="N98" s="7"/>
      <c r="O98" s="12" t="s">
        <v>103</v>
      </c>
    </row>
    <row r="99" spans="1:15">
      <c r="A99" s="11" t="s">
        <v>33</v>
      </c>
      <c r="B99" s="7" t="s">
        <v>114</v>
      </c>
      <c r="C99" s="7" t="s">
        <v>115</v>
      </c>
      <c r="D99" s="7" t="s">
        <v>572</v>
      </c>
      <c r="E99" s="7" t="s">
        <v>573</v>
      </c>
      <c r="F99" s="7" t="s">
        <v>574</v>
      </c>
      <c r="G99" s="7" t="s">
        <v>162</v>
      </c>
      <c r="H99" s="7" t="s">
        <v>163</v>
      </c>
      <c r="I99" s="47">
        <v>1</v>
      </c>
      <c r="J99" s="47">
        <v>1.5</v>
      </c>
      <c r="K99" s="47">
        <f>J99*Parametros!$B$9</f>
        <v>1.0499999999999998</v>
      </c>
      <c r="L99" s="7" t="s">
        <v>575</v>
      </c>
      <c r="M99" s="7"/>
      <c r="N99" s="7"/>
      <c r="O99" s="12" t="s">
        <v>103</v>
      </c>
    </row>
    <row r="100" spans="1:15">
      <c r="A100" s="11" t="s">
        <v>33</v>
      </c>
      <c r="B100" s="7" t="s">
        <v>114</v>
      </c>
      <c r="C100" s="7" t="s">
        <v>115</v>
      </c>
      <c r="D100" s="7" t="s">
        <v>572</v>
      </c>
      <c r="E100" s="7" t="s">
        <v>576</v>
      </c>
      <c r="F100" s="7" t="s">
        <v>577</v>
      </c>
      <c r="G100" s="7" t="s">
        <v>162</v>
      </c>
      <c r="H100" s="7" t="s">
        <v>361</v>
      </c>
      <c r="I100" s="47">
        <v>1</v>
      </c>
      <c r="J100" s="47">
        <v>2.5</v>
      </c>
      <c r="K100" s="47">
        <f>J100*Parametros!$B$9</f>
        <v>1.75</v>
      </c>
      <c r="L100" s="7" t="s">
        <v>578</v>
      </c>
      <c r="M100" s="7" t="s">
        <v>579</v>
      </c>
      <c r="N100" s="7" t="s">
        <v>573</v>
      </c>
      <c r="O100" s="12" t="s">
        <v>103</v>
      </c>
    </row>
    <row r="101" spans="1:15">
      <c r="A101" s="11" t="s">
        <v>33</v>
      </c>
      <c r="B101" s="7" t="s">
        <v>114</v>
      </c>
      <c r="C101" s="7" t="s">
        <v>115</v>
      </c>
      <c r="D101" s="7" t="s">
        <v>427</v>
      </c>
      <c r="E101" s="7" t="s">
        <v>580</v>
      </c>
      <c r="F101" s="7" t="s">
        <v>581</v>
      </c>
      <c r="G101" s="7" t="s">
        <v>184</v>
      </c>
      <c r="H101" s="7" t="s">
        <v>163</v>
      </c>
      <c r="I101" s="47">
        <v>1</v>
      </c>
      <c r="J101" s="47">
        <v>2.5</v>
      </c>
      <c r="K101" s="47">
        <f>J101*Parametros!$B$9</f>
        <v>1.75</v>
      </c>
      <c r="L101" s="7" t="s">
        <v>582</v>
      </c>
      <c r="M101" s="7"/>
      <c r="N101" s="7" t="s">
        <v>576</v>
      </c>
      <c r="O101" s="12" t="s">
        <v>103</v>
      </c>
    </row>
    <row r="102" spans="1:15">
      <c r="A102" s="11" t="s">
        <v>33</v>
      </c>
      <c r="B102" s="7" t="s">
        <v>114</v>
      </c>
      <c r="C102" s="7" t="s">
        <v>115</v>
      </c>
      <c r="D102" s="7" t="s">
        <v>427</v>
      </c>
      <c r="E102" s="7" t="s">
        <v>583</v>
      </c>
      <c r="F102" s="7" t="s">
        <v>584</v>
      </c>
      <c r="G102" s="7" t="s">
        <v>184</v>
      </c>
      <c r="H102" s="7" t="s">
        <v>163</v>
      </c>
      <c r="I102" s="47">
        <v>1</v>
      </c>
      <c r="J102" s="47">
        <v>3</v>
      </c>
      <c r="K102" s="47">
        <f>J102*Parametros!$B$9</f>
        <v>2.0999999999999996</v>
      </c>
      <c r="L102" s="7" t="s">
        <v>585</v>
      </c>
      <c r="M102" s="7"/>
      <c r="N102" s="7" t="s">
        <v>576</v>
      </c>
      <c r="O102" s="12" t="s">
        <v>103</v>
      </c>
    </row>
    <row r="103" spans="1:15">
      <c r="A103" s="11" t="s">
        <v>33</v>
      </c>
      <c r="B103" s="7" t="s">
        <v>114</v>
      </c>
      <c r="C103" s="7" t="s">
        <v>115</v>
      </c>
      <c r="D103" s="7" t="s">
        <v>251</v>
      </c>
      <c r="E103" s="7" t="s">
        <v>586</v>
      </c>
      <c r="F103" s="7" t="s">
        <v>587</v>
      </c>
      <c r="G103" s="7" t="s">
        <v>184</v>
      </c>
      <c r="H103" s="7" t="s">
        <v>163</v>
      </c>
      <c r="I103" s="47">
        <v>1</v>
      </c>
      <c r="J103" s="47">
        <v>3</v>
      </c>
      <c r="K103" s="47">
        <f>J103*Parametros!$B$9</f>
        <v>2.0999999999999996</v>
      </c>
      <c r="L103" s="7" t="s">
        <v>588</v>
      </c>
      <c r="M103" s="7"/>
      <c r="N103" s="7" t="s">
        <v>580</v>
      </c>
      <c r="O103" s="12" t="s">
        <v>103</v>
      </c>
    </row>
    <row r="104" spans="1:15">
      <c r="A104" s="11" t="s">
        <v>33</v>
      </c>
      <c r="B104" s="7" t="s">
        <v>114</v>
      </c>
      <c r="C104" s="7" t="s">
        <v>115</v>
      </c>
      <c r="D104" s="7" t="s">
        <v>251</v>
      </c>
      <c r="E104" s="7" t="s">
        <v>589</v>
      </c>
      <c r="F104" s="7" t="s">
        <v>590</v>
      </c>
      <c r="G104" s="7" t="s">
        <v>184</v>
      </c>
      <c r="H104" s="7" t="s">
        <v>591</v>
      </c>
      <c r="I104" s="47">
        <v>3</v>
      </c>
      <c r="J104" s="47">
        <v>1.5</v>
      </c>
      <c r="K104" s="47">
        <f>J104*Parametros!$B$9</f>
        <v>1.0499999999999998</v>
      </c>
      <c r="L104" s="7" t="s">
        <v>592</v>
      </c>
      <c r="M104" s="7"/>
      <c r="N104" s="7" t="s">
        <v>583</v>
      </c>
      <c r="O104" s="12" t="s">
        <v>103</v>
      </c>
    </row>
    <row r="105" spans="1:15">
      <c r="A105" s="11" t="s">
        <v>33</v>
      </c>
      <c r="B105" s="7" t="s">
        <v>114</v>
      </c>
      <c r="C105" s="7" t="s">
        <v>115</v>
      </c>
      <c r="D105" s="7" t="s">
        <v>251</v>
      </c>
      <c r="E105" s="7" t="s">
        <v>593</v>
      </c>
      <c r="F105" s="7" t="s">
        <v>594</v>
      </c>
      <c r="G105" s="7" t="s">
        <v>194</v>
      </c>
      <c r="H105" s="7" t="s">
        <v>595</v>
      </c>
      <c r="I105" s="47">
        <v>1</v>
      </c>
      <c r="J105" s="47">
        <v>2.5</v>
      </c>
      <c r="K105" s="47">
        <f>J105*Parametros!$B$9</f>
        <v>1.75</v>
      </c>
      <c r="L105" s="7" t="s">
        <v>596</v>
      </c>
      <c r="M105" s="7"/>
      <c r="N105" s="7"/>
      <c r="O105" s="12" t="s">
        <v>103</v>
      </c>
    </row>
    <row r="106" spans="1:15">
      <c r="A106" s="11" t="s">
        <v>33</v>
      </c>
      <c r="B106" s="7" t="s">
        <v>114</v>
      </c>
      <c r="C106" s="7" t="s">
        <v>115</v>
      </c>
      <c r="D106" s="7" t="s">
        <v>251</v>
      </c>
      <c r="E106" s="7" t="s">
        <v>597</v>
      </c>
      <c r="F106" s="7" t="s">
        <v>598</v>
      </c>
      <c r="G106" s="7" t="s">
        <v>194</v>
      </c>
      <c r="H106" s="7" t="s">
        <v>332</v>
      </c>
      <c r="I106" s="47">
        <v>1</v>
      </c>
      <c r="J106" s="47">
        <v>2</v>
      </c>
      <c r="K106" s="47">
        <f>J106*Parametros!$B$9</f>
        <v>1.4</v>
      </c>
      <c r="L106" s="7" t="s">
        <v>599</v>
      </c>
      <c r="M106" s="7"/>
      <c r="N106" s="7"/>
      <c r="O106" s="12" t="s">
        <v>103</v>
      </c>
    </row>
    <row r="107" spans="1:15">
      <c r="A107" s="11" t="s">
        <v>33</v>
      </c>
      <c r="B107" s="7" t="s">
        <v>114</v>
      </c>
      <c r="C107" s="7" t="s">
        <v>115</v>
      </c>
      <c r="D107" s="7" t="s">
        <v>600</v>
      </c>
      <c r="E107" s="7" t="s">
        <v>601</v>
      </c>
      <c r="F107" s="7" t="s">
        <v>602</v>
      </c>
      <c r="G107" s="7" t="s">
        <v>194</v>
      </c>
      <c r="H107" s="7" t="s">
        <v>603</v>
      </c>
      <c r="I107" s="47">
        <v>1</v>
      </c>
      <c r="J107" s="47">
        <v>3</v>
      </c>
      <c r="K107" s="47">
        <f>J107*Parametros!$B$9</f>
        <v>2.0999999999999996</v>
      </c>
      <c r="L107" s="7" t="s">
        <v>604</v>
      </c>
      <c r="M107" s="7" t="s">
        <v>605</v>
      </c>
      <c r="N107" s="7"/>
      <c r="O107" s="12" t="s">
        <v>103</v>
      </c>
    </row>
    <row r="108" spans="1:15">
      <c r="A108" s="11" t="s">
        <v>33</v>
      </c>
      <c r="B108" s="7" t="s">
        <v>114</v>
      </c>
      <c r="C108" s="7" t="s">
        <v>115</v>
      </c>
      <c r="D108" s="7" t="s">
        <v>600</v>
      </c>
      <c r="E108" s="7" t="s">
        <v>606</v>
      </c>
      <c r="F108" s="7" t="s">
        <v>607</v>
      </c>
      <c r="G108" s="7" t="s">
        <v>162</v>
      </c>
      <c r="H108" s="7" t="s">
        <v>163</v>
      </c>
      <c r="I108" s="47">
        <v>1</v>
      </c>
      <c r="J108" s="47">
        <v>2</v>
      </c>
      <c r="K108" s="47">
        <f>J108*Parametros!$B$9</f>
        <v>1.4</v>
      </c>
      <c r="L108" s="7" t="s">
        <v>608</v>
      </c>
      <c r="M108" s="7" t="s">
        <v>609</v>
      </c>
      <c r="N108" s="7" t="s">
        <v>576</v>
      </c>
      <c r="O108" s="12" t="s">
        <v>103</v>
      </c>
    </row>
    <row r="109" spans="1:15">
      <c r="A109" s="11" t="s">
        <v>33</v>
      </c>
      <c r="B109" s="7" t="s">
        <v>114</v>
      </c>
      <c r="C109" s="7" t="s">
        <v>115</v>
      </c>
      <c r="D109" s="7" t="s">
        <v>358</v>
      </c>
      <c r="E109" s="7" t="s">
        <v>610</v>
      </c>
      <c r="F109" s="7" t="s">
        <v>611</v>
      </c>
      <c r="G109" s="7" t="s">
        <v>162</v>
      </c>
      <c r="H109" s="7" t="s">
        <v>361</v>
      </c>
      <c r="I109" s="47">
        <v>1</v>
      </c>
      <c r="J109" s="47">
        <v>2</v>
      </c>
      <c r="K109" s="47">
        <f>J109*Parametros!$B$9</f>
        <v>1.4</v>
      </c>
      <c r="L109" s="7" t="s">
        <v>612</v>
      </c>
      <c r="M109" s="7"/>
      <c r="N109" s="7"/>
      <c r="O109" s="12" t="s">
        <v>103</v>
      </c>
    </row>
    <row r="110" spans="1:15">
      <c r="A110" s="11" t="s">
        <v>33</v>
      </c>
      <c r="B110" s="7" t="s">
        <v>114</v>
      </c>
      <c r="C110" s="7" t="s">
        <v>115</v>
      </c>
      <c r="D110" s="7" t="s">
        <v>364</v>
      </c>
      <c r="E110" s="7" t="s">
        <v>613</v>
      </c>
      <c r="F110" s="7" t="s">
        <v>614</v>
      </c>
      <c r="G110" s="7" t="s">
        <v>162</v>
      </c>
      <c r="H110" s="7" t="s">
        <v>163</v>
      </c>
      <c r="I110" s="47">
        <v>1</v>
      </c>
      <c r="J110" s="47">
        <v>1</v>
      </c>
      <c r="K110" s="47">
        <f>J110*Parametros!$B$9</f>
        <v>0.7</v>
      </c>
      <c r="L110" s="7" t="s">
        <v>615</v>
      </c>
      <c r="M110" s="7"/>
      <c r="N110" s="7"/>
      <c r="O110" s="12" t="s">
        <v>103</v>
      </c>
    </row>
    <row r="111" spans="1:15">
      <c r="A111" s="11" t="s">
        <v>37</v>
      </c>
      <c r="B111" s="7" t="s">
        <v>116</v>
      </c>
      <c r="C111" s="7" t="s">
        <v>117</v>
      </c>
      <c r="D111" s="7" t="s">
        <v>427</v>
      </c>
      <c r="E111" s="7" t="s">
        <v>616</v>
      </c>
      <c r="F111" s="7" t="s">
        <v>617</v>
      </c>
      <c r="G111" s="7" t="s">
        <v>162</v>
      </c>
      <c r="H111" s="7" t="s">
        <v>499</v>
      </c>
      <c r="I111" s="47">
        <v>3</v>
      </c>
      <c r="J111" s="47">
        <v>0.75</v>
      </c>
      <c r="K111" s="47">
        <f>J111*Parametros!$B$9</f>
        <v>0.52499999999999991</v>
      </c>
      <c r="L111" s="7" t="s">
        <v>618</v>
      </c>
      <c r="M111" s="7"/>
      <c r="N111" s="7"/>
      <c r="O111" s="12" t="s">
        <v>103</v>
      </c>
    </row>
    <row r="112" spans="1:15">
      <c r="A112" s="11" t="s">
        <v>37</v>
      </c>
      <c r="B112" s="7" t="s">
        <v>116</v>
      </c>
      <c r="C112" s="7" t="s">
        <v>117</v>
      </c>
      <c r="D112" s="7" t="s">
        <v>484</v>
      </c>
      <c r="E112" s="7" t="s">
        <v>619</v>
      </c>
      <c r="F112" s="7" t="s">
        <v>620</v>
      </c>
      <c r="G112" s="7" t="s">
        <v>162</v>
      </c>
      <c r="H112" s="7" t="s">
        <v>499</v>
      </c>
      <c r="I112" s="47">
        <v>3</v>
      </c>
      <c r="J112" s="47">
        <v>0.75</v>
      </c>
      <c r="K112" s="47">
        <f>J112*Parametros!$B$9</f>
        <v>0.52499999999999991</v>
      </c>
      <c r="L112" s="7" t="s">
        <v>621</v>
      </c>
      <c r="M112" s="7"/>
      <c r="N112" s="7"/>
      <c r="O112" s="12" t="s">
        <v>103</v>
      </c>
    </row>
    <row r="113" spans="1:15">
      <c r="A113" s="11" t="s">
        <v>37</v>
      </c>
      <c r="B113" s="7" t="s">
        <v>116</v>
      </c>
      <c r="C113" s="7" t="s">
        <v>117</v>
      </c>
      <c r="D113" s="7" t="s">
        <v>622</v>
      </c>
      <c r="E113" s="7" t="s">
        <v>623</v>
      </c>
      <c r="F113" s="7" t="s">
        <v>624</v>
      </c>
      <c r="G113" s="7" t="s">
        <v>184</v>
      </c>
      <c r="H113" s="7" t="s">
        <v>499</v>
      </c>
      <c r="I113" s="47">
        <v>3</v>
      </c>
      <c r="J113" s="47">
        <v>1</v>
      </c>
      <c r="K113" s="47">
        <f>J113*Parametros!$B$9</f>
        <v>0.7</v>
      </c>
      <c r="L113" s="7" t="s">
        <v>625</v>
      </c>
      <c r="M113" s="7"/>
      <c r="N113" s="7"/>
      <c r="O113" s="12" t="s">
        <v>103</v>
      </c>
    </row>
    <row r="114" spans="1:15">
      <c r="A114" s="11" t="s">
        <v>37</v>
      </c>
      <c r="B114" s="7" t="s">
        <v>116</v>
      </c>
      <c r="C114" s="7" t="s">
        <v>117</v>
      </c>
      <c r="D114" s="7" t="s">
        <v>622</v>
      </c>
      <c r="E114" s="7" t="s">
        <v>626</v>
      </c>
      <c r="F114" s="7" t="s">
        <v>627</v>
      </c>
      <c r="G114" s="7" t="s">
        <v>184</v>
      </c>
      <c r="H114" s="7" t="s">
        <v>338</v>
      </c>
      <c r="I114" s="47">
        <v>2</v>
      </c>
      <c r="J114" s="47">
        <v>1</v>
      </c>
      <c r="K114" s="47">
        <f>J114*Parametros!$B$9</f>
        <v>0.7</v>
      </c>
      <c r="L114" s="7" t="s">
        <v>628</v>
      </c>
      <c r="M114" s="7"/>
      <c r="N114" s="7"/>
      <c r="O114" s="12" t="s">
        <v>103</v>
      </c>
    </row>
    <row r="115" spans="1:15">
      <c r="A115" s="11" t="s">
        <v>37</v>
      </c>
      <c r="B115" s="7" t="s">
        <v>116</v>
      </c>
      <c r="C115" s="7" t="s">
        <v>117</v>
      </c>
      <c r="D115" s="7" t="s">
        <v>622</v>
      </c>
      <c r="E115" s="7" t="s">
        <v>629</v>
      </c>
      <c r="F115" s="7" t="s">
        <v>630</v>
      </c>
      <c r="G115" s="7" t="s">
        <v>194</v>
      </c>
      <c r="H115" s="7" t="s">
        <v>499</v>
      </c>
      <c r="I115" s="47">
        <v>3</v>
      </c>
      <c r="J115" s="47">
        <v>0.5</v>
      </c>
      <c r="K115" s="47">
        <f>J115*Parametros!$B$9</f>
        <v>0.35</v>
      </c>
      <c r="L115" s="7" t="s">
        <v>631</v>
      </c>
      <c r="M115" s="7"/>
      <c r="N115" s="7"/>
      <c r="O115" s="12" t="s">
        <v>103</v>
      </c>
    </row>
    <row r="116" spans="1:15">
      <c r="A116" s="11" t="s">
        <v>37</v>
      </c>
      <c r="B116" s="7" t="s">
        <v>116</v>
      </c>
      <c r="C116" s="7" t="s">
        <v>117</v>
      </c>
      <c r="D116" s="7" t="s">
        <v>632</v>
      </c>
      <c r="E116" s="7" t="s">
        <v>633</v>
      </c>
      <c r="F116" s="7" t="s">
        <v>634</v>
      </c>
      <c r="G116" s="7" t="s">
        <v>184</v>
      </c>
      <c r="H116" s="7" t="s">
        <v>309</v>
      </c>
      <c r="I116" s="47">
        <v>1</v>
      </c>
      <c r="J116" s="47">
        <v>2.5</v>
      </c>
      <c r="K116" s="47">
        <f>J116*Parametros!$B$9</f>
        <v>1.75</v>
      </c>
      <c r="L116" s="7" t="s">
        <v>635</v>
      </c>
      <c r="M116" s="7"/>
      <c r="N116" s="7"/>
      <c r="O116" s="12" t="s">
        <v>103</v>
      </c>
    </row>
    <row r="117" spans="1:15">
      <c r="A117" s="11" t="s">
        <v>37</v>
      </c>
      <c r="B117" s="7" t="s">
        <v>116</v>
      </c>
      <c r="C117" s="7" t="s">
        <v>117</v>
      </c>
      <c r="D117" s="7" t="s">
        <v>341</v>
      </c>
      <c r="E117" s="7" t="s">
        <v>636</v>
      </c>
      <c r="F117" s="7" t="s">
        <v>637</v>
      </c>
      <c r="G117" s="7" t="s">
        <v>184</v>
      </c>
      <c r="H117" s="7" t="s">
        <v>638</v>
      </c>
      <c r="I117" s="47">
        <v>1</v>
      </c>
      <c r="J117" s="47">
        <v>2</v>
      </c>
      <c r="K117" s="47">
        <f>J117*Parametros!$B$9</f>
        <v>1.4</v>
      </c>
      <c r="L117" s="7" t="s">
        <v>639</v>
      </c>
      <c r="M117" s="7"/>
      <c r="N117" s="7"/>
      <c r="O117" s="12" t="s">
        <v>103</v>
      </c>
    </row>
    <row r="118" spans="1:15">
      <c r="A118" s="11" t="s">
        <v>37</v>
      </c>
      <c r="B118" s="7" t="s">
        <v>116</v>
      </c>
      <c r="C118" s="7" t="s">
        <v>117</v>
      </c>
      <c r="D118" s="7" t="s">
        <v>240</v>
      </c>
      <c r="E118" s="7" t="s">
        <v>640</v>
      </c>
      <c r="F118" s="7" t="s">
        <v>641</v>
      </c>
      <c r="G118" s="7" t="s">
        <v>162</v>
      </c>
      <c r="H118" s="7" t="s">
        <v>456</v>
      </c>
      <c r="I118" s="47">
        <v>2</v>
      </c>
      <c r="J118" s="47">
        <v>1</v>
      </c>
      <c r="K118" s="47">
        <f>J118*Parametros!$B$9</f>
        <v>0.7</v>
      </c>
      <c r="L118" s="7" t="s">
        <v>642</v>
      </c>
      <c r="M118" s="7"/>
      <c r="N118" s="7"/>
      <c r="O118" s="12" t="s">
        <v>103</v>
      </c>
    </row>
    <row r="119" spans="1:15">
      <c r="A119" s="11" t="s">
        <v>37</v>
      </c>
      <c r="B119" s="7" t="s">
        <v>116</v>
      </c>
      <c r="C119" s="7" t="s">
        <v>117</v>
      </c>
      <c r="D119" s="7" t="s">
        <v>643</v>
      </c>
      <c r="E119" s="7" t="s">
        <v>644</v>
      </c>
      <c r="F119" s="7" t="s">
        <v>645</v>
      </c>
      <c r="G119" s="7" t="s">
        <v>162</v>
      </c>
      <c r="H119" s="7" t="s">
        <v>646</v>
      </c>
      <c r="I119" s="47">
        <v>1</v>
      </c>
      <c r="J119" s="47">
        <v>1.5</v>
      </c>
      <c r="K119" s="47">
        <f>J119*Parametros!$B$9</f>
        <v>1.0499999999999998</v>
      </c>
      <c r="L119" s="7" t="s">
        <v>647</v>
      </c>
      <c r="M119" s="7"/>
      <c r="N119" s="7"/>
      <c r="O119" s="12" t="s">
        <v>103</v>
      </c>
    </row>
    <row r="120" spans="1:15">
      <c r="A120" s="11" t="s">
        <v>37</v>
      </c>
      <c r="B120" s="7" t="s">
        <v>116</v>
      </c>
      <c r="C120" s="7" t="s">
        <v>117</v>
      </c>
      <c r="D120" s="7" t="s">
        <v>358</v>
      </c>
      <c r="E120" s="7" t="s">
        <v>648</v>
      </c>
      <c r="F120" s="7" t="s">
        <v>649</v>
      </c>
      <c r="G120" s="7" t="s">
        <v>162</v>
      </c>
      <c r="H120" s="7" t="s">
        <v>361</v>
      </c>
      <c r="I120" s="47">
        <v>1</v>
      </c>
      <c r="J120" s="47">
        <v>1.5</v>
      </c>
      <c r="K120" s="47">
        <f>J120*Parametros!$B$9</f>
        <v>1.0499999999999998</v>
      </c>
      <c r="L120" s="7" t="s">
        <v>650</v>
      </c>
      <c r="M120" s="7"/>
      <c r="N120" s="7"/>
      <c r="O120" s="12" t="s">
        <v>103</v>
      </c>
    </row>
    <row r="121" spans="1:15">
      <c r="A121" s="11" t="s">
        <v>37</v>
      </c>
      <c r="B121" s="7" t="s">
        <v>118</v>
      </c>
      <c r="C121" s="7" t="s">
        <v>119</v>
      </c>
      <c r="D121" s="7" t="s">
        <v>427</v>
      </c>
      <c r="E121" s="7" t="s">
        <v>651</v>
      </c>
      <c r="F121" s="7" t="s">
        <v>652</v>
      </c>
      <c r="G121" s="7" t="s">
        <v>162</v>
      </c>
      <c r="H121" s="7" t="s">
        <v>653</v>
      </c>
      <c r="I121" s="47">
        <v>4</v>
      </c>
      <c r="J121" s="47">
        <v>0.75</v>
      </c>
      <c r="K121" s="47">
        <f>J121*Parametros!$B$9</f>
        <v>0.52499999999999991</v>
      </c>
      <c r="L121" s="7" t="s">
        <v>654</v>
      </c>
      <c r="M121" s="7"/>
      <c r="N121" s="7"/>
      <c r="O121" s="12" t="s">
        <v>103</v>
      </c>
    </row>
    <row r="122" spans="1:15">
      <c r="A122" s="11" t="s">
        <v>37</v>
      </c>
      <c r="B122" s="7" t="s">
        <v>118</v>
      </c>
      <c r="C122" s="7" t="s">
        <v>119</v>
      </c>
      <c r="D122" s="7" t="s">
        <v>484</v>
      </c>
      <c r="E122" s="7" t="s">
        <v>655</v>
      </c>
      <c r="F122" s="7" t="s">
        <v>656</v>
      </c>
      <c r="G122" s="7" t="s">
        <v>162</v>
      </c>
      <c r="H122" s="7" t="s">
        <v>163</v>
      </c>
      <c r="I122" s="47">
        <v>1</v>
      </c>
      <c r="J122" s="47">
        <v>2</v>
      </c>
      <c r="K122" s="47">
        <f>J122*Parametros!$B$9</f>
        <v>1.4</v>
      </c>
      <c r="L122" s="7" t="s">
        <v>657</v>
      </c>
      <c r="M122" s="7"/>
      <c r="N122" s="7"/>
      <c r="O122" s="12" t="s">
        <v>103</v>
      </c>
    </row>
    <row r="123" spans="1:15">
      <c r="A123" s="11" t="s">
        <v>37</v>
      </c>
      <c r="B123" s="7" t="s">
        <v>118</v>
      </c>
      <c r="C123" s="7" t="s">
        <v>119</v>
      </c>
      <c r="D123" s="7" t="s">
        <v>658</v>
      </c>
      <c r="E123" s="7" t="s">
        <v>659</v>
      </c>
      <c r="F123" s="7" t="s">
        <v>660</v>
      </c>
      <c r="G123" s="7" t="s">
        <v>184</v>
      </c>
      <c r="H123" s="7" t="s">
        <v>653</v>
      </c>
      <c r="I123" s="47">
        <v>4</v>
      </c>
      <c r="J123" s="47">
        <v>1.5</v>
      </c>
      <c r="K123" s="47">
        <f>J123*Parametros!$B$9</f>
        <v>1.0499999999999998</v>
      </c>
      <c r="L123" s="7" t="s">
        <v>661</v>
      </c>
      <c r="M123" s="7"/>
      <c r="N123" s="7"/>
      <c r="O123" s="12" t="s">
        <v>103</v>
      </c>
    </row>
    <row r="124" spans="1:15">
      <c r="A124" s="11" t="s">
        <v>37</v>
      </c>
      <c r="B124" s="7" t="s">
        <v>118</v>
      </c>
      <c r="C124" s="7" t="s">
        <v>119</v>
      </c>
      <c r="D124" s="7" t="s">
        <v>658</v>
      </c>
      <c r="E124" s="7" t="s">
        <v>662</v>
      </c>
      <c r="F124" s="7" t="s">
        <v>663</v>
      </c>
      <c r="G124" s="7" t="s">
        <v>184</v>
      </c>
      <c r="H124" s="7" t="s">
        <v>653</v>
      </c>
      <c r="I124" s="47">
        <v>4</v>
      </c>
      <c r="J124" s="47">
        <v>1</v>
      </c>
      <c r="K124" s="47">
        <f>J124*Parametros!$B$9</f>
        <v>0.7</v>
      </c>
      <c r="L124" s="7" t="s">
        <v>664</v>
      </c>
      <c r="M124" s="7"/>
      <c r="N124" s="7"/>
      <c r="O124" s="12" t="s">
        <v>103</v>
      </c>
    </row>
    <row r="125" spans="1:15">
      <c r="A125" s="11" t="s">
        <v>37</v>
      </c>
      <c r="B125" s="7" t="s">
        <v>118</v>
      </c>
      <c r="C125" s="7" t="s">
        <v>119</v>
      </c>
      <c r="D125" s="7" t="s">
        <v>665</v>
      </c>
      <c r="E125" s="7" t="s">
        <v>666</v>
      </c>
      <c r="F125" s="7" t="s">
        <v>667</v>
      </c>
      <c r="G125" s="7" t="s">
        <v>194</v>
      </c>
      <c r="H125" s="7" t="s">
        <v>332</v>
      </c>
      <c r="I125" s="47">
        <v>2</v>
      </c>
      <c r="J125" s="47">
        <v>1.5</v>
      </c>
      <c r="K125" s="47">
        <f>J125*Parametros!$B$9</f>
        <v>1.0499999999999998</v>
      </c>
      <c r="L125" s="7" t="s">
        <v>668</v>
      </c>
      <c r="M125" s="7"/>
      <c r="N125" s="7"/>
      <c r="O125" s="12" t="s">
        <v>103</v>
      </c>
    </row>
    <row r="126" spans="1:15">
      <c r="A126" s="11" t="s">
        <v>37</v>
      </c>
      <c r="B126" s="7" t="s">
        <v>118</v>
      </c>
      <c r="C126" s="7" t="s">
        <v>119</v>
      </c>
      <c r="D126" s="7" t="s">
        <v>669</v>
      </c>
      <c r="E126" s="7" t="s">
        <v>670</v>
      </c>
      <c r="F126" s="7" t="s">
        <v>671</v>
      </c>
      <c r="G126" s="7" t="s">
        <v>162</v>
      </c>
      <c r="H126" s="7" t="s">
        <v>361</v>
      </c>
      <c r="I126" s="47">
        <v>1</v>
      </c>
      <c r="J126" s="47">
        <v>1.5</v>
      </c>
      <c r="K126" s="47">
        <f>J126*Parametros!$B$9</f>
        <v>1.0499999999999998</v>
      </c>
      <c r="L126" s="7" t="s">
        <v>672</v>
      </c>
      <c r="M126" s="7"/>
      <c r="N126" s="7"/>
      <c r="O126" s="12" t="s">
        <v>103</v>
      </c>
    </row>
    <row r="127" spans="1:15">
      <c r="A127" s="11" t="s">
        <v>37</v>
      </c>
      <c r="B127" s="7" t="s">
        <v>118</v>
      </c>
      <c r="C127" s="7" t="s">
        <v>119</v>
      </c>
      <c r="D127" s="7" t="s">
        <v>632</v>
      </c>
      <c r="E127" s="7" t="s">
        <v>673</v>
      </c>
      <c r="F127" s="7" t="s">
        <v>674</v>
      </c>
      <c r="G127" s="7" t="s">
        <v>184</v>
      </c>
      <c r="H127" s="7" t="s">
        <v>309</v>
      </c>
      <c r="I127" s="47">
        <v>1</v>
      </c>
      <c r="J127" s="47">
        <v>3</v>
      </c>
      <c r="K127" s="47">
        <f>J127*Parametros!$B$9</f>
        <v>2.0999999999999996</v>
      </c>
      <c r="L127" s="7" t="s">
        <v>675</v>
      </c>
      <c r="M127" s="7"/>
      <c r="N127" s="7"/>
      <c r="O127" s="12" t="s">
        <v>103</v>
      </c>
    </row>
    <row r="128" spans="1:15">
      <c r="A128" s="11" t="s">
        <v>37</v>
      </c>
      <c r="B128" s="7" t="s">
        <v>118</v>
      </c>
      <c r="C128" s="7" t="s">
        <v>119</v>
      </c>
      <c r="D128" s="7" t="s">
        <v>676</v>
      </c>
      <c r="E128" s="7" t="s">
        <v>677</v>
      </c>
      <c r="F128" s="7" t="s">
        <v>678</v>
      </c>
      <c r="G128" s="7" t="s">
        <v>184</v>
      </c>
      <c r="H128" s="7" t="s">
        <v>400</v>
      </c>
      <c r="I128" s="47">
        <v>3</v>
      </c>
      <c r="J128" s="47">
        <v>1</v>
      </c>
      <c r="K128" s="47">
        <f>J128*Parametros!$B$9</f>
        <v>0.7</v>
      </c>
      <c r="L128" s="7" t="s">
        <v>679</v>
      </c>
      <c r="M128" s="7"/>
      <c r="N128" s="7"/>
      <c r="O128" s="12" t="s">
        <v>103</v>
      </c>
    </row>
    <row r="129" spans="1:15">
      <c r="A129" s="11" t="s">
        <v>37</v>
      </c>
      <c r="B129" s="7" t="s">
        <v>118</v>
      </c>
      <c r="C129" s="7" t="s">
        <v>119</v>
      </c>
      <c r="D129" s="7" t="s">
        <v>240</v>
      </c>
      <c r="E129" s="7" t="s">
        <v>680</v>
      </c>
      <c r="F129" s="7" t="s">
        <v>681</v>
      </c>
      <c r="G129" s="7" t="s">
        <v>162</v>
      </c>
      <c r="H129" s="7" t="s">
        <v>456</v>
      </c>
      <c r="I129" s="47">
        <v>4</v>
      </c>
      <c r="J129" s="47">
        <v>0.75</v>
      </c>
      <c r="K129" s="47">
        <f>J129*Parametros!$B$9</f>
        <v>0.52499999999999991</v>
      </c>
      <c r="L129" s="7" t="s">
        <v>682</v>
      </c>
      <c r="M129" s="7"/>
      <c r="N129" s="7"/>
      <c r="O129" s="12" t="s">
        <v>103</v>
      </c>
    </row>
    <row r="130" spans="1:15">
      <c r="A130" s="11" t="s">
        <v>37</v>
      </c>
      <c r="B130" s="7" t="s">
        <v>118</v>
      </c>
      <c r="C130" s="7" t="s">
        <v>119</v>
      </c>
      <c r="D130" s="7" t="s">
        <v>643</v>
      </c>
      <c r="E130" s="7" t="s">
        <v>683</v>
      </c>
      <c r="F130" s="7" t="s">
        <v>684</v>
      </c>
      <c r="G130" s="7" t="s">
        <v>162</v>
      </c>
      <c r="H130" s="7" t="s">
        <v>646</v>
      </c>
      <c r="I130" s="47">
        <v>1</v>
      </c>
      <c r="J130" s="47">
        <v>1.5</v>
      </c>
      <c r="K130" s="47">
        <f>J130*Parametros!$B$9</f>
        <v>1.0499999999999998</v>
      </c>
      <c r="L130" s="7" t="s">
        <v>685</v>
      </c>
      <c r="M130" s="7"/>
      <c r="N130" s="7"/>
      <c r="O130" s="12" t="s">
        <v>103</v>
      </c>
    </row>
    <row r="131" spans="1:15">
      <c r="A131" s="11" t="s">
        <v>37</v>
      </c>
      <c r="B131" s="7" t="s">
        <v>120</v>
      </c>
      <c r="C131" s="7" t="s">
        <v>121</v>
      </c>
      <c r="D131" s="7" t="s">
        <v>427</v>
      </c>
      <c r="E131" s="7" t="s">
        <v>686</v>
      </c>
      <c r="F131" s="7" t="s">
        <v>687</v>
      </c>
      <c r="G131" s="7" t="s">
        <v>162</v>
      </c>
      <c r="H131" s="7" t="s">
        <v>688</v>
      </c>
      <c r="I131" s="47">
        <v>6</v>
      </c>
      <c r="J131" s="47">
        <v>0.5</v>
      </c>
      <c r="K131" s="47">
        <f>J131*Parametros!$B$9</f>
        <v>0.35</v>
      </c>
      <c r="L131" s="7" t="s">
        <v>689</v>
      </c>
      <c r="M131" s="7"/>
      <c r="N131" s="7"/>
      <c r="O131" s="12" t="s">
        <v>103</v>
      </c>
    </row>
    <row r="132" spans="1:15">
      <c r="A132" s="11" t="s">
        <v>37</v>
      </c>
      <c r="B132" s="7" t="s">
        <v>120</v>
      </c>
      <c r="C132" s="7" t="s">
        <v>121</v>
      </c>
      <c r="D132" s="7" t="s">
        <v>690</v>
      </c>
      <c r="E132" s="7" t="s">
        <v>691</v>
      </c>
      <c r="F132" s="7" t="s">
        <v>692</v>
      </c>
      <c r="G132" s="7" t="s">
        <v>184</v>
      </c>
      <c r="H132" s="7" t="s">
        <v>688</v>
      </c>
      <c r="I132" s="47">
        <v>4</v>
      </c>
      <c r="J132" s="47">
        <v>1.5</v>
      </c>
      <c r="K132" s="47">
        <f>J132*Parametros!$B$9</f>
        <v>1.0499999999999998</v>
      </c>
      <c r="L132" s="7" t="s">
        <v>693</v>
      </c>
      <c r="M132" s="7"/>
      <c r="N132" s="7"/>
      <c r="O132" s="12" t="s">
        <v>103</v>
      </c>
    </row>
    <row r="133" spans="1:15">
      <c r="A133" s="11" t="s">
        <v>37</v>
      </c>
      <c r="B133" s="7" t="s">
        <v>120</v>
      </c>
      <c r="C133" s="7" t="s">
        <v>121</v>
      </c>
      <c r="D133" s="7" t="s">
        <v>694</v>
      </c>
      <c r="E133" s="7" t="s">
        <v>695</v>
      </c>
      <c r="F133" s="7" t="s">
        <v>696</v>
      </c>
      <c r="G133" s="7" t="s">
        <v>184</v>
      </c>
      <c r="H133" s="7" t="s">
        <v>697</v>
      </c>
      <c r="I133" s="47">
        <v>2</v>
      </c>
      <c r="J133" s="47">
        <v>1.5</v>
      </c>
      <c r="K133" s="47">
        <f>J133*Parametros!$B$9</f>
        <v>1.0499999999999998</v>
      </c>
      <c r="L133" s="7" t="s">
        <v>698</v>
      </c>
      <c r="M133" s="7"/>
      <c r="N133" s="7"/>
      <c r="O133" s="12" t="s">
        <v>103</v>
      </c>
    </row>
    <row r="134" spans="1:15">
      <c r="A134" s="11" t="s">
        <v>37</v>
      </c>
      <c r="B134" s="7" t="s">
        <v>120</v>
      </c>
      <c r="C134" s="7" t="s">
        <v>121</v>
      </c>
      <c r="D134" s="7" t="s">
        <v>632</v>
      </c>
      <c r="E134" s="7" t="s">
        <v>699</v>
      </c>
      <c r="F134" s="7" t="s">
        <v>700</v>
      </c>
      <c r="G134" s="7" t="s">
        <v>184</v>
      </c>
      <c r="H134" s="7" t="s">
        <v>309</v>
      </c>
      <c r="I134" s="47">
        <v>1</v>
      </c>
      <c r="J134" s="47">
        <v>3</v>
      </c>
      <c r="K134" s="47">
        <f>J134*Parametros!$B$9</f>
        <v>2.0999999999999996</v>
      </c>
      <c r="L134" s="7" t="s">
        <v>701</v>
      </c>
      <c r="M134" s="7"/>
      <c r="N134" s="7"/>
      <c r="O134" s="12" t="s">
        <v>103</v>
      </c>
    </row>
    <row r="135" spans="1:15">
      <c r="A135" s="11" t="s">
        <v>37</v>
      </c>
      <c r="B135" s="7" t="s">
        <v>120</v>
      </c>
      <c r="C135" s="7" t="s">
        <v>121</v>
      </c>
      <c r="D135" s="7" t="s">
        <v>676</v>
      </c>
      <c r="E135" s="7" t="s">
        <v>702</v>
      </c>
      <c r="F135" s="7" t="s">
        <v>703</v>
      </c>
      <c r="G135" s="7" t="s">
        <v>184</v>
      </c>
      <c r="H135" s="7" t="s">
        <v>688</v>
      </c>
      <c r="I135" s="47">
        <v>5</v>
      </c>
      <c r="J135" s="47">
        <v>0.75</v>
      </c>
      <c r="K135" s="47">
        <f>J135*Parametros!$B$9</f>
        <v>0.52499999999999991</v>
      </c>
      <c r="L135" s="7" t="s">
        <v>704</v>
      </c>
      <c r="M135" s="7"/>
      <c r="N135" s="7"/>
      <c r="O135" s="12" t="s">
        <v>103</v>
      </c>
    </row>
    <row r="136" spans="1:15">
      <c r="A136" s="11" t="s">
        <v>37</v>
      </c>
      <c r="B136" s="7" t="s">
        <v>120</v>
      </c>
      <c r="C136" s="7" t="s">
        <v>121</v>
      </c>
      <c r="D136" s="7" t="s">
        <v>705</v>
      </c>
      <c r="E136" s="7" t="s">
        <v>706</v>
      </c>
      <c r="F136" s="7" t="s">
        <v>707</v>
      </c>
      <c r="G136" s="7" t="s">
        <v>194</v>
      </c>
      <c r="H136" s="7" t="s">
        <v>163</v>
      </c>
      <c r="I136" s="47">
        <v>1</v>
      </c>
      <c r="J136" s="47">
        <v>2.5</v>
      </c>
      <c r="K136" s="47">
        <f>J136*Parametros!$B$9</f>
        <v>1.75</v>
      </c>
      <c r="L136" s="7" t="s">
        <v>708</v>
      </c>
      <c r="M136" s="7"/>
      <c r="N136" s="7"/>
      <c r="O136" s="12" t="s">
        <v>103</v>
      </c>
    </row>
    <row r="137" spans="1:15">
      <c r="A137" s="11" t="s">
        <v>37</v>
      </c>
      <c r="B137" s="7" t="s">
        <v>120</v>
      </c>
      <c r="C137" s="7" t="s">
        <v>121</v>
      </c>
      <c r="D137" s="7" t="s">
        <v>709</v>
      </c>
      <c r="E137" s="7" t="s">
        <v>710</v>
      </c>
      <c r="F137" s="7" t="s">
        <v>711</v>
      </c>
      <c r="G137" s="7" t="s">
        <v>194</v>
      </c>
      <c r="H137" s="7" t="s">
        <v>332</v>
      </c>
      <c r="I137" s="47">
        <v>2</v>
      </c>
      <c r="J137" s="47">
        <v>1.5</v>
      </c>
      <c r="K137" s="47">
        <f>J137*Parametros!$B$9</f>
        <v>1.0499999999999998</v>
      </c>
      <c r="L137" s="7" t="s">
        <v>712</v>
      </c>
      <c r="M137" s="7"/>
      <c r="N137" s="7"/>
      <c r="O137" s="12" t="s">
        <v>103</v>
      </c>
    </row>
    <row r="138" spans="1:15">
      <c r="A138" s="11" t="s">
        <v>37</v>
      </c>
      <c r="B138" s="7" t="s">
        <v>120</v>
      </c>
      <c r="C138" s="7" t="s">
        <v>121</v>
      </c>
      <c r="D138" s="7" t="s">
        <v>240</v>
      </c>
      <c r="E138" s="7" t="s">
        <v>713</v>
      </c>
      <c r="F138" s="7" t="s">
        <v>714</v>
      </c>
      <c r="G138" s="7" t="s">
        <v>162</v>
      </c>
      <c r="H138" s="7" t="s">
        <v>456</v>
      </c>
      <c r="I138" s="47">
        <v>4</v>
      </c>
      <c r="J138" s="47">
        <v>0.75</v>
      </c>
      <c r="K138" s="47">
        <f>J138*Parametros!$B$9</f>
        <v>0.52499999999999991</v>
      </c>
      <c r="L138" s="7" t="s">
        <v>715</v>
      </c>
      <c r="M138" s="7"/>
      <c r="N138" s="7"/>
      <c r="O138" s="12" t="s">
        <v>103</v>
      </c>
    </row>
    <row r="139" spans="1:15">
      <c r="A139" s="11" t="s">
        <v>37</v>
      </c>
      <c r="B139" s="7" t="s">
        <v>120</v>
      </c>
      <c r="C139" s="7" t="s">
        <v>121</v>
      </c>
      <c r="D139" s="7" t="s">
        <v>341</v>
      </c>
      <c r="E139" s="7" t="s">
        <v>716</v>
      </c>
      <c r="F139" s="7" t="s">
        <v>717</v>
      </c>
      <c r="G139" s="7" t="s">
        <v>184</v>
      </c>
      <c r="H139" s="7" t="s">
        <v>638</v>
      </c>
      <c r="I139" s="47">
        <v>1</v>
      </c>
      <c r="J139" s="47">
        <v>2</v>
      </c>
      <c r="K139" s="47">
        <f>J139*Parametros!$B$9</f>
        <v>1.4</v>
      </c>
      <c r="L139" s="7" t="s">
        <v>718</v>
      </c>
      <c r="M139" s="7"/>
      <c r="N139" s="7"/>
      <c r="O139" s="12" t="s">
        <v>103</v>
      </c>
    </row>
    <row r="140" spans="1:15">
      <c r="A140" s="11" t="s">
        <v>37</v>
      </c>
      <c r="B140" s="7" t="s">
        <v>120</v>
      </c>
      <c r="C140" s="7" t="s">
        <v>121</v>
      </c>
      <c r="D140" s="7" t="s">
        <v>643</v>
      </c>
      <c r="E140" s="7" t="s">
        <v>719</v>
      </c>
      <c r="F140" s="7" t="s">
        <v>720</v>
      </c>
      <c r="G140" s="7" t="s">
        <v>162</v>
      </c>
      <c r="H140" s="7" t="s">
        <v>163</v>
      </c>
      <c r="I140" s="47">
        <v>1</v>
      </c>
      <c r="J140" s="47">
        <v>1.5</v>
      </c>
      <c r="K140" s="47">
        <f>J140*Parametros!$B$9</f>
        <v>1.0499999999999998</v>
      </c>
      <c r="L140" s="7" t="s">
        <v>721</v>
      </c>
      <c r="M140" s="7"/>
      <c r="N140" s="7"/>
      <c r="O140" s="12" t="s">
        <v>103</v>
      </c>
    </row>
    <row r="141" spans="1:15">
      <c r="A141" s="11" t="s">
        <v>41</v>
      </c>
      <c r="B141" s="7" t="s">
        <v>122</v>
      </c>
      <c r="C141" s="7" t="s">
        <v>123</v>
      </c>
      <c r="D141" s="7" t="s">
        <v>427</v>
      </c>
      <c r="E141" s="7" t="s">
        <v>722</v>
      </c>
      <c r="F141" s="7" t="s">
        <v>723</v>
      </c>
      <c r="G141" s="7" t="s">
        <v>162</v>
      </c>
      <c r="H141" s="7" t="s">
        <v>724</v>
      </c>
      <c r="I141" s="47">
        <v>4</v>
      </c>
      <c r="J141" s="47">
        <v>0.75</v>
      </c>
      <c r="K141" s="47">
        <f>J141*Parametros!$B$9</f>
        <v>0.52499999999999991</v>
      </c>
      <c r="L141" s="7" t="s">
        <v>725</v>
      </c>
      <c r="M141" s="7"/>
      <c r="N141" s="7"/>
      <c r="O141" s="12" t="s">
        <v>103</v>
      </c>
    </row>
    <row r="142" spans="1:15" ht="24">
      <c r="A142" s="11" t="s">
        <v>41</v>
      </c>
      <c r="B142" s="7" t="s">
        <v>122</v>
      </c>
      <c r="C142" s="7" t="s">
        <v>123</v>
      </c>
      <c r="D142" s="7" t="s">
        <v>484</v>
      </c>
      <c r="E142" s="7" t="s">
        <v>726</v>
      </c>
      <c r="F142" s="7" t="s">
        <v>727</v>
      </c>
      <c r="G142" s="7" t="s">
        <v>162</v>
      </c>
      <c r="H142" s="7" t="s">
        <v>499</v>
      </c>
      <c r="I142" s="47">
        <v>3</v>
      </c>
      <c r="J142" s="47">
        <v>1</v>
      </c>
      <c r="K142" s="47">
        <f>J142*Parametros!$B$9</f>
        <v>0.7</v>
      </c>
      <c r="L142" s="7" t="s">
        <v>728</v>
      </c>
      <c r="M142" s="7" t="s">
        <v>729</v>
      </c>
      <c r="N142" s="7"/>
      <c r="O142" s="12" t="s">
        <v>103</v>
      </c>
    </row>
    <row r="143" spans="1:15">
      <c r="A143" s="11" t="s">
        <v>41</v>
      </c>
      <c r="B143" s="7" t="s">
        <v>122</v>
      </c>
      <c r="C143" s="7" t="s">
        <v>123</v>
      </c>
      <c r="D143" s="7" t="s">
        <v>484</v>
      </c>
      <c r="E143" s="7" t="s">
        <v>730</v>
      </c>
      <c r="F143" s="7" t="s">
        <v>731</v>
      </c>
      <c r="G143" s="7" t="s">
        <v>162</v>
      </c>
      <c r="H143" s="7" t="s">
        <v>163</v>
      </c>
      <c r="I143" s="47">
        <v>1</v>
      </c>
      <c r="J143" s="47">
        <v>2</v>
      </c>
      <c r="K143" s="47">
        <f>J143*Parametros!$B$9</f>
        <v>1.4</v>
      </c>
      <c r="L143" s="7" t="s">
        <v>732</v>
      </c>
      <c r="M143" s="7"/>
      <c r="N143" s="7"/>
      <c r="O143" s="12" t="s">
        <v>103</v>
      </c>
    </row>
    <row r="144" spans="1:15">
      <c r="A144" s="11" t="s">
        <v>41</v>
      </c>
      <c r="B144" s="7" t="s">
        <v>122</v>
      </c>
      <c r="C144" s="7" t="s">
        <v>123</v>
      </c>
      <c r="D144" s="7" t="s">
        <v>658</v>
      </c>
      <c r="E144" s="7" t="s">
        <v>733</v>
      </c>
      <c r="F144" s="7" t="s">
        <v>734</v>
      </c>
      <c r="G144" s="7" t="s">
        <v>184</v>
      </c>
      <c r="H144" s="7" t="s">
        <v>395</v>
      </c>
      <c r="I144" s="47">
        <v>3</v>
      </c>
      <c r="J144" s="47">
        <v>1.5</v>
      </c>
      <c r="K144" s="47">
        <f>J144*Parametros!$B$9</f>
        <v>1.0499999999999998</v>
      </c>
      <c r="L144" s="7" t="s">
        <v>735</v>
      </c>
      <c r="M144" s="7"/>
      <c r="N144" s="7"/>
      <c r="O144" s="12" t="s">
        <v>103</v>
      </c>
    </row>
    <row r="145" spans="1:15">
      <c r="A145" s="11" t="s">
        <v>41</v>
      </c>
      <c r="B145" s="7" t="s">
        <v>122</v>
      </c>
      <c r="C145" s="7" t="s">
        <v>123</v>
      </c>
      <c r="D145" s="7" t="s">
        <v>658</v>
      </c>
      <c r="E145" s="7" t="s">
        <v>736</v>
      </c>
      <c r="F145" s="7" t="s">
        <v>737</v>
      </c>
      <c r="G145" s="7" t="s">
        <v>184</v>
      </c>
      <c r="H145" s="7" t="s">
        <v>361</v>
      </c>
      <c r="I145" s="47">
        <v>1</v>
      </c>
      <c r="J145" s="47">
        <v>1.5</v>
      </c>
      <c r="K145" s="47">
        <f>J145*Parametros!$B$9</f>
        <v>1.0499999999999998</v>
      </c>
      <c r="L145" s="7" t="s">
        <v>738</v>
      </c>
      <c r="M145" s="7"/>
      <c r="N145" s="7"/>
      <c r="O145" s="12" t="s">
        <v>103</v>
      </c>
    </row>
    <row r="146" spans="1:15">
      <c r="A146" s="11" t="s">
        <v>41</v>
      </c>
      <c r="B146" s="7" t="s">
        <v>122</v>
      </c>
      <c r="C146" s="7" t="s">
        <v>123</v>
      </c>
      <c r="D146" s="7" t="s">
        <v>658</v>
      </c>
      <c r="E146" s="7" t="s">
        <v>739</v>
      </c>
      <c r="F146" s="7" t="s">
        <v>740</v>
      </c>
      <c r="G146" s="7" t="s">
        <v>194</v>
      </c>
      <c r="H146" s="7" t="s">
        <v>741</v>
      </c>
      <c r="I146" s="47">
        <v>1</v>
      </c>
      <c r="J146" s="47">
        <v>2</v>
      </c>
      <c r="K146" s="47">
        <f>J146*Parametros!$B$9</f>
        <v>1.4</v>
      </c>
      <c r="L146" s="7" t="s">
        <v>742</v>
      </c>
      <c r="M146" s="7"/>
      <c r="N146" s="7"/>
      <c r="O146" s="12" t="s">
        <v>103</v>
      </c>
    </row>
    <row r="147" spans="1:15">
      <c r="A147" s="11" t="s">
        <v>41</v>
      </c>
      <c r="B147" s="7" t="s">
        <v>122</v>
      </c>
      <c r="C147" s="7" t="s">
        <v>123</v>
      </c>
      <c r="D147" s="7" t="s">
        <v>600</v>
      </c>
      <c r="E147" s="7" t="s">
        <v>743</v>
      </c>
      <c r="F147" s="7" t="s">
        <v>744</v>
      </c>
      <c r="G147" s="7" t="s">
        <v>162</v>
      </c>
      <c r="H147" s="7" t="s">
        <v>395</v>
      </c>
      <c r="I147" s="47">
        <v>3</v>
      </c>
      <c r="J147" s="47">
        <v>0.75</v>
      </c>
      <c r="K147" s="47">
        <f>J147*Parametros!$B$9</f>
        <v>0.52499999999999991</v>
      </c>
      <c r="L147" s="7" t="s">
        <v>745</v>
      </c>
      <c r="M147" s="7"/>
      <c r="N147" s="7"/>
      <c r="O147" s="12" t="s">
        <v>103</v>
      </c>
    </row>
    <row r="148" spans="1:15">
      <c r="A148" s="11" t="s">
        <v>41</v>
      </c>
      <c r="B148" s="7" t="s">
        <v>122</v>
      </c>
      <c r="C148" s="7" t="s">
        <v>123</v>
      </c>
      <c r="D148" s="7" t="s">
        <v>746</v>
      </c>
      <c r="E148" s="7" t="s">
        <v>747</v>
      </c>
      <c r="F148" s="7" t="s">
        <v>748</v>
      </c>
      <c r="G148" s="7" t="s">
        <v>162</v>
      </c>
      <c r="H148" s="7" t="s">
        <v>724</v>
      </c>
      <c r="I148" s="47">
        <v>2</v>
      </c>
      <c r="J148" s="47">
        <v>2</v>
      </c>
      <c r="K148" s="47">
        <f>J148*Parametros!$B$9</f>
        <v>1.4</v>
      </c>
      <c r="L148" s="7" t="s">
        <v>749</v>
      </c>
      <c r="M148" s="7"/>
      <c r="N148" s="7"/>
      <c r="O148" s="12" t="s">
        <v>103</v>
      </c>
    </row>
    <row r="149" spans="1:15">
      <c r="A149" s="11" t="s">
        <v>41</v>
      </c>
      <c r="B149" s="7" t="s">
        <v>122</v>
      </c>
      <c r="C149" s="7" t="s">
        <v>123</v>
      </c>
      <c r="D149" s="7" t="s">
        <v>676</v>
      </c>
      <c r="E149" s="7" t="s">
        <v>750</v>
      </c>
      <c r="F149" s="7" t="s">
        <v>751</v>
      </c>
      <c r="G149" s="7" t="s">
        <v>184</v>
      </c>
      <c r="H149" s="7" t="s">
        <v>338</v>
      </c>
      <c r="I149" s="47">
        <v>2</v>
      </c>
      <c r="J149" s="47">
        <v>0.75</v>
      </c>
      <c r="K149" s="47">
        <f>J149*Parametros!$B$9</f>
        <v>0.52499999999999991</v>
      </c>
      <c r="L149" s="7" t="s">
        <v>752</v>
      </c>
      <c r="M149" s="7"/>
      <c r="N149" s="7"/>
      <c r="O149" s="12" t="s">
        <v>103</v>
      </c>
    </row>
    <row r="150" spans="1:15" ht="24">
      <c r="A150" s="11" t="s">
        <v>41</v>
      </c>
      <c r="B150" s="7" t="s">
        <v>122</v>
      </c>
      <c r="C150" s="7" t="s">
        <v>123</v>
      </c>
      <c r="D150" s="7" t="s">
        <v>643</v>
      </c>
      <c r="E150" s="7" t="s">
        <v>753</v>
      </c>
      <c r="F150" s="7" t="s">
        <v>754</v>
      </c>
      <c r="G150" s="7" t="s">
        <v>162</v>
      </c>
      <c r="H150" s="7" t="s">
        <v>646</v>
      </c>
      <c r="I150" s="47">
        <v>1</v>
      </c>
      <c r="J150" s="47">
        <v>2</v>
      </c>
      <c r="K150" s="47">
        <f>J150*Parametros!$B$9</f>
        <v>1.4</v>
      </c>
      <c r="L150" s="7" t="s">
        <v>755</v>
      </c>
      <c r="M150" s="7" t="s">
        <v>756</v>
      </c>
      <c r="N150" s="7"/>
      <c r="O150" s="12" t="s">
        <v>103</v>
      </c>
    </row>
    <row r="151" spans="1:15">
      <c r="A151" s="11" t="s">
        <v>41</v>
      </c>
      <c r="B151" s="7" t="s">
        <v>124</v>
      </c>
      <c r="C151" s="7" t="s">
        <v>125</v>
      </c>
      <c r="D151" s="7" t="s">
        <v>476</v>
      </c>
      <c r="E151" s="7" t="s">
        <v>757</v>
      </c>
      <c r="F151" s="7" t="s">
        <v>758</v>
      </c>
      <c r="G151" s="7" t="s">
        <v>162</v>
      </c>
      <c r="H151" s="7" t="s">
        <v>759</v>
      </c>
      <c r="I151" s="47">
        <v>4</v>
      </c>
      <c r="J151" s="47">
        <v>1.25</v>
      </c>
      <c r="K151" s="47">
        <f>J151*Parametros!$B$9</f>
        <v>0.875</v>
      </c>
      <c r="L151" s="7" t="s">
        <v>760</v>
      </c>
      <c r="M151" s="7"/>
      <c r="N151" s="7"/>
      <c r="O151" s="12" t="s">
        <v>103</v>
      </c>
    </row>
    <row r="152" spans="1:15">
      <c r="A152" s="11" t="s">
        <v>41</v>
      </c>
      <c r="B152" s="7" t="s">
        <v>124</v>
      </c>
      <c r="C152" s="7" t="s">
        <v>125</v>
      </c>
      <c r="D152" s="7" t="s">
        <v>476</v>
      </c>
      <c r="E152" s="7" t="s">
        <v>761</v>
      </c>
      <c r="F152" s="7" t="s">
        <v>762</v>
      </c>
      <c r="G152" s="7" t="s">
        <v>162</v>
      </c>
      <c r="H152" s="7" t="s">
        <v>499</v>
      </c>
      <c r="I152" s="47">
        <v>4</v>
      </c>
      <c r="J152" s="47">
        <v>0.75</v>
      </c>
      <c r="K152" s="47">
        <f>J152*Parametros!$B$9</f>
        <v>0.52499999999999991</v>
      </c>
      <c r="L152" s="7" t="s">
        <v>763</v>
      </c>
      <c r="M152" s="7"/>
      <c r="N152" s="7"/>
      <c r="O152" s="12" t="s">
        <v>103</v>
      </c>
    </row>
    <row r="153" spans="1:15" ht="24">
      <c r="A153" s="11" t="s">
        <v>41</v>
      </c>
      <c r="B153" s="7" t="s">
        <v>124</v>
      </c>
      <c r="C153" s="7" t="s">
        <v>125</v>
      </c>
      <c r="D153" s="7" t="s">
        <v>764</v>
      </c>
      <c r="E153" s="7" t="s">
        <v>765</v>
      </c>
      <c r="F153" s="7" t="s">
        <v>766</v>
      </c>
      <c r="G153" s="7" t="s">
        <v>162</v>
      </c>
      <c r="H153" s="7" t="s">
        <v>499</v>
      </c>
      <c r="I153" s="47">
        <v>4</v>
      </c>
      <c r="J153" s="47">
        <v>1</v>
      </c>
      <c r="K153" s="47">
        <f>J153*Parametros!$B$9</f>
        <v>0.7</v>
      </c>
      <c r="L153" s="7" t="s">
        <v>767</v>
      </c>
      <c r="M153" s="7" t="s">
        <v>768</v>
      </c>
      <c r="N153" s="7"/>
      <c r="O153" s="12" t="s">
        <v>103</v>
      </c>
    </row>
    <row r="154" spans="1:15">
      <c r="A154" s="11" t="s">
        <v>41</v>
      </c>
      <c r="B154" s="7" t="s">
        <v>124</v>
      </c>
      <c r="C154" s="7" t="s">
        <v>125</v>
      </c>
      <c r="D154" s="7" t="s">
        <v>769</v>
      </c>
      <c r="E154" s="7" t="s">
        <v>770</v>
      </c>
      <c r="F154" s="7" t="s">
        <v>771</v>
      </c>
      <c r="G154" s="7" t="s">
        <v>162</v>
      </c>
      <c r="H154" s="7" t="s">
        <v>499</v>
      </c>
      <c r="I154" s="47">
        <v>3</v>
      </c>
      <c r="J154" s="47">
        <v>2</v>
      </c>
      <c r="K154" s="47">
        <f>J154*Parametros!$B$9</f>
        <v>1.4</v>
      </c>
      <c r="L154" s="7" t="s">
        <v>772</v>
      </c>
      <c r="M154" s="7"/>
      <c r="N154" s="7"/>
      <c r="O154" s="12" t="s">
        <v>103</v>
      </c>
    </row>
    <row r="155" spans="1:15" ht="24">
      <c r="A155" s="11" t="s">
        <v>41</v>
      </c>
      <c r="B155" s="7" t="s">
        <v>124</v>
      </c>
      <c r="C155" s="7" t="s">
        <v>125</v>
      </c>
      <c r="D155" s="7" t="s">
        <v>773</v>
      </c>
      <c r="E155" s="7" t="s">
        <v>774</v>
      </c>
      <c r="F155" s="7" t="s">
        <v>775</v>
      </c>
      <c r="G155" s="7" t="s">
        <v>184</v>
      </c>
      <c r="H155" s="7" t="s">
        <v>499</v>
      </c>
      <c r="I155" s="47">
        <v>3</v>
      </c>
      <c r="J155" s="47">
        <v>2.5</v>
      </c>
      <c r="K155" s="47">
        <f>J155*Parametros!$B$9</f>
        <v>1.75</v>
      </c>
      <c r="L155" s="7" t="s">
        <v>776</v>
      </c>
      <c r="M155" s="7" t="s">
        <v>777</v>
      </c>
      <c r="N155" s="7"/>
      <c r="O155" s="12" t="s">
        <v>103</v>
      </c>
    </row>
    <row r="156" spans="1:15">
      <c r="A156" s="11" t="s">
        <v>41</v>
      </c>
      <c r="B156" s="7" t="s">
        <v>124</v>
      </c>
      <c r="C156" s="7" t="s">
        <v>125</v>
      </c>
      <c r="D156" s="7" t="s">
        <v>778</v>
      </c>
      <c r="E156" s="7" t="s">
        <v>779</v>
      </c>
      <c r="F156" s="7" t="s">
        <v>780</v>
      </c>
      <c r="G156" s="7" t="s">
        <v>162</v>
      </c>
      <c r="H156" s="7" t="s">
        <v>163</v>
      </c>
      <c r="I156" s="47">
        <v>1</v>
      </c>
      <c r="J156" s="47">
        <v>1.5</v>
      </c>
      <c r="K156" s="47">
        <f>J156*Parametros!$B$9</f>
        <v>1.0499999999999998</v>
      </c>
      <c r="L156" s="7" t="s">
        <v>781</v>
      </c>
      <c r="M156" s="7"/>
      <c r="N156" s="7"/>
      <c r="O156" s="12" t="s">
        <v>103</v>
      </c>
    </row>
    <row r="157" spans="1:15">
      <c r="A157" s="11" t="s">
        <v>41</v>
      </c>
      <c r="B157" s="7" t="s">
        <v>124</v>
      </c>
      <c r="C157" s="7" t="s">
        <v>125</v>
      </c>
      <c r="D157" s="7" t="s">
        <v>782</v>
      </c>
      <c r="E157" s="7" t="s">
        <v>783</v>
      </c>
      <c r="F157" s="7" t="s">
        <v>784</v>
      </c>
      <c r="G157" s="7" t="s">
        <v>162</v>
      </c>
      <c r="H157" s="7" t="s">
        <v>785</v>
      </c>
      <c r="I157" s="47">
        <v>1</v>
      </c>
      <c r="J157" s="47">
        <v>2</v>
      </c>
      <c r="K157" s="47">
        <f>J157*Parametros!$B$9</f>
        <v>1.4</v>
      </c>
      <c r="L157" s="7" t="s">
        <v>786</v>
      </c>
      <c r="M157" s="7"/>
      <c r="N157" s="7"/>
      <c r="O157" s="12" t="s">
        <v>103</v>
      </c>
    </row>
    <row r="158" spans="1:15">
      <c r="A158" s="11" t="s">
        <v>41</v>
      </c>
      <c r="B158" s="7" t="s">
        <v>124</v>
      </c>
      <c r="C158" s="7" t="s">
        <v>125</v>
      </c>
      <c r="D158" s="7" t="s">
        <v>782</v>
      </c>
      <c r="E158" s="7" t="s">
        <v>787</v>
      </c>
      <c r="F158" s="7" t="s">
        <v>788</v>
      </c>
      <c r="G158" s="7" t="s">
        <v>162</v>
      </c>
      <c r="H158" s="7" t="s">
        <v>789</v>
      </c>
      <c r="I158" s="47">
        <v>1</v>
      </c>
      <c r="J158" s="47">
        <v>4</v>
      </c>
      <c r="K158" s="47">
        <f>J158*Parametros!$B$9</f>
        <v>2.8</v>
      </c>
      <c r="L158" s="7" t="s">
        <v>790</v>
      </c>
      <c r="M158" s="7"/>
      <c r="N158" s="7"/>
      <c r="O158" s="12" t="s">
        <v>103</v>
      </c>
    </row>
    <row r="159" spans="1:15">
      <c r="A159" s="11" t="s">
        <v>41</v>
      </c>
      <c r="B159" s="7" t="s">
        <v>124</v>
      </c>
      <c r="C159" s="7" t="s">
        <v>125</v>
      </c>
      <c r="D159" s="7" t="s">
        <v>791</v>
      </c>
      <c r="E159" s="7" t="s">
        <v>792</v>
      </c>
      <c r="F159" s="7" t="s">
        <v>793</v>
      </c>
      <c r="G159" s="7" t="s">
        <v>162</v>
      </c>
      <c r="H159" s="7" t="s">
        <v>163</v>
      </c>
      <c r="I159" s="47">
        <v>1</v>
      </c>
      <c r="J159" s="47">
        <v>2</v>
      </c>
      <c r="K159" s="47">
        <f>J159*Parametros!$B$9</f>
        <v>1.4</v>
      </c>
      <c r="L159" s="7" t="s">
        <v>794</v>
      </c>
      <c r="M159" s="7"/>
      <c r="N159" s="7"/>
      <c r="O159" s="12" t="s">
        <v>103</v>
      </c>
    </row>
    <row r="160" spans="1:15">
      <c r="A160" s="11" t="s">
        <v>41</v>
      </c>
      <c r="B160" s="7" t="s">
        <v>124</v>
      </c>
      <c r="C160" s="7" t="s">
        <v>125</v>
      </c>
      <c r="D160" s="7" t="s">
        <v>643</v>
      </c>
      <c r="E160" s="7" t="s">
        <v>795</v>
      </c>
      <c r="F160" s="7" t="s">
        <v>796</v>
      </c>
      <c r="G160" s="7" t="s">
        <v>184</v>
      </c>
      <c r="H160" s="7" t="s">
        <v>163</v>
      </c>
      <c r="I160" s="47">
        <v>1</v>
      </c>
      <c r="J160" s="47">
        <v>1</v>
      </c>
      <c r="K160" s="47">
        <f>J160*Parametros!$B$9</f>
        <v>0.7</v>
      </c>
      <c r="L160" s="7" t="s">
        <v>797</v>
      </c>
      <c r="M160" s="7"/>
      <c r="N160" s="7"/>
      <c r="O160" s="12" t="s">
        <v>103</v>
      </c>
    </row>
    <row r="161" spans="1:15">
      <c r="A161" s="11" t="s">
        <v>41</v>
      </c>
      <c r="B161" s="7" t="s">
        <v>126</v>
      </c>
      <c r="C161" s="7" t="s">
        <v>127</v>
      </c>
      <c r="D161" s="7" t="s">
        <v>427</v>
      </c>
      <c r="E161" s="7" t="s">
        <v>798</v>
      </c>
      <c r="F161" s="7" t="s">
        <v>799</v>
      </c>
      <c r="G161" s="7" t="s">
        <v>162</v>
      </c>
      <c r="H161" s="7" t="s">
        <v>653</v>
      </c>
      <c r="I161" s="47">
        <v>5</v>
      </c>
      <c r="J161" s="47">
        <v>0.75</v>
      </c>
      <c r="K161" s="47">
        <f>J161*Parametros!$B$9</f>
        <v>0.52499999999999991</v>
      </c>
      <c r="L161" s="7" t="s">
        <v>800</v>
      </c>
      <c r="M161" s="7"/>
      <c r="N161" s="7"/>
      <c r="O161" s="12" t="s">
        <v>103</v>
      </c>
    </row>
    <row r="162" spans="1:15">
      <c r="A162" s="11" t="s">
        <v>41</v>
      </c>
      <c r="B162" s="7" t="s">
        <v>126</v>
      </c>
      <c r="C162" s="7" t="s">
        <v>127</v>
      </c>
      <c r="D162" s="7" t="s">
        <v>801</v>
      </c>
      <c r="E162" s="7" t="s">
        <v>802</v>
      </c>
      <c r="F162" s="7" t="s">
        <v>803</v>
      </c>
      <c r="G162" s="7" t="s">
        <v>162</v>
      </c>
      <c r="H162" s="7" t="s">
        <v>804</v>
      </c>
      <c r="I162" s="47">
        <v>4</v>
      </c>
      <c r="J162" s="47">
        <v>1</v>
      </c>
      <c r="K162" s="47">
        <f>J162*Parametros!$B$9</f>
        <v>0.7</v>
      </c>
      <c r="L162" s="7" t="s">
        <v>805</v>
      </c>
      <c r="M162" s="7"/>
      <c r="N162" s="7"/>
      <c r="O162" s="12" t="s">
        <v>103</v>
      </c>
    </row>
    <row r="163" spans="1:15">
      <c r="A163" s="11" t="s">
        <v>41</v>
      </c>
      <c r="B163" s="7" t="s">
        <v>126</v>
      </c>
      <c r="C163" s="7" t="s">
        <v>127</v>
      </c>
      <c r="D163" s="7" t="s">
        <v>484</v>
      </c>
      <c r="E163" s="7" t="s">
        <v>806</v>
      </c>
      <c r="F163" s="7" t="s">
        <v>807</v>
      </c>
      <c r="G163" s="7" t="s">
        <v>162</v>
      </c>
      <c r="H163" s="7" t="s">
        <v>804</v>
      </c>
      <c r="I163" s="47">
        <v>4</v>
      </c>
      <c r="J163" s="47">
        <v>1</v>
      </c>
      <c r="K163" s="47">
        <f>J163*Parametros!$B$9</f>
        <v>0.7</v>
      </c>
      <c r="L163" s="7" t="s">
        <v>808</v>
      </c>
      <c r="M163" s="7"/>
      <c r="N163" s="7"/>
      <c r="O163" s="12" t="s">
        <v>103</v>
      </c>
    </row>
    <row r="164" spans="1:15">
      <c r="A164" s="11" t="s">
        <v>41</v>
      </c>
      <c r="B164" s="7" t="s">
        <v>126</v>
      </c>
      <c r="C164" s="7" t="s">
        <v>127</v>
      </c>
      <c r="D164" s="7" t="s">
        <v>658</v>
      </c>
      <c r="E164" s="7" t="s">
        <v>809</v>
      </c>
      <c r="F164" s="7" t="s">
        <v>810</v>
      </c>
      <c r="G164" s="7" t="s">
        <v>184</v>
      </c>
      <c r="H164" s="7" t="s">
        <v>320</v>
      </c>
      <c r="I164" s="47">
        <v>2</v>
      </c>
      <c r="J164" s="47">
        <v>2</v>
      </c>
      <c r="K164" s="47">
        <f>J164*Parametros!$B$9</f>
        <v>1.4</v>
      </c>
      <c r="L164" s="7" t="s">
        <v>811</v>
      </c>
      <c r="M164" s="7"/>
      <c r="N164" s="7"/>
      <c r="O164" s="12" t="s">
        <v>103</v>
      </c>
    </row>
    <row r="165" spans="1:15">
      <c r="A165" s="11" t="s">
        <v>41</v>
      </c>
      <c r="B165" s="7" t="s">
        <v>126</v>
      </c>
      <c r="C165" s="7" t="s">
        <v>127</v>
      </c>
      <c r="D165" s="7" t="s">
        <v>658</v>
      </c>
      <c r="E165" s="7" t="s">
        <v>812</v>
      </c>
      <c r="F165" s="7" t="s">
        <v>813</v>
      </c>
      <c r="G165" s="7" t="s">
        <v>194</v>
      </c>
      <c r="H165" s="7" t="s">
        <v>741</v>
      </c>
      <c r="I165" s="47">
        <v>1</v>
      </c>
      <c r="J165" s="47">
        <v>2</v>
      </c>
      <c r="K165" s="47">
        <f>J165*Parametros!$B$9</f>
        <v>1.4</v>
      </c>
      <c r="L165" s="7" t="s">
        <v>814</v>
      </c>
      <c r="M165" s="7"/>
      <c r="N165" s="7"/>
      <c r="O165" s="12" t="s">
        <v>103</v>
      </c>
    </row>
    <row r="166" spans="1:15">
      <c r="A166" s="11" t="s">
        <v>41</v>
      </c>
      <c r="B166" s="7" t="s">
        <v>126</v>
      </c>
      <c r="C166" s="7" t="s">
        <v>127</v>
      </c>
      <c r="D166" s="7" t="s">
        <v>815</v>
      </c>
      <c r="E166" s="7" t="s">
        <v>816</v>
      </c>
      <c r="F166" s="7" t="s">
        <v>817</v>
      </c>
      <c r="G166" s="7" t="s">
        <v>184</v>
      </c>
      <c r="H166" s="7" t="s">
        <v>456</v>
      </c>
      <c r="I166" s="47">
        <v>3</v>
      </c>
      <c r="J166" s="47">
        <v>0.75</v>
      </c>
      <c r="K166" s="47">
        <f>J166*Parametros!$B$9</f>
        <v>0.52499999999999991</v>
      </c>
      <c r="L166" s="7" t="s">
        <v>818</v>
      </c>
      <c r="M166" s="7"/>
      <c r="N166" s="7"/>
      <c r="O166" s="12" t="s">
        <v>103</v>
      </c>
    </row>
    <row r="167" spans="1:15">
      <c r="A167" s="11" t="s">
        <v>41</v>
      </c>
      <c r="B167" s="7" t="s">
        <v>126</v>
      </c>
      <c r="C167" s="7" t="s">
        <v>127</v>
      </c>
      <c r="D167" s="7" t="s">
        <v>600</v>
      </c>
      <c r="E167" s="7" t="s">
        <v>819</v>
      </c>
      <c r="F167" s="7" t="s">
        <v>820</v>
      </c>
      <c r="G167" s="7" t="s">
        <v>162</v>
      </c>
      <c r="H167" s="7" t="s">
        <v>456</v>
      </c>
      <c r="I167" s="47">
        <v>3</v>
      </c>
      <c r="J167" s="47">
        <v>1</v>
      </c>
      <c r="K167" s="47">
        <f>J167*Parametros!$B$9</f>
        <v>0.7</v>
      </c>
      <c r="L167" s="7" t="s">
        <v>821</v>
      </c>
      <c r="M167" s="7"/>
      <c r="N167" s="7"/>
      <c r="O167" s="12" t="s">
        <v>103</v>
      </c>
    </row>
    <row r="168" spans="1:15">
      <c r="A168" s="11" t="s">
        <v>41</v>
      </c>
      <c r="B168" s="7" t="s">
        <v>126</v>
      </c>
      <c r="C168" s="7" t="s">
        <v>127</v>
      </c>
      <c r="D168" s="7" t="s">
        <v>822</v>
      </c>
      <c r="E168" s="7" t="s">
        <v>823</v>
      </c>
      <c r="F168" s="7" t="s">
        <v>824</v>
      </c>
      <c r="G168" s="7" t="s">
        <v>162</v>
      </c>
      <c r="H168" s="7" t="s">
        <v>163</v>
      </c>
      <c r="I168" s="47">
        <v>1</v>
      </c>
      <c r="J168" s="47">
        <v>1</v>
      </c>
      <c r="K168" s="47">
        <f>J168*Parametros!$B$9</f>
        <v>0.7</v>
      </c>
      <c r="L168" s="7" t="s">
        <v>825</v>
      </c>
      <c r="M168" s="7"/>
      <c r="N168" s="7"/>
      <c r="O168" s="12" t="s">
        <v>103</v>
      </c>
    </row>
    <row r="169" spans="1:15">
      <c r="A169" s="11" t="s">
        <v>41</v>
      </c>
      <c r="B169" s="7" t="s">
        <v>126</v>
      </c>
      <c r="C169" s="7" t="s">
        <v>127</v>
      </c>
      <c r="D169" s="7" t="s">
        <v>364</v>
      </c>
      <c r="E169" s="7" t="s">
        <v>826</v>
      </c>
      <c r="F169" s="7" t="s">
        <v>827</v>
      </c>
      <c r="G169" s="7" t="s">
        <v>162</v>
      </c>
      <c r="H169" s="7" t="s">
        <v>163</v>
      </c>
      <c r="I169" s="47">
        <v>1</v>
      </c>
      <c r="J169" s="47">
        <v>1.5</v>
      </c>
      <c r="K169" s="47">
        <f>J169*Parametros!$B$9</f>
        <v>1.0499999999999998</v>
      </c>
      <c r="L169" s="7" t="s">
        <v>828</v>
      </c>
      <c r="M169" s="7"/>
      <c r="N169" s="7"/>
      <c r="O169" s="12" t="s">
        <v>103</v>
      </c>
    </row>
    <row r="170" spans="1:15">
      <c r="A170" s="11" t="s">
        <v>46</v>
      </c>
      <c r="B170" s="7" t="s">
        <v>128</v>
      </c>
      <c r="C170" s="7" t="s">
        <v>129</v>
      </c>
      <c r="D170" s="7" t="s">
        <v>427</v>
      </c>
      <c r="E170" s="7" t="s">
        <v>829</v>
      </c>
      <c r="F170" s="7" t="s">
        <v>830</v>
      </c>
      <c r="G170" s="7" t="s">
        <v>162</v>
      </c>
      <c r="H170" s="7" t="s">
        <v>724</v>
      </c>
      <c r="I170" s="47">
        <v>4</v>
      </c>
      <c r="J170" s="47">
        <v>0.75</v>
      </c>
      <c r="K170" s="47">
        <f>J170*Parametros!$B$9</f>
        <v>0.52499999999999991</v>
      </c>
      <c r="L170" s="7" t="s">
        <v>831</v>
      </c>
      <c r="M170" s="7"/>
      <c r="N170" s="7"/>
      <c r="O170" s="12" t="s">
        <v>103</v>
      </c>
    </row>
    <row r="171" spans="1:15">
      <c r="A171" s="11" t="s">
        <v>46</v>
      </c>
      <c r="B171" s="7" t="s">
        <v>128</v>
      </c>
      <c r="C171" s="7" t="s">
        <v>129</v>
      </c>
      <c r="D171" s="7" t="s">
        <v>427</v>
      </c>
      <c r="E171" s="7" t="s">
        <v>832</v>
      </c>
      <c r="F171" s="7" t="s">
        <v>833</v>
      </c>
      <c r="G171" s="7" t="s">
        <v>162</v>
      </c>
      <c r="H171" s="7" t="s">
        <v>361</v>
      </c>
      <c r="I171" s="47">
        <v>2</v>
      </c>
      <c r="J171" s="47">
        <v>1.5</v>
      </c>
      <c r="K171" s="47">
        <f>J171*Parametros!$B$9</f>
        <v>1.0499999999999998</v>
      </c>
      <c r="L171" s="7" t="s">
        <v>834</v>
      </c>
      <c r="M171" s="7"/>
      <c r="N171" s="7"/>
      <c r="O171" s="12" t="s">
        <v>103</v>
      </c>
    </row>
    <row r="172" spans="1:15">
      <c r="A172" s="11" t="s">
        <v>46</v>
      </c>
      <c r="B172" s="7" t="s">
        <v>128</v>
      </c>
      <c r="C172" s="7" t="s">
        <v>129</v>
      </c>
      <c r="D172" s="7" t="s">
        <v>835</v>
      </c>
      <c r="E172" s="7" t="s">
        <v>836</v>
      </c>
      <c r="F172" s="7" t="s">
        <v>837</v>
      </c>
      <c r="G172" s="7" t="s">
        <v>162</v>
      </c>
      <c r="H172" s="7" t="s">
        <v>838</v>
      </c>
      <c r="I172" s="47">
        <v>8</v>
      </c>
      <c r="J172" s="47">
        <v>0.25</v>
      </c>
      <c r="K172" s="47">
        <f>J172*Parametros!$B$9</f>
        <v>0.17499999999999999</v>
      </c>
      <c r="L172" s="7" t="s">
        <v>839</v>
      </c>
      <c r="M172" s="7"/>
      <c r="N172" s="7"/>
      <c r="O172" s="12" t="s">
        <v>103</v>
      </c>
    </row>
    <row r="173" spans="1:15">
      <c r="A173" s="11" t="s">
        <v>46</v>
      </c>
      <c r="B173" s="7" t="s">
        <v>128</v>
      </c>
      <c r="C173" s="7" t="s">
        <v>129</v>
      </c>
      <c r="D173" s="7" t="s">
        <v>835</v>
      </c>
      <c r="E173" s="7" t="s">
        <v>840</v>
      </c>
      <c r="F173" s="7" t="s">
        <v>841</v>
      </c>
      <c r="G173" s="7" t="s">
        <v>184</v>
      </c>
      <c r="H173" s="7" t="s">
        <v>838</v>
      </c>
      <c r="I173" s="47">
        <v>4</v>
      </c>
      <c r="J173" s="47">
        <v>0.25</v>
      </c>
      <c r="K173" s="47">
        <f>J173*Parametros!$B$9</f>
        <v>0.17499999999999999</v>
      </c>
      <c r="L173" s="7" t="s">
        <v>842</v>
      </c>
      <c r="M173" s="7"/>
      <c r="N173" s="7"/>
      <c r="O173" s="12" t="s">
        <v>103</v>
      </c>
    </row>
    <row r="174" spans="1:15">
      <c r="A174" s="11" t="s">
        <v>46</v>
      </c>
      <c r="B174" s="7" t="s">
        <v>128</v>
      </c>
      <c r="C174" s="7" t="s">
        <v>129</v>
      </c>
      <c r="D174" s="7" t="s">
        <v>622</v>
      </c>
      <c r="E174" s="7" t="s">
        <v>843</v>
      </c>
      <c r="F174" s="7" t="s">
        <v>844</v>
      </c>
      <c r="G174" s="7" t="s">
        <v>184</v>
      </c>
      <c r="H174" s="7" t="s">
        <v>361</v>
      </c>
      <c r="I174" s="47">
        <v>1</v>
      </c>
      <c r="J174" s="47">
        <v>4</v>
      </c>
      <c r="K174" s="47">
        <f>J174*Parametros!$B$9</f>
        <v>2.8</v>
      </c>
      <c r="L174" s="7" t="s">
        <v>845</v>
      </c>
      <c r="M174" s="7"/>
      <c r="N174" s="7"/>
      <c r="O174" s="12" t="s">
        <v>103</v>
      </c>
    </row>
    <row r="175" spans="1:15">
      <c r="A175" s="11" t="s">
        <v>46</v>
      </c>
      <c r="B175" s="7" t="s">
        <v>128</v>
      </c>
      <c r="C175" s="7" t="s">
        <v>129</v>
      </c>
      <c r="D175" s="7" t="s">
        <v>622</v>
      </c>
      <c r="E175" s="7" t="s">
        <v>846</v>
      </c>
      <c r="F175" s="7" t="s">
        <v>847</v>
      </c>
      <c r="G175" s="7" t="s">
        <v>194</v>
      </c>
      <c r="H175" s="7" t="s">
        <v>848</v>
      </c>
      <c r="I175" s="47">
        <v>1</v>
      </c>
      <c r="J175" s="47">
        <v>3</v>
      </c>
      <c r="K175" s="47">
        <f>J175*Parametros!$B$9</f>
        <v>2.0999999999999996</v>
      </c>
      <c r="L175" s="7" t="s">
        <v>849</v>
      </c>
      <c r="M175" s="7"/>
      <c r="N175" s="7"/>
      <c r="O175" s="12" t="s">
        <v>103</v>
      </c>
    </row>
    <row r="176" spans="1:15">
      <c r="A176" s="11" t="s">
        <v>46</v>
      </c>
      <c r="B176" s="7" t="s">
        <v>128</v>
      </c>
      <c r="C176" s="7" t="s">
        <v>129</v>
      </c>
      <c r="D176" s="7" t="s">
        <v>622</v>
      </c>
      <c r="E176" s="7" t="s">
        <v>850</v>
      </c>
      <c r="F176" s="7" t="s">
        <v>851</v>
      </c>
      <c r="G176" s="7" t="s">
        <v>194</v>
      </c>
      <c r="H176" s="7" t="s">
        <v>852</v>
      </c>
      <c r="I176" s="47">
        <v>1</v>
      </c>
      <c r="J176" s="47">
        <v>3</v>
      </c>
      <c r="K176" s="47">
        <f>J176*Parametros!$B$9</f>
        <v>2.0999999999999996</v>
      </c>
      <c r="L176" s="7" t="s">
        <v>853</v>
      </c>
      <c r="M176" s="7"/>
      <c r="N176" s="7"/>
      <c r="O176" s="12" t="s">
        <v>103</v>
      </c>
    </row>
    <row r="177" spans="1:15">
      <c r="A177" s="11" t="s">
        <v>46</v>
      </c>
      <c r="B177" s="7" t="s">
        <v>128</v>
      </c>
      <c r="C177" s="7" t="s">
        <v>129</v>
      </c>
      <c r="D177" s="7" t="s">
        <v>854</v>
      </c>
      <c r="E177" s="7" t="s">
        <v>855</v>
      </c>
      <c r="F177" s="7" t="s">
        <v>856</v>
      </c>
      <c r="G177" s="7" t="s">
        <v>184</v>
      </c>
      <c r="H177" s="7" t="s">
        <v>361</v>
      </c>
      <c r="I177" s="47">
        <v>1</v>
      </c>
      <c r="J177" s="47">
        <v>1.5</v>
      </c>
      <c r="K177" s="47">
        <f>J177*Parametros!$B$9</f>
        <v>1.0499999999999998</v>
      </c>
      <c r="L177" s="7" t="s">
        <v>857</v>
      </c>
      <c r="M177" s="7"/>
      <c r="N177" s="7"/>
      <c r="O177" s="12" t="s">
        <v>103</v>
      </c>
    </row>
    <row r="178" spans="1:15">
      <c r="A178" s="11" t="s">
        <v>46</v>
      </c>
      <c r="B178" s="7" t="s">
        <v>128</v>
      </c>
      <c r="C178" s="7" t="s">
        <v>129</v>
      </c>
      <c r="D178" s="7" t="s">
        <v>858</v>
      </c>
      <c r="E178" s="7" t="s">
        <v>859</v>
      </c>
      <c r="F178" s="7" t="s">
        <v>860</v>
      </c>
      <c r="G178" s="7" t="s">
        <v>184</v>
      </c>
      <c r="H178" s="7" t="s">
        <v>361</v>
      </c>
      <c r="I178" s="47">
        <v>1</v>
      </c>
      <c r="J178" s="47">
        <v>1.5</v>
      </c>
      <c r="K178" s="47">
        <f>J178*Parametros!$B$9</f>
        <v>1.0499999999999998</v>
      </c>
      <c r="L178" s="7" t="s">
        <v>861</v>
      </c>
      <c r="M178" s="7"/>
      <c r="N178" s="7"/>
      <c r="O178" s="12" t="s">
        <v>103</v>
      </c>
    </row>
    <row r="179" spans="1:15">
      <c r="A179" s="11" t="s">
        <v>46</v>
      </c>
      <c r="B179" s="7" t="s">
        <v>128</v>
      </c>
      <c r="C179" s="7" t="s">
        <v>129</v>
      </c>
      <c r="D179" s="7" t="s">
        <v>522</v>
      </c>
      <c r="E179" s="7" t="s">
        <v>862</v>
      </c>
      <c r="F179" s="7" t="s">
        <v>863</v>
      </c>
      <c r="G179" s="7" t="s">
        <v>184</v>
      </c>
      <c r="H179" s="7" t="s">
        <v>361</v>
      </c>
      <c r="I179" s="47">
        <v>1</v>
      </c>
      <c r="J179" s="47">
        <v>1.5</v>
      </c>
      <c r="K179" s="47">
        <f>J179*Parametros!$B$9</f>
        <v>1.0499999999999998</v>
      </c>
      <c r="L179" s="7" t="s">
        <v>864</v>
      </c>
      <c r="M179" s="7"/>
      <c r="N179" s="7"/>
      <c r="O179" s="12" t="s">
        <v>103</v>
      </c>
    </row>
    <row r="180" spans="1:15">
      <c r="A180" s="11" t="s">
        <v>46</v>
      </c>
      <c r="B180" s="7" t="s">
        <v>128</v>
      </c>
      <c r="C180" s="7" t="s">
        <v>129</v>
      </c>
      <c r="D180" s="7" t="s">
        <v>600</v>
      </c>
      <c r="E180" s="7" t="s">
        <v>865</v>
      </c>
      <c r="F180" s="7" t="s">
        <v>866</v>
      </c>
      <c r="G180" s="7" t="s">
        <v>162</v>
      </c>
      <c r="H180" s="7" t="s">
        <v>361</v>
      </c>
      <c r="I180" s="47">
        <v>2</v>
      </c>
      <c r="J180" s="47">
        <v>1</v>
      </c>
      <c r="K180" s="47">
        <f>J180*Parametros!$B$9</f>
        <v>0.7</v>
      </c>
      <c r="L180" s="7" t="s">
        <v>867</v>
      </c>
      <c r="M180" s="7"/>
      <c r="N180" s="7"/>
      <c r="O180" s="12" t="s">
        <v>103</v>
      </c>
    </row>
    <row r="181" spans="1:15">
      <c r="A181" s="11" t="s">
        <v>46</v>
      </c>
      <c r="B181" s="7" t="s">
        <v>128</v>
      </c>
      <c r="C181" s="7" t="s">
        <v>129</v>
      </c>
      <c r="D181" s="7" t="s">
        <v>240</v>
      </c>
      <c r="E181" s="7" t="s">
        <v>868</v>
      </c>
      <c r="F181" s="7" t="s">
        <v>869</v>
      </c>
      <c r="G181" s="7" t="s">
        <v>162</v>
      </c>
      <c r="H181" s="7" t="s">
        <v>456</v>
      </c>
      <c r="I181" s="47">
        <v>4</v>
      </c>
      <c r="J181" s="47">
        <v>0.5</v>
      </c>
      <c r="K181" s="47">
        <f>J181*Parametros!$B$9</f>
        <v>0.35</v>
      </c>
      <c r="L181" s="7" t="s">
        <v>870</v>
      </c>
      <c r="M181" s="7"/>
      <c r="N181" s="7"/>
      <c r="O181" s="12" t="s">
        <v>103</v>
      </c>
    </row>
    <row r="182" spans="1:15">
      <c r="A182" s="11" t="s">
        <v>46</v>
      </c>
      <c r="B182" s="7" t="s">
        <v>128</v>
      </c>
      <c r="C182" s="7" t="s">
        <v>129</v>
      </c>
      <c r="D182" s="7" t="s">
        <v>364</v>
      </c>
      <c r="E182" s="7" t="s">
        <v>871</v>
      </c>
      <c r="F182" s="7" t="s">
        <v>872</v>
      </c>
      <c r="G182" s="7" t="s">
        <v>162</v>
      </c>
      <c r="H182" s="7" t="s">
        <v>163</v>
      </c>
      <c r="I182" s="47">
        <v>1</v>
      </c>
      <c r="J182" s="47">
        <v>2</v>
      </c>
      <c r="K182" s="47">
        <f>J182*Parametros!$B$9</f>
        <v>1.4</v>
      </c>
      <c r="L182" s="7" t="s">
        <v>873</v>
      </c>
      <c r="M182" s="7"/>
      <c r="N182" s="7"/>
      <c r="O182" s="12" t="s">
        <v>103</v>
      </c>
    </row>
    <row r="183" spans="1:15">
      <c r="A183" s="11" t="s">
        <v>46</v>
      </c>
      <c r="B183" s="7" t="s">
        <v>130</v>
      </c>
      <c r="C183" s="7" t="s">
        <v>131</v>
      </c>
      <c r="D183" s="7" t="s">
        <v>480</v>
      </c>
      <c r="E183" s="7" t="s">
        <v>874</v>
      </c>
      <c r="F183" s="7" t="s">
        <v>875</v>
      </c>
      <c r="G183" s="7" t="s">
        <v>162</v>
      </c>
      <c r="H183" s="7" t="s">
        <v>724</v>
      </c>
      <c r="I183" s="47">
        <v>6</v>
      </c>
      <c r="J183" s="47">
        <v>0.5</v>
      </c>
      <c r="K183" s="47">
        <f>J183*Parametros!$B$9</f>
        <v>0.35</v>
      </c>
      <c r="L183" s="7" t="s">
        <v>876</v>
      </c>
      <c r="M183" s="7"/>
      <c r="N183" s="7"/>
      <c r="O183" s="12" t="s">
        <v>103</v>
      </c>
    </row>
    <row r="184" spans="1:15">
      <c r="A184" s="11" t="s">
        <v>46</v>
      </c>
      <c r="B184" s="7" t="s">
        <v>130</v>
      </c>
      <c r="C184" s="7" t="s">
        <v>131</v>
      </c>
      <c r="D184" s="7" t="s">
        <v>166</v>
      </c>
      <c r="E184" s="7" t="s">
        <v>877</v>
      </c>
      <c r="F184" s="7" t="s">
        <v>878</v>
      </c>
      <c r="G184" s="7" t="s">
        <v>162</v>
      </c>
      <c r="H184" s="7" t="s">
        <v>361</v>
      </c>
      <c r="I184" s="47">
        <v>2</v>
      </c>
      <c r="J184" s="47">
        <v>0.75</v>
      </c>
      <c r="K184" s="47">
        <f>J184*Parametros!$B$9</f>
        <v>0.52499999999999991</v>
      </c>
      <c r="L184" s="7" t="s">
        <v>879</v>
      </c>
      <c r="M184" s="7"/>
      <c r="N184" s="7"/>
      <c r="O184" s="12" t="s">
        <v>103</v>
      </c>
    </row>
    <row r="185" spans="1:15">
      <c r="A185" s="11" t="s">
        <v>46</v>
      </c>
      <c r="B185" s="7" t="s">
        <v>130</v>
      </c>
      <c r="C185" s="7" t="s">
        <v>131</v>
      </c>
      <c r="D185" s="7" t="s">
        <v>880</v>
      </c>
      <c r="E185" s="7" t="s">
        <v>881</v>
      </c>
      <c r="F185" s="7" t="s">
        <v>882</v>
      </c>
      <c r="G185" s="7" t="s">
        <v>184</v>
      </c>
      <c r="H185" s="7" t="s">
        <v>361</v>
      </c>
      <c r="I185" s="47">
        <v>2</v>
      </c>
      <c r="J185" s="47">
        <v>2</v>
      </c>
      <c r="K185" s="47">
        <f>J185*Parametros!$B$9</f>
        <v>1.4</v>
      </c>
      <c r="L185" s="7" t="s">
        <v>883</v>
      </c>
      <c r="M185" s="7"/>
      <c r="N185" s="7"/>
      <c r="O185" s="12" t="s">
        <v>103</v>
      </c>
    </row>
    <row r="186" spans="1:15">
      <c r="A186" s="11" t="s">
        <v>46</v>
      </c>
      <c r="B186" s="7" t="s">
        <v>130</v>
      </c>
      <c r="C186" s="7" t="s">
        <v>131</v>
      </c>
      <c r="D186" s="7" t="s">
        <v>476</v>
      </c>
      <c r="E186" s="7" t="s">
        <v>884</v>
      </c>
      <c r="F186" s="7" t="s">
        <v>885</v>
      </c>
      <c r="G186" s="7" t="s">
        <v>162</v>
      </c>
      <c r="H186" s="7" t="s">
        <v>553</v>
      </c>
      <c r="I186" s="47">
        <v>10</v>
      </c>
      <c r="J186" s="47">
        <v>0.2</v>
      </c>
      <c r="K186" s="47">
        <f>J186*Parametros!$B$9</f>
        <v>0.13999999999999999</v>
      </c>
      <c r="L186" s="7" t="s">
        <v>886</v>
      </c>
      <c r="M186" s="7"/>
      <c r="N186" s="7"/>
      <c r="O186" s="12" t="s">
        <v>103</v>
      </c>
    </row>
    <row r="187" spans="1:15">
      <c r="A187" s="11" t="s">
        <v>46</v>
      </c>
      <c r="B187" s="7" t="s">
        <v>130</v>
      </c>
      <c r="C187" s="7" t="s">
        <v>131</v>
      </c>
      <c r="D187" s="7" t="s">
        <v>887</v>
      </c>
      <c r="E187" s="7" t="s">
        <v>888</v>
      </c>
      <c r="F187" s="7" t="s">
        <v>889</v>
      </c>
      <c r="G187" s="7" t="s">
        <v>162</v>
      </c>
      <c r="H187" s="7" t="s">
        <v>553</v>
      </c>
      <c r="I187" s="47">
        <v>10</v>
      </c>
      <c r="J187" s="47">
        <v>0.2</v>
      </c>
      <c r="K187" s="47">
        <f>J187*Parametros!$B$9</f>
        <v>0.13999999999999999</v>
      </c>
      <c r="L187" s="7" t="s">
        <v>890</v>
      </c>
      <c r="M187" s="7"/>
      <c r="N187" s="7"/>
      <c r="O187" s="12" t="s">
        <v>103</v>
      </c>
    </row>
    <row r="188" spans="1:15">
      <c r="A188" s="11" t="s">
        <v>46</v>
      </c>
      <c r="B188" s="7" t="s">
        <v>130</v>
      </c>
      <c r="C188" s="7" t="s">
        <v>131</v>
      </c>
      <c r="D188" s="7" t="s">
        <v>159</v>
      </c>
      <c r="E188" s="7" t="s">
        <v>891</v>
      </c>
      <c r="F188" s="7" t="s">
        <v>892</v>
      </c>
      <c r="G188" s="7" t="s">
        <v>162</v>
      </c>
      <c r="H188" s="7" t="s">
        <v>163</v>
      </c>
      <c r="I188" s="47">
        <v>1</v>
      </c>
      <c r="J188" s="47">
        <v>2</v>
      </c>
      <c r="K188" s="47">
        <f>J188*Parametros!$B$9</f>
        <v>1.4</v>
      </c>
      <c r="L188" s="7" t="s">
        <v>893</v>
      </c>
      <c r="M188" s="7"/>
      <c r="N188" s="7"/>
      <c r="O188" s="12" t="s">
        <v>103</v>
      </c>
    </row>
    <row r="189" spans="1:15">
      <c r="A189" s="11" t="s">
        <v>46</v>
      </c>
      <c r="B189" s="7" t="s">
        <v>130</v>
      </c>
      <c r="C189" s="7" t="s">
        <v>131</v>
      </c>
      <c r="D189" s="7" t="s">
        <v>894</v>
      </c>
      <c r="E189" s="7" t="s">
        <v>895</v>
      </c>
      <c r="F189" s="7" t="s">
        <v>896</v>
      </c>
      <c r="G189" s="7" t="s">
        <v>184</v>
      </c>
      <c r="H189" s="7" t="s">
        <v>724</v>
      </c>
      <c r="I189" s="47">
        <v>4</v>
      </c>
      <c r="J189" s="47">
        <v>1</v>
      </c>
      <c r="K189" s="47">
        <f>J189*Parametros!$B$9</f>
        <v>0.7</v>
      </c>
      <c r="L189" s="7" t="s">
        <v>897</v>
      </c>
      <c r="M189" s="7"/>
      <c r="N189" s="7"/>
      <c r="O189" s="12" t="s">
        <v>103</v>
      </c>
    </row>
    <row r="190" spans="1:15">
      <c r="A190" s="11" t="s">
        <v>46</v>
      </c>
      <c r="B190" s="7" t="s">
        <v>130</v>
      </c>
      <c r="C190" s="7" t="s">
        <v>131</v>
      </c>
      <c r="D190" s="7" t="s">
        <v>894</v>
      </c>
      <c r="E190" s="7" t="s">
        <v>898</v>
      </c>
      <c r="F190" s="7" t="s">
        <v>899</v>
      </c>
      <c r="G190" s="7" t="s">
        <v>194</v>
      </c>
      <c r="H190" s="7" t="s">
        <v>553</v>
      </c>
      <c r="I190" s="47">
        <v>3</v>
      </c>
      <c r="J190" s="47">
        <v>1</v>
      </c>
      <c r="K190" s="47">
        <f>J190*Parametros!$B$9</f>
        <v>0.7</v>
      </c>
      <c r="L190" s="7" t="s">
        <v>900</v>
      </c>
      <c r="M190" s="7"/>
      <c r="N190" s="7"/>
      <c r="O190" s="12" t="s">
        <v>103</v>
      </c>
    </row>
    <row r="191" spans="1:15">
      <c r="A191" s="11" t="s">
        <v>46</v>
      </c>
      <c r="B191" s="7" t="s">
        <v>130</v>
      </c>
      <c r="C191" s="7" t="s">
        <v>131</v>
      </c>
      <c r="D191" s="7" t="s">
        <v>240</v>
      </c>
      <c r="E191" s="7" t="s">
        <v>901</v>
      </c>
      <c r="F191" s="7" t="s">
        <v>902</v>
      </c>
      <c r="G191" s="7" t="s">
        <v>162</v>
      </c>
      <c r="H191" s="7" t="s">
        <v>724</v>
      </c>
      <c r="I191" s="47">
        <v>4</v>
      </c>
      <c r="J191" s="47">
        <v>0.5</v>
      </c>
      <c r="K191" s="47">
        <f>J191*Parametros!$B$9</f>
        <v>0.35</v>
      </c>
      <c r="L191" s="7" t="s">
        <v>903</v>
      </c>
      <c r="M191" s="7"/>
      <c r="N191" s="7"/>
      <c r="O191" s="12" t="s">
        <v>103</v>
      </c>
    </row>
    <row r="192" spans="1:15">
      <c r="A192" s="11" t="s">
        <v>46</v>
      </c>
      <c r="B192" s="7" t="s">
        <v>130</v>
      </c>
      <c r="C192" s="7" t="s">
        <v>131</v>
      </c>
      <c r="D192" s="7" t="s">
        <v>904</v>
      </c>
      <c r="E192" s="7" t="s">
        <v>905</v>
      </c>
      <c r="F192" s="7" t="s">
        <v>906</v>
      </c>
      <c r="G192" s="7" t="s">
        <v>162</v>
      </c>
      <c r="H192" s="7" t="s">
        <v>361</v>
      </c>
      <c r="I192" s="47">
        <v>2</v>
      </c>
      <c r="J192" s="47">
        <v>1.5</v>
      </c>
      <c r="K192" s="47">
        <f>J192*Parametros!$B$9</f>
        <v>1.0499999999999998</v>
      </c>
      <c r="L192" s="7" t="s">
        <v>907</v>
      </c>
      <c r="M192" s="7"/>
      <c r="N192" s="7"/>
      <c r="O192" s="12" t="s">
        <v>103</v>
      </c>
    </row>
    <row r="193" spans="1:15">
      <c r="A193" s="11" t="s">
        <v>46</v>
      </c>
      <c r="B193" s="7" t="s">
        <v>130</v>
      </c>
      <c r="C193" s="7" t="s">
        <v>131</v>
      </c>
      <c r="D193" s="7" t="s">
        <v>364</v>
      </c>
      <c r="E193" s="7" t="s">
        <v>908</v>
      </c>
      <c r="F193" s="7" t="s">
        <v>909</v>
      </c>
      <c r="G193" s="7" t="s">
        <v>162</v>
      </c>
      <c r="H193" s="7" t="s">
        <v>163</v>
      </c>
      <c r="I193" s="47">
        <v>1</v>
      </c>
      <c r="J193" s="47">
        <v>2</v>
      </c>
      <c r="K193" s="47">
        <f>J193*Parametros!$B$9</f>
        <v>1.4</v>
      </c>
      <c r="L193" s="7" t="s">
        <v>910</v>
      </c>
      <c r="M193" s="7"/>
      <c r="N193" s="7"/>
      <c r="O193" s="12" t="s">
        <v>103</v>
      </c>
    </row>
    <row r="194" spans="1:15">
      <c r="A194" s="11" t="s">
        <v>46</v>
      </c>
      <c r="B194" s="7" t="s">
        <v>132</v>
      </c>
      <c r="C194" s="7" t="s">
        <v>133</v>
      </c>
      <c r="D194" s="7" t="s">
        <v>427</v>
      </c>
      <c r="E194" s="7" t="s">
        <v>911</v>
      </c>
      <c r="F194" s="7" t="s">
        <v>912</v>
      </c>
      <c r="G194" s="7" t="s">
        <v>162</v>
      </c>
      <c r="H194" s="7" t="s">
        <v>320</v>
      </c>
      <c r="I194" s="47">
        <v>2</v>
      </c>
      <c r="J194" s="47">
        <v>1.5</v>
      </c>
      <c r="K194" s="47">
        <f>J194*Parametros!$B$9</f>
        <v>1.0499999999999998</v>
      </c>
      <c r="L194" s="7" t="s">
        <v>913</v>
      </c>
      <c r="M194" s="7"/>
      <c r="N194" s="7"/>
      <c r="O194" s="12" t="s">
        <v>103</v>
      </c>
    </row>
    <row r="195" spans="1:15">
      <c r="A195" s="11" t="s">
        <v>46</v>
      </c>
      <c r="B195" s="7" t="s">
        <v>132</v>
      </c>
      <c r="C195" s="7" t="s">
        <v>133</v>
      </c>
      <c r="D195" s="7" t="s">
        <v>484</v>
      </c>
      <c r="E195" s="7" t="s">
        <v>914</v>
      </c>
      <c r="F195" s="7" t="s">
        <v>915</v>
      </c>
      <c r="G195" s="7" t="s">
        <v>162</v>
      </c>
      <c r="H195" s="7" t="s">
        <v>283</v>
      </c>
      <c r="I195" s="47">
        <v>4</v>
      </c>
      <c r="J195" s="47">
        <v>1</v>
      </c>
      <c r="K195" s="47">
        <f>J195*Parametros!$B$9</f>
        <v>0.7</v>
      </c>
      <c r="L195" s="7" t="s">
        <v>916</v>
      </c>
      <c r="M195" s="7"/>
      <c r="N195" s="7"/>
      <c r="O195" s="12" t="s">
        <v>103</v>
      </c>
    </row>
    <row r="196" spans="1:15">
      <c r="A196" s="11" t="s">
        <v>46</v>
      </c>
      <c r="B196" s="7" t="s">
        <v>132</v>
      </c>
      <c r="C196" s="7" t="s">
        <v>133</v>
      </c>
      <c r="D196" s="7" t="s">
        <v>484</v>
      </c>
      <c r="E196" s="7" t="s">
        <v>917</v>
      </c>
      <c r="F196" s="7" t="s">
        <v>918</v>
      </c>
      <c r="G196" s="7" t="s">
        <v>162</v>
      </c>
      <c r="H196" s="7" t="s">
        <v>283</v>
      </c>
      <c r="I196" s="47">
        <v>4</v>
      </c>
      <c r="J196" s="47">
        <v>1</v>
      </c>
      <c r="K196" s="47">
        <f>J196*Parametros!$B$9</f>
        <v>0.7</v>
      </c>
      <c r="L196" s="7" t="s">
        <v>919</v>
      </c>
      <c r="M196" s="7"/>
      <c r="N196" s="7"/>
      <c r="O196" s="12" t="s">
        <v>103</v>
      </c>
    </row>
    <row r="197" spans="1:15">
      <c r="A197" s="11" t="s">
        <v>46</v>
      </c>
      <c r="B197" s="7" t="s">
        <v>132</v>
      </c>
      <c r="C197" s="7" t="s">
        <v>133</v>
      </c>
      <c r="D197" s="7" t="s">
        <v>920</v>
      </c>
      <c r="E197" s="7" t="s">
        <v>921</v>
      </c>
      <c r="F197" s="7" t="s">
        <v>922</v>
      </c>
      <c r="G197" s="7" t="s">
        <v>184</v>
      </c>
      <c r="H197" s="7" t="s">
        <v>320</v>
      </c>
      <c r="I197" s="47">
        <v>1</v>
      </c>
      <c r="J197" s="47">
        <v>3</v>
      </c>
      <c r="K197" s="47">
        <f>J197*Parametros!$B$9</f>
        <v>2.0999999999999996</v>
      </c>
      <c r="L197" s="7" t="s">
        <v>923</v>
      </c>
      <c r="M197" s="7"/>
      <c r="N197" s="7"/>
      <c r="O197" s="12" t="s">
        <v>103</v>
      </c>
    </row>
    <row r="198" spans="1:15">
      <c r="A198" s="11" t="s">
        <v>46</v>
      </c>
      <c r="B198" s="7" t="s">
        <v>132</v>
      </c>
      <c r="C198" s="7" t="s">
        <v>133</v>
      </c>
      <c r="D198" s="7" t="s">
        <v>920</v>
      </c>
      <c r="E198" s="7" t="s">
        <v>924</v>
      </c>
      <c r="F198" s="7" t="s">
        <v>925</v>
      </c>
      <c r="G198" s="7" t="s">
        <v>184</v>
      </c>
      <c r="H198" s="7" t="s">
        <v>320</v>
      </c>
      <c r="I198" s="47">
        <v>1</v>
      </c>
      <c r="J198" s="47">
        <v>1.5</v>
      </c>
      <c r="K198" s="47">
        <f>J198*Parametros!$B$9</f>
        <v>1.0499999999999998</v>
      </c>
      <c r="L198" s="7" t="s">
        <v>926</v>
      </c>
      <c r="M198" s="7"/>
      <c r="N198" s="7"/>
      <c r="O198" s="12" t="s">
        <v>103</v>
      </c>
    </row>
    <row r="199" spans="1:15">
      <c r="A199" s="11" t="s">
        <v>46</v>
      </c>
      <c r="B199" s="7" t="s">
        <v>132</v>
      </c>
      <c r="C199" s="7" t="s">
        <v>133</v>
      </c>
      <c r="D199" s="7" t="s">
        <v>927</v>
      </c>
      <c r="E199" s="7" t="s">
        <v>928</v>
      </c>
      <c r="F199" s="7" t="s">
        <v>929</v>
      </c>
      <c r="G199" s="7" t="s">
        <v>184</v>
      </c>
      <c r="H199" s="7" t="s">
        <v>283</v>
      </c>
      <c r="I199" s="47">
        <v>4</v>
      </c>
      <c r="J199" s="47">
        <v>1</v>
      </c>
      <c r="K199" s="47">
        <f>J199*Parametros!$B$9</f>
        <v>0.7</v>
      </c>
      <c r="L199" s="7" t="s">
        <v>930</v>
      </c>
      <c r="M199" s="7"/>
      <c r="N199" s="7"/>
      <c r="O199" s="12" t="s">
        <v>103</v>
      </c>
    </row>
    <row r="200" spans="1:15">
      <c r="A200" s="11" t="s">
        <v>46</v>
      </c>
      <c r="B200" s="7" t="s">
        <v>132</v>
      </c>
      <c r="C200" s="7" t="s">
        <v>133</v>
      </c>
      <c r="D200" s="7" t="s">
        <v>931</v>
      </c>
      <c r="E200" s="7" t="s">
        <v>932</v>
      </c>
      <c r="F200" s="7" t="s">
        <v>933</v>
      </c>
      <c r="G200" s="7" t="s">
        <v>162</v>
      </c>
      <c r="H200" s="7" t="s">
        <v>759</v>
      </c>
      <c r="I200" s="47">
        <v>1</v>
      </c>
      <c r="J200" s="47">
        <v>2</v>
      </c>
      <c r="K200" s="47">
        <f>J200*Parametros!$B$9</f>
        <v>1.4</v>
      </c>
      <c r="L200" s="7" t="s">
        <v>934</v>
      </c>
      <c r="M200" s="7"/>
      <c r="N200" s="7"/>
      <c r="O200" s="12" t="s">
        <v>103</v>
      </c>
    </row>
    <row r="201" spans="1:15">
      <c r="A201" s="11" t="s">
        <v>46</v>
      </c>
      <c r="B201" s="7" t="s">
        <v>132</v>
      </c>
      <c r="C201" s="7" t="s">
        <v>133</v>
      </c>
      <c r="D201" s="7" t="s">
        <v>935</v>
      </c>
      <c r="E201" s="7" t="s">
        <v>936</v>
      </c>
      <c r="F201" s="7" t="s">
        <v>937</v>
      </c>
      <c r="G201" s="7" t="s">
        <v>194</v>
      </c>
      <c r="H201" s="7" t="s">
        <v>838</v>
      </c>
      <c r="I201" s="47">
        <v>4</v>
      </c>
      <c r="J201" s="47">
        <v>0.5</v>
      </c>
      <c r="K201" s="47">
        <f>J201*Parametros!$B$9</f>
        <v>0.35</v>
      </c>
      <c r="L201" s="7" t="s">
        <v>938</v>
      </c>
      <c r="M201" s="7"/>
      <c r="N201" s="7"/>
      <c r="O201" s="12" t="s">
        <v>103</v>
      </c>
    </row>
    <row r="202" spans="1:15">
      <c r="A202" s="11" t="s">
        <v>46</v>
      </c>
      <c r="B202" s="7" t="s">
        <v>132</v>
      </c>
      <c r="C202" s="7" t="s">
        <v>133</v>
      </c>
      <c r="D202" s="7" t="s">
        <v>522</v>
      </c>
      <c r="E202" s="7" t="s">
        <v>939</v>
      </c>
      <c r="F202" s="7" t="s">
        <v>940</v>
      </c>
      <c r="G202" s="7" t="s">
        <v>184</v>
      </c>
      <c r="H202" s="7" t="s">
        <v>320</v>
      </c>
      <c r="I202" s="47">
        <v>1</v>
      </c>
      <c r="J202" s="47">
        <v>1.5</v>
      </c>
      <c r="K202" s="47">
        <f>J202*Parametros!$B$9</f>
        <v>1.0499999999999998</v>
      </c>
      <c r="L202" s="7" t="s">
        <v>941</v>
      </c>
      <c r="M202" s="7"/>
      <c r="N202" s="7"/>
      <c r="O202" s="12" t="s">
        <v>103</v>
      </c>
    </row>
    <row r="203" spans="1:15">
      <c r="A203" s="11" t="s">
        <v>46</v>
      </c>
      <c r="B203" s="7" t="s">
        <v>132</v>
      </c>
      <c r="C203" s="7" t="s">
        <v>133</v>
      </c>
      <c r="D203" s="7" t="s">
        <v>240</v>
      </c>
      <c r="E203" s="7" t="s">
        <v>942</v>
      </c>
      <c r="F203" s="7" t="s">
        <v>943</v>
      </c>
      <c r="G203" s="7" t="s">
        <v>162</v>
      </c>
      <c r="H203" s="7" t="s">
        <v>456</v>
      </c>
      <c r="I203" s="47">
        <v>8</v>
      </c>
      <c r="J203" s="47">
        <v>0.5</v>
      </c>
      <c r="K203" s="47">
        <f>J203*Parametros!$B$9</f>
        <v>0.35</v>
      </c>
      <c r="L203" s="7" t="s">
        <v>944</v>
      </c>
      <c r="M203" s="7"/>
      <c r="N203" s="7"/>
      <c r="O203" s="12" t="s">
        <v>103</v>
      </c>
    </row>
    <row r="204" spans="1:15">
      <c r="A204" s="11" t="s">
        <v>46</v>
      </c>
      <c r="B204" s="7" t="s">
        <v>132</v>
      </c>
      <c r="C204" s="7" t="s">
        <v>133</v>
      </c>
      <c r="D204" s="7" t="s">
        <v>364</v>
      </c>
      <c r="E204" s="7" t="s">
        <v>945</v>
      </c>
      <c r="F204" s="7" t="s">
        <v>720</v>
      </c>
      <c r="G204" s="7" t="s">
        <v>162</v>
      </c>
      <c r="H204" s="7" t="s">
        <v>163</v>
      </c>
      <c r="I204" s="47">
        <v>1</v>
      </c>
      <c r="J204" s="47">
        <v>2</v>
      </c>
      <c r="K204" s="47">
        <f>J204*Parametros!$B$9</f>
        <v>1.4</v>
      </c>
      <c r="L204" s="7" t="s">
        <v>946</v>
      </c>
      <c r="M204" s="7"/>
      <c r="N204" s="7"/>
      <c r="O204" s="12" t="s">
        <v>103</v>
      </c>
    </row>
    <row r="205" spans="1:15">
      <c r="A205" s="11" t="s">
        <v>46</v>
      </c>
      <c r="B205" s="7" t="s">
        <v>134</v>
      </c>
      <c r="C205" s="7" t="s">
        <v>135</v>
      </c>
      <c r="D205" s="7" t="s">
        <v>947</v>
      </c>
      <c r="E205" s="7" t="s">
        <v>948</v>
      </c>
      <c r="F205" s="7" t="s">
        <v>949</v>
      </c>
      <c r="G205" s="7" t="s">
        <v>162</v>
      </c>
      <c r="H205" s="7" t="s">
        <v>785</v>
      </c>
      <c r="I205" s="47">
        <v>4</v>
      </c>
      <c r="J205" s="47">
        <v>0.75</v>
      </c>
      <c r="K205" s="47">
        <f>J205*Parametros!$B$9</f>
        <v>0.52499999999999991</v>
      </c>
      <c r="L205" s="7" t="s">
        <v>950</v>
      </c>
      <c r="M205" s="7"/>
      <c r="N205" s="7"/>
      <c r="O205" s="12" t="s">
        <v>103</v>
      </c>
    </row>
    <row r="206" spans="1:15">
      <c r="A206" s="11" t="s">
        <v>46</v>
      </c>
      <c r="B206" s="7" t="s">
        <v>134</v>
      </c>
      <c r="C206" s="7" t="s">
        <v>135</v>
      </c>
      <c r="D206" s="7" t="s">
        <v>951</v>
      </c>
      <c r="E206" s="7" t="s">
        <v>952</v>
      </c>
      <c r="F206" s="7" t="s">
        <v>953</v>
      </c>
      <c r="G206" s="7" t="s">
        <v>162</v>
      </c>
      <c r="H206" s="7" t="s">
        <v>163</v>
      </c>
      <c r="I206" s="47">
        <v>1</v>
      </c>
      <c r="J206" s="47">
        <v>1.5</v>
      </c>
      <c r="K206" s="47">
        <f>J206*Parametros!$B$9</f>
        <v>1.0499999999999998</v>
      </c>
      <c r="L206" s="7" t="s">
        <v>954</v>
      </c>
      <c r="M206" s="7"/>
      <c r="N206" s="7"/>
      <c r="O206" s="12" t="s">
        <v>103</v>
      </c>
    </row>
    <row r="207" spans="1:15">
      <c r="A207" s="11" t="s">
        <v>46</v>
      </c>
      <c r="B207" s="7" t="s">
        <v>134</v>
      </c>
      <c r="C207" s="7" t="s">
        <v>135</v>
      </c>
      <c r="D207" s="7" t="s">
        <v>955</v>
      </c>
      <c r="E207" s="7" t="s">
        <v>956</v>
      </c>
      <c r="F207" s="7" t="s">
        <v>957</v>
      </c>
      <c r="G207" s="7" t="s">
        <v>162</v>
      </c>
      <c r="H207" s="7" t="s">
        <v>283</v>
      </c>
      <c r="I207" s="47">
        <v>5</v>
      </c>
      <c r="J207" s="47">
        <v>0.5</v>
      </c>
      <c r="K207" s="47">
        <f>J207*Parametros!$B$9</f>
        <v>0.35</v>
      </c>
      <c r="L207" s="7" t="s">
        <v>958</v>
      </c>
      <c r="M207" s="7"/>
      <c r="N207" s="7"/>
      <c r="O207" s="12" t="s">
        <v>103</v>
      </c>
    </row>
    <row r="208" spans="1:15">
      <c r="A208" s="11" t="s">
        <v>46</v>
      </c>
      <c r="B208" s="7" t="s">
        <v>134</v>
      </c>
      <c r="C208" s="7" t="s">
        <v>135</v>
      </c>
      <c r="D208" s="7" t="s">
        <v>773</v>
      </c>
      <c r="E208" s="7" t="s">
        <v>959</v>
      </c>
      <c r="F208" s="7" t="s">
        <v>960</v>
      </c>
      <c r="G208" s="7" t="s">
        <v>184</v>
      </c>
      <c r="H208" s="7" t="s">
        <v>785</v>
      </c>
      <c r="I208" s="47">
        <v>2</v>
      </c>
      <c r="J208" s="47">
        <v>1.5</v>
      </c>
      <c r="K208" s="47">
        <f>J208*Parametros!$B$9</f>
        <v>1.0499999999999998</v>
      </c>
      <c r="L208" s="7" t="s">
        <v>961</v>
      </c>
      <c r="M208" s="7"/>
      <c r="N208" s="7"/>
      <c r="O208" s="12" t="s">
        <v>103</v>
      </c>
    </row>
    <row r="209" spans="1:15">
      <c r="A209" s="11" t="s">
        <v>46</v>
      </c>
      <c r="B209" s="7" t="s">
        <v>134</v>
      </c>
      <c r="C209" s="7" t="s">
        <v>135</v>
      </c>
      <c r="D209" s="7" t="s">
        <v>773</v>
      </c>
      <c r="E209" s="7" t="s">
        <v>962</v>
      </c>
      <c r="F209" s="7" t="s">
        <v>963</v>
      </c>
      <c r="G209" s="7" t="s">
        <v>184</v>
      </c>
      <c r="H209" s="7" t="s">
        <v>785</v>
      </c>
      <c r="I209" s="47">
        <v>2</v>
      </c>
      <c r="J209" s="47">
        <v>2</v>
      </c>
      <c r="K209" s="47">
        <f>J209*Parametros!$B$9</f>
        <v>1.4</v>
      </c>
      <c r="L209" s="7" t="s">
        <v>964</v>
      </c>
      <c r="M209" s="7"/>
      <c r="N209" s="7"/>
      <c r="O209" s="12" t="s">
        <v>103</v>
      </c>
    </row>
    <row r="210" spans="1:15">
      <c r="A210" s="11" t="s">
        <v>46</v>
      </c>
      <c r="B210" s="7" t="s">
        <v>134</v>
      </c>
      <c r="C210" s="7" t="s">
        <v>135</v>
      </c>
      <c r="D210" s="7" t="s">
        <v>773</v>
      </c>
      <c r="E210" s="7" t="s">
        <v>965</v>
      </c>
      <c r="F210" s="7" t="s">
        <v>966</v>
      </c>
      <c r="G210" s="7" t="s">
        <v>184</v>
      </c>
      <c r="H210" s="7" t="s">
        <v>785</v>
      </c>
      <c r="I210" s="47">
        <v>2</v>
      </c>
      <c r="J210" s="47">
        <v>1.5</v>
      </c>
      <c r="K210" s="47">
        <f>J210*Parametros!$B$9</f>
        <v>1.0499999999999998</v>
      </c>
      <c r="L210" s="7" t="s">
        <v>967</v>
      </c>
      <c r="M210" s="7"/>
      <c r="N210" s="7"/>
      <c r="O210" s="12" t="s">
        <v>103</v>
      </c>
    </row>
    <row r="211" spans="1:15">
      <c r="A211" s="11" t="s">
        <v>46</v>
      </c>
      <c r="B211" s="7" t="s">
        <v>134</v>
      </c>
      <c r="C211" s="7" t="s">
        <v>135</v>
      </c>
      <c r="D211" s="7" t="s">
        <v>778</v>
      </c>
      <c r="E211" s="7" t="s">
        <v>968</v>
      </c>
      <c r="F211" s="7" t="s">
        <v>969</v>
      </c>
      <c r="G211" s="7" t="s">
        <v>162</v>
      </c>
      <c r="H211" s="7" t="s">
        <v>163</v>
      </c>
      <c r="I211" s="47">
        <v>1</v>
      </c>
      <c r="J211" s="47">
        <v>1.5</v>
      </c>
      <c r="K211" s="47">
        <f>J211*Parametros!$B$9</f>
        <v>1.0499999999999998</v>
      </c>
      <c r="L211" s="7" t="s">
        <v>970</v>
      </c>
      <c r="M211" s="7"/>
      <c r="N211" s="7"/>
      <c r="O211" s="12" t="s">
        <v>103</v>
      </c>
    </row>
    <row r="212" spans="1:15">
      <c r="A212" s="11" t="s">
        <v>46</v>
      </c>
      <c r="B212" s="7" t="s">
        <v>134</v>
      </c>
      <c r="C212" s="7" t="s">
        <v>135</v>
      </c>
      <c r="D212" s="7" t="s">
        <v>971</v>
      </c>
      <c r="E212" s="7" t="s">
        <v>972</v>
      </c>
      <c r="F212" s="7" t="s">
        <v>973</v>
      </c>
      <c r="G212" s="7" t="s">
        <v>184</v>
      </c>
      <c r="H212" s="7" t="s">
        <v>653</v>
      </c>
      <c r="I212" s="47">
        <v>4</v>
      </c>
      <c r="J212" s="47">
        <v>0.75</v>
      </c>
      <c r="K212" s="47">
        <f>J212*Parametros!$B$9</f>
        <v>0.52499999999999991</v>
      </c>
      <c r="L212" s="7" t="s">
        <v>974</v>
      </c>
      <c r="M212" s="7"/>
      <c r="N212" s="7"/>
      <c r="O212" s="12" t="s">
        <v>103</v>
      </c>
    </row>
    <row r="213" spans="1:15">
      <c r="A213" s="11" t="s">
        <v>46</v>
      </c>
      <c r="B213" s="7" t="s">
        <v>134</v>
      </c>
      <c r="C213" s="7" t="s">
        <v>135</v>
      </c>
      <c r="D213" s="7" t="s">
        <v>975</v>
      </c>
      <c r="E213" s="7" t="s">
        <v>976</v>
      </c>
      <c r="F213" s="7" t="s">
        <v>977</v>
      </c>
      <c r="G213" s="7" t="s">
        <v>162</v>
      </c>
      <c r="H213" s="7" t="s">
        <v>789</v>
      </c>
      <c r="I213" s="47">
        <v>1</v>
      </c>
      <c r="J213" s="47">
        <v>2</v>
      </c>
      <c r="K213" s="47">
        <f>J213*Parametros!$B$9</f>
        <v>1.4</v>
      </c>
      <c r="L213" s="7" t="s">
        <v>978</v>
      </c>
      <c r="M213" s="7"/>
      <c r="N213" s="7"/>
      <c r="O213" s="12" t="s">
        <v>103</v>
      </c>
    </row>
    <row r="214" spans="1:15">
      <c r="A214" s="11" t="s">
        <v>46</v>
      </c>
      <c r="B214" s="7" t="s">
        <v>134</v>
      </c>
      <c r="C214" s="7" t="s">
        <v>135</v>
      </c>
      <c r="D214" s="7" t="s">
        <v>975</v>
      </c>
      <c r="E214" s="7" t="s">
        <v>979</v>
      </c>
      <c r="F214" s="7" t="s">
        <v>980</v>
      </c>
      <c r="G214" s="7" t="s">
        <v>162</v>
      </c>
      <c r="H214" s="7" t="s">
        <v>789</v>
      </c>
      <c r="I214" s="47">
        <v>1</v>
      </c>
      <c r="J214" s="47">
        <v>3</v>
      </c>
      <c r="K214" s="47">
        <f>J214*Parametros!$B$9</f>
        <v>2.0999999999999996</v>
      </c>
      <c r="L214" s="7" t="s">
        <v>981</v>
      </c>
      <c r="M214" s="7"/>
      <c r="N214" s="7"/>
      <c r="O214" s="12" t="s">
        <v>103</v>
      </c>
    </row>
    <row r="215" spans="1:15">
      <c r="A215" s="11" t="s">
        <v>46</v>
      </c>
      <c r="B215" s="7" t="s">
        <v>134</v>
      </c>
      <c r="C215" s="7" t="s">
        <v>135</v>
      </c>
      <c r="D215" s="7" t="s">
        <v>791</v>
      </c>
      <c r="E215" s="7" t="s">
        <v>982</v>
      </c>
      <c r="F215" s="7" t="s">
        <v>793</v>
      </c>
      <c r="G215" s="7" t="s">
        <v>162</v>
      </c>
      <c r="H215" s="7" t="s">
        <v>163</v>
      </c>
      <c r="I215" s="47">
        <v>1</v>
      </c>
      <c r="J215" s="47">
        <v>2</v>
      </c>
      <c r="K215" s="47">
        <f>J215*Parametros!$B$9</f>
        <v>1.4</v>
      </c>
      <c r="L215" s="7" t="s">
        <v>983</v>
      </c>
      <c r="M215" s="7"/>
      <c r="N215" s="7"/>
      <c r="O215" s="12" t="s">
        <v>103</v>
      </c>
    </row>
    <row r="216" spans="1:15">
      <c r="A216" s="11" t="s">
        <v>48</v>
      </c>
      <c r="B216" s="7" t="s">
        <v>136</v>
      </c>
      <c r="C216" s="7" t="s">
        <v>137</v>
      </c>
      <c r="D216" s="7" t="s">
        <v>484</v>
      </c>
      <c r="E216" s="7" t="s">
        <v>984</v>
      </c>
      <c r="F216" s="7" t="s">
        <v>985</v>
      </c>
      <c r="G216" s="7" t="s">
        <v>162</v>
      </c>
      <c r="H216" s="7" t="s">
        <v>499</v>
      </c>
      <c r="I216" s="47">
        <v>6</v>
      </c>
      <c r="J216" s="47">
        <v>0.5</v>
      </c>
      <c r="K216" s="47">
        <f>J216*Parametros!$B$9</f>
        <v>0.35</v>
      </c>
      <c r="L216" s="7" t="s">
        <v>986</v>
      </c>
      <c r="M216" s="7"/>
      <c r="N216" s="7"/>
      <c r="O216" s="12" t="s">
        <v>103</v>
      </c>
    </row>
    <row r="217" spans="1:15">
      <c r="A217" s="11" t="s">
        <v>48</v>
      </c>
      <c r="B217" s="7" t="s">
        <v>136</v>
      </c>
      <c r="C217" s="7" t="s">
        <v>137</v>
      </c>
      <c r="D217" s="7" t="s">
        <v>484</v>
      </c>
      <c r="E217" s="7" t="s">
        <v>987</v>
      </c>
      <c r="F217" s="7" t="s">
        <v>988</v>
      </c>
      <c r="G217" s="7" t="s">
        <v>162</v>
      </c>
      <c r="H217" s="7" t="s">
        <v>338</v>
      </c>
      <c r="I217" s="47">
        <v>2</v>
      </c>
      <c r="J217" s="47">
        <v>0.75</v>
      </c>
      <c r="K217" s="47">
        <f>J217*Parametros!$B$9</f>
        <v>0.52499999999999991</v>
      </c>
      <c r="L217" s="7" t="s">
        <v>989</v>
      </c>
      <c r="M217" s="7"/>
      <c r="N217" s="7"/>
      <c r="O217" s="12" t="s">
        <v>103</v>
      </c>
    </row>
    <row r="218" spans="1:15" ht="24">
      <c r="A218" s="11" t="s">
        <v>48</v>
      </c>
      <c r="B218" s="7" t="s">
        <v>136</v>
      </c>
      <c r="C218" s="7" t="s">
        <v>137</v>
      </c>
      <c r="D218" s="7" t="s">
        <v>759</v>
      </c>
      <c r="E218" s="7" t="s">
        <v>990</v>
      </c>
      <c r="F218" s="7" t="s">
        <v>991</v>
      </c>
      <c r="G218" s="7" t="s">
        <v>162</v>
      </c>
      <c r="H218" s="7" t="s">
        <v>163</v>
      </c>
      <c r="I218" s="47">
        <v>1</v>
      </c>
      <c r="J218" s="47">
        <v>2.5</v>
      </c>
      <c r="K218" s="47">
        <f>J218*Parametros!$B$9</f>
        <v>1.75</v>
      </c>
      <c r="L218" s="7" t="s">
        <v>992</v>
      </c>
      <c r="M218" s="7" t="s">
        <v>993</v>
      </c>
      <c r="N218" s="7"/>
      <c r="O218" s="12" t="s">
        <v>103</v>
      </c>
    </row>
    <row r="219" spans="1:15">
      <c r="A219" s="11" t="s">
        <v>48</v>
      </c>
      <c r="B219" s="7" t="s">
        <v>136</v>
      </c>
      <c r="C219" s="7" t="s">
        <v>137</v>
      </c>
      <c r="D219" s="7" t="s">
        <v>759</v>
      </c>
      <c r="E219" s="7" t="s">
        <v>994</v>
      </c>
      <c r="F219" s="7" t="s">
        <v>995</v>
      </c>
      <c r="G219" s="7" t="s">
        <v>162</v>
      </c>
      <c r="H219" s="7" t="s">
        <v>996</v>
      </c>
      <c r="I219" s="47">
        <v>4</v>
      </c>
      <c r="J219" s="47">
        <v>0.5</v>
      </c>
      <c r="K219" s="47">
        <f>J219*Parametros!$B$9</f>
        <v>0.35</v>
      </c>
      <c r="L219" s="7" t="s">
        <v>997</v>
      </c>
      <c r="M219" s="7" t="s">
        <v>998</v>
      </c>
      <c r="N219" s="7"/>
      <c r="O219" s="12" t="s">
        <v>103</v>
      </c>
    </row>
    <row r="220" spans="1:15">
      <c r="A220" s="11" t="s">
        <v>48</v>
      </c>
      <c r="B220" s="7" t="s">
        <v>136</v>
      </c>
      <c r="C220" s="7" t="s">
        <v>137</v>
      </c>
      <c r="D220" s="7" t="s">
        <v>999</v>
      </c>
      <c r="E220" s="7" t="s">
        <v>1000</v>
      </c>
      <c r="F220" s="7" t="s">
        <v>1001</v>
      </c>
      <c r="G220" s="7" t="s">
        <v>162</v>
      </c>
      <c r="H220" s="7" t="s">
        <v>499</v>
      </c>
      <c r="I220" s="47">
        <v>6</v>
      </c>
      <c r="J220" s="47">
        <v>0.5</v>
      </c>
      <c r="K220" s="47">
        <f>J220*Parametros!$B$9</f>
        <v>0.35</v>
      </c>
      <c r="L220" s="7" t="s">
        <v>1002</v>
      </c>
      <c r="M220" s="7" t="s">
        <v>1003</v>
      </c>
      <c r="N220" s="7"/>
      <c r="O220" s="12" t="s">
        <v>103</v>
      </c>
    </row>
    <row r="221" spans="1:15">
      <c r="A221" s="11" t="s">
        <v>48</v>
      </c>
      <c r="B221" s="7" t="s">
        <v>136</v>
      </c>
      <c r="C221" s="7" t="s">
        <v>137</v>
      </c>
      <c r="D221" s="7" t="s">
        <v>622</v>
      </c>
      <c r="E221" s="7" t="s">
        <v>1004</v>
      </c>
      <c r="F221" s="7" t="s">
        <v>1005</v>
      </c>
      <c r="G221" s="7" t="s">
        <v>184</v>
      </c>
      <c r="H221" s="7" t="s">
        <v>208</v>
      </c>
      <c r="I221" s="47">
        <v>3</v>
      </c>
      <c r="J221" s="47">
        <v>1</v>
      </c>
      <c r="K221" s="47">
        <f>J221*Parametros!$B$9</f>
        <v>0.7</v>
      </c>
      <c r="L221" s="7" t="s">
        <v>1006</v>
      </c>
      <c r="M221" s="7"/>
      <c r="N221" s="7"/>
      <c r="O221" s="12" t="s">
        <v>103</v>
      </c>
    </row>
    <row r="222" spans="1:15">
      <c r="A222" s="11" t="s">
        <v>48</v>
      </c>
      <c r="B222" s="7" t="s">
        <v>136</v>
      </c>
      <c r="C222" s="7" t="s">
        <v>137</v>
      </c>
      <c r="D222" s="7" t="s">
        <v>622</v>
      </c>
      <c r="E222" s="7" t="s">
        <v>1007</v>
      </c>
      <c r="F222" s="7" t="s">
        <v>1008</v>
      </c>
      <c r="G222" s="7" t="s">
        <v>184</v>
      </c>
      <c r="H222" s="7" t="s">
        <v>332</v>
      </c>
      <c r="I222" s="47">
        <v>2</v>
      </c>
      <c r="J222" s="47">
        <v>1.5</v>
      </c>
      <c r="K222" s="47">
        <f>J222*Parametros!$B$9</f>
        <v>1.0499999999999998</v>
      </c>
      <c r="L222" s="7" t="s">
        <v>1009</v>
      </c>
      <c r="M222" s="7"/>
      <c r="N222" s="7"/>
      <c r="O222" s="12" t="s">
        <v>103</v>
      </c>
    </row>
    <row r="223" spans="1:15">
      <c r="A223" s="11" t="s">
        <v>48</v>
      </c>
      <c r="B223" s="7" t="s">
        <v>136</v>
      </c>
      <c r="C223" s="7" t="s">
        <v>137</v>
      </c>
      <c r="D223" s="7" t="s">
        <v>622</v>
      </c>
      <c r="E223" s="7" t="s">
        <v>1010</v>
      </c>
      <c r="F223" s="7" t="s">
        <v>1011</v>
      </c>
      <c r="G223" s="7" t="s">
        <v>184</v>
      </c>
      <c r="H223" s="7" t="s">
        <v>283</v>
      </c>
      <c r="I223" s="47">
        <v>3</v>
      </c>
      <c r="J223" s="47">
        <v>0.75</v>
      </c>
      <c r="K223" s="47">
        <f>J223*Parametros!$B$9</f>
        <v>0.52499999999999991</v>
      </c>
      <c r="L223" s="7" t="s">
        <v>1012</v>
      </c>
      <c r="M223" s="7"/>
      <c r="N223" s="7"/>
      <c r="O223" s="12" t="s">
        <v>103</v>
      </c>
    </row>
    <row r="224" spans="1:15">
      <c r="A224" s="11" t="s">
        <v>48</v>
      </c>
      <c r="B224" s="7" t="s">
        <v>136</v>
      </c>
      <c r="C224" s="7" t="s">
        <v>137</v>
      </c>
      <c r="D224" s="7" t="s">
        <v>778</v>
      </c>
      <c r="E224" s="7" t="s">
        <v>1013</v>
      </c>
      <c r="F224" s="7" t="s">
        <v>1014</v>
      </c>
      <c r="G224" s="7" t="s">
        <v>184</v>
      </c>
      <c r="H224" s="7" t="s">
        <v>1015</v>
      </c>
      <c r="I224" s="47">
        <v>5</v>
      </c>
      <c r="J224" s="47">
        <v>0.5</v>
      </c>
      <c r="K224" s="47">
        <f>J224*Parametros!$B$9</f>
        <v>0.35</v>
      </c>
      <c r="L224" s="7" t="s">
        <v>1016</v>
      </c>
      <c r="M224" s="7"/>
      <c r="N224" s="7"/>
      <c r="O224" s="12" t="s">
        <v>103</v>
      </c>
    </row>
    <row r="225" spans="1:15">
      <c r="A225" s="11" t="s">
        <v>48</v>
      </c>
      <c r="B225" s="7" t="s">
        <v>136</v>
      </c>
      <c r="C225" s="7" t="s">
        <v>137</v>
      </c>
      <c r="D225" s="7" t="s">
        <v>341</v>
      </c>
      <c r="E225" s="7" t="s">
        <v>1017</v>
      </c>
      <c r="F225" s="7" t="s">
        <v>1018</v>
      </c>
      <c r="G225" s="7" t="s">
        <v>184</v>
      </c>
      <c r="H225" s="7" t="s">
        <v>638</v>
      </c>
      <c r="I225" s="47">
        <v>1</v>
      </c>
      <c r="J225" s="47">
        <v>2</v>
      </c>
      <c r="K225" s="47">
        <f>J225*Parametros!$B$9</f>
        <v>1.4</v>
      </c>
      <c r="L225" s="7" t="s">
        <v>1019</v>
      </c>
      <c r="M225" s="7" t="s">
        <v>1020</v>
      </c>
      <c r="N225" s="7"/>
      <c r="O225" s="12" t="s">
        <v>103</v>
      </c>
    </row>
    <row r="226" spans="1:15">
      <c r="A226" s="11" t="s">
        <v>48</v>
      </c>
      <c r="B226" s="7" t="s">
        <v>136</v>
      </c>
      <c r="C226" s="7" t="s">
        <v>137</v>
      </c>
      <c r="D226" s="7" t="s">
        <v>240</v>
      </c>
      <c r="E226" s="7" t="s">
        <v>1021</v>
      </c>
      <c r="F226" s="7" t="s">
        <v>1022</v>
      </c>
      <c r="G226" s="7" t="s">
        <v>162</v>
      </c>
      <c r="H226" s="7" t="s">
        <v>456</v>
      </c>
      <c r="I226" s="47">
        <v>6</v>
      </c>
      <c r="J226" s="47">
        <v>0.5</v>
      </c>
      <c r="K226" s="47">
        <f>J226*Parametros!$B$9</f>
        <v>0.35</v>
      </c>
      <c r="L226" s="7" t="s">
        <v>1023</v>
      </c>
      <c r="M226" s="7"/>
      <c r="N226" s="7"/>
      <c r="O226" s="12" t="s">
        <v>103</v>
      </c>
    </row>
    <row r="227" spans="1:15">
      <c r="A227" s="11" t="s">
        <v>48</v>
      </c>
      <c r="B227" s="7" t="s">
        <v>136</v>
      </c>
      <c r="C227" s="7" t="s">
        <v>137</v>
      </c>
      <c r="D227" s="7" t="s">
        <v>1024</v>
      </c>
      <c r="E227" s="7" t="s">
        <v>1025</v>
      </c>
      <c r="F227" s="7" t="s">
        <v>1026</v>
      </c>
      <c r="G227" s="7" t="s">
        <v>162</v>
      </c>
      <c r="H227" s="7" t="s">
        <v>1027</v>
      </c>
      <c r="I227" s="47">
        <v>1</v>
      </c>
      <c r="J227" s="47">
        <v>2</v>
      </c>
      <c r="K227" s="47">
        <f>J227*Parametros!$B$9</f>
        <v>1.4</v>
      </c>
      <c r="L227" s="7" t="s">
        <v>1028</v>
      </c>
      <c r="M227" s="7"/>
      <c r="N227" s="7"/>
      <c r="O227" s="12" t="s">
        <v>103</v>
      </c>
    </row>
    <row r="228" spans="1:15">
      <c r="A228" s="11" t="s">
        <v>48</v>
      </c>
      <c r="B228" s="7" t="s">
        <v>138</v>
      </c>
      <c r="C228" s="7" t="s">
        <v>139</v>
      </c>
      <c r="D228" s="7" t="s">
        <v>822</v>
      </c>
      <c r="E228" s="7" t="s">
        <v>1029</v>
      </c>
      <c r="F228" s="7" t="s">
        <v>1030</v>
      </c>
      <c r="G228" s="7" t="s">
        <v>162</v>
      </c>
      <c r="H228" s="7" t="s">
        <v>759</v>
      </c>
      <c r="I228" s="47">
        <v>4</v>
      </c>
      <c r="J228" s="47">
        <v>0.75</v>
      </c>
      <c r="K228" s="47">
        <f>J228*Parametros!$B$9</f>
        <v>0.52499999999999991</v>
      </c>
      <c r="L228" s="7" t="s">
        <v>1031</v>
      </c>
      <c r="M228" s="7"/>
      <c r="N228" s="7"/>
      <c r="O228" s="12" t="s">
        <v>103</v>
      </c>
    </row>
    <row r="229" spans="1:15">
      <c r="A229" s="11" t="s">
        <v>48</v>
      </c>
      <c r="B229" s="7" t="s">
        <v>138</v>
      </c>
      <c r="C229" s="7" t="s">
        <v>139</v>
      </c>
      <c r="D229" s="7" t="s">
        <v>759</v>
      </c>
      <c r="E229" s="7" t="s">
        <v>1032</v>
      </c>
      <c r="F229" s="7" t="s">
        <v>1033</v>
      </c>
      <c r="G229" s="7" t="s">
        <v>162</v>
      </c>
      <c r="H229" s="7" t="s">
        <v>759</v>
      </c>
      <c r="I229" s="47">
        <v>1</v>
      </c>
      <c r="J229" s="47">
        <v>2</v>
      </c>
      <c r="K229" s="47">
        <f>J229*Parametros!$B$9</f>
        <v>1.4</v>
      </c>
      <c r="L229" s="7" t="s">
        <v>1034</v>
      </c>
      <c r="M229" s="7"/>
      <c r="N229" s="7"/>
      <c r="O229" s="12" t="s">
        <v>103</v>
      </c>
    </row>
    <row r="230" spans="1:15">
      <c r="A230" s="11" t="s">
        <v>48</v>
      </c>
      <c r="B230" s="7" t="s">
        <v>138</v>
      </c>
      <c r="C230" s="7" t="s">
        <v>139</v>
      </c>
      <c r="D230" s="7" t="s">
        <v>759</v>
      </c>
      <c r="E230" s="7" t="s">
        <v>1035</v>
      </c>
      <c r="F230" s="7" t="s">
        <v>1036</v>
      </c>
      <c r="G230" s="7" t="s">
        <v>162</v>
      </c>
      <c r="H230" s="7" t="s">
        <v>759</v>
      </c>
      <c r="I230" s="47">
        <v>1</v>
      </c>
      <c r="J230" s="47">
        <v>1.5</v>
      </c>
      <c r="K230" s="47">
        <f>J230*Parametros!$B$9</f>
        <v>1.0499999999999998</v>
      </c>
      <c r="L230" s="7" t="s">
        <v>1037</v>
      </c>
      <c r="M230" s="7"/>
      <c r="N230" s="7"/>
      <c r="O230" s="12" t="s">
        <v>103</v>
      </c>
    </row>
    <row r="231" spans="1:15">
      <c r="A231" s="11" t="s">
        <v>48</v>
      </c>
      <c r="B231" s="7" t="s">
        <v>138</v>
      </c>
      <c r="C231" s="7" t="s">
        <v>139</v>
      </c>
      <c r="D231" s="7" t="s">
        <v>759</v>
      </c>
      <c r="E231" s="7" t="s">
        <v>1038</v>
      </c>
      <c r="F231" s="7" t="s">
        <v>1039</v>
      </c>
      <c r="G231" s="7" t="s">
        <v>162</v>
      </c>
      <c r="H231" s="7" t="s">
        <v>759</v>
      </c>
      <c r="I231" s="47">
        <v>1</v>
      </c>
      <c r="J231" s="47">
        <v>2</v>
      </c>
      <c r="K231" s="47">
        <f>J231*Parametros!$B$9</f>
        <v>1.4</v>
      </c>
      <c r="L231" s="7" t="s">
        <v>1040</v>
      </c>
      <c r="M231" s="7"/>
      <c r="N231" s="7"/>
      <c r="O231" s="12" t="s">
        <v>103</v>
      </c>
    </row>
    <row r="232" spans="1:15">
      <c r="A232" s="11" t="s">
        <v>48</v>
      </c>
      <c r="B232" s="7" t="s">
        <v>138</v>
      </c>
      <c r="C232" s="7" t="s">
        <v>139</v>
      </c>
      <c r="D232" s="7" t="s">
        <v>759</v>
      </c>
      <c r="E232" s="7" t="s">
        <v>1041</v>
      </c>
      <c r="F232" s="7" t="s">
        <v>1042</v>
      </c>
      <c r="G232" s="7" t="s">
        <v>194</v>
      </c>
      <c r="H232" s="7" t="s">
        <v>759</v>
      </c>
      <c r="I232" s="47">
        <v>1</v>
      </c>
      <c r="J232" s="47">
        <v>1.5</v>
      </c>
      <c r="K232" s="47">
        <f>J232*Parametros!$B$9</f>
        <v>1.0499999999999998</v>
      </c>
      <c r="L232" s="7" t="s">
        <v>1043</v>
      </c>
      <c r="M232" s="7"/>
      <c r="N232" s="7"/>
      <c r="O232" s="12" t="s">
        <v>103</v>
      </c>
    </row>
    <row r="233" spans="1:15">
      <c r="A233" s="11" t="s">
        <v>48</v>
      </c>
      <c r="B233" s="7" t="s">
        <v>138</v>
      </c>
      <c r="C233" s="7" t="s">
        <v>139</v>
      </c>
      <c r="D233" s="7" t="s">
        <v>1044</v>
      </c>
      <c r="E233" s="7" t="s">
        <v>1045</v>
      </c>
      <c r="F233" s="7" t="s">
        <v>1046</v>
      </c>
      <c r="G233" s="7" t="s">
        <v>162</v>
      </c>
      <c r="H233" s="7" t="s">
        <v>283</v>
      </c>
      <c r="I233" s="47">
        <v>5</v>
      </c>
      <c r="J233" s="47">
        <v>0.5</v>
      </c>
      <c r="K233" s="47">
        <f>J233*Parametros!$B$9</f>
        <v>0.35</v>
      </c>
      <c r="L233" s="7" t="s">
        <v>1047</v>
      </c>
      <c r="M233" s="7"/>
      <c r="N233" s="7"/>
      <c r="O233" s="12" t="s">
        <v>103</v>
      </c>
    </row>
    <row r="234" spans="1:15">
      <c r="A234" s="11" t="s">
        <v>48</v>
      </c>
      <c r="B234" s="7" t="s">
        <v>138</v>
      </c>
      <c r="C234" s="7" t="s">
        <v>139</v>
      </c>
      <c r="D234" s="7" t="s">
        <v>1048</v>
      </c>
      <c r="E234" s="7" t="s">
        <v>1049</v>
      </c>
      <c r="F234" s="7" t="s">
        <v>1050</v>
      </c>
      <c r="G234" s="7" t="s">
        <v>184</v>
      </c>
      <c r="H234" s="7" t="s">
        <v>759</v>
      </c>
      <c r="I234" s="47">
        <v>4</v>
      </c>
      <c r="J234" s="47">
        <v>1.5</v>
      </c>
      <c r="K234" s="47">
        <f>J234*Parametros!$B$9</f>
        <v>1.0499999999999998</v>
      </c>
      <c r="L234" s="7" t="s">
        <v>1051</v>
      </c>
      <c r="M234" s="7"/>
      <c r="N234" s="7"/>
      <c r="O234" s="12" t="s">
        <v>103</v>
      </c>
    </row>
    <row r="235" spans="1:15">
      <c r="A235" s="11" t="s">
        <v>48</v>
      </c>
      <c r="B235" s="7" t="s">
        <v>138</v>
      </c>
      <c r="C235" s="7" t="s">
        <v>139</v>
      </c>
      <c r="D235" s="7" t="s">
        <v>392</v>
      </c>
      <c r="E235" s="7" t="s">
        <v>1052</v>
      </c>
      <c r="F235" s="7" t="s">
        <v>1053</v>
      </c>
      <c r="G235" s="7" t="s">
        <v>194</v>
      </c>
      <c r="H235" s="7" t="s">
        <v>400</v>
      </c>
      <c r="I235" s="47">
        <v>5</v>
      </c>
      <c r="J235" s="47">
        <v>0.75</v>
      </c>
      <c r="K235" s="47">
        <f>J235*Parametros!$B$9</f>
        <v>0.52499999999999991</v>
      </c>
      <c r="L235" s="7" t="s">
        <v>1054</v>
      </c>
      <c r="M235" s="7"/>
      <c r="N235" s="7"/>
      <c r="O235" s="12" t="s">
        <v>103</v>
      </c>
    </row>
    <row r="236" spans="1:15">
      <c r="A236" s="11" t="s">
        <v>48</v>
      </c>
      <c r="B236" s="7" t="s">
        <v>138</v>
      </c>
      <c r="C236" s="7" t="s">
        <v>139</v>
      </c>
      <c r="D236" s="7" t="s">
        <v>1055</v>
      </c>
      <c r="E236" s="7" t="s">
        <v>1056</v>
      </c>
      <c r="F236" s="7" t="s">
        <v>1057</v>
      </c>
      <c r="G236" s="7" t="s">
        <v>162</v>
      </c>
      <c r="H236" s="7" t="s">
        <v>1058</v>
      </c>
      <c r="I236" s="47">
        <v>6</v>
      </c>
      <c r="J236" s="47">
        <v>0.5</v>
      </c>
      <c r="K236" s="47">
        <f>J236*Parametros!$B$9</f>
        <v>0.35</v>
      </c>
      <c r="L236" s="7" t="s">
        <v>1059</v>
      </c>
      <c r="M236" s="7"/>
      <c r="N236" s="7"/>
      <c r="O236" s="12" t="s">
        <v>103</v>
      </c>
    </row>
    <row r="237" spans="1:15" ht="24">
      <c r="A237" s="11" t="s">
        <v>48</v>
      </c>
      <c r="B237" s="7" t="s">
        <v>138</v>
      </c>
      <c r="C237" s="7" t="s">
        <v>139</v>
      </c>
      <c r="D237" s="7" t="s">
        <v>341</v>
      </c>
      <c r="E237" s="7" t="s">
        <v>1060</v>
      </c>
      <c r="F237" s="7" t="s">
        <v>1061</v>
      </c>
      <c r="G237" s="7" t="s">
        <v>184</v>
      </c>
      <c r="H237" s="7" t="s">
        <v>638</v>
      </c>
      <c r="I237" s="47">
        <v>2</v>
      </c>
      <c r="J237" s="47">
        <v>1.5</v>
      </c>
      <c r="K237" s="47">
        <f>J237*Parametros!$B$9</f>
        <v>1.0499999999999998</v>
      </c>
      <c r="L237" s="7" t="s">
        <v>1062</v>
      </c>
      <c r="M237" s="7" t="s">
        <v>1063</v>
      </c>
      <c r="N237" s="7"/>
      <c r="O237" s="12" t="s">
        <v>103</v>
      </c>
    </row>
    <row r="238" spans="1:15">
      <c r="A238" s="11" t="s">
        <v>48</v>
      </c>
      <c r="B238" s="7" t="s">
        <v>138</v>
      </c>
      <c r="C238" s="7" t="s">
        <v>139</v>
      </c>
      <c r="D238" s="7" t="s">
        <v>1064</v>
      </c>
      <c r="E238" s="7" t="s">
        <v>1065</v>
      </c>
      <c r="F238" s="7" t="s">
        <v>1066</v>
      </c>
      <c r="G238" s="7" t="s">
        <v>162</v>
      </c>
      <c r="H238" s="7" t="s">
        <v>456</v>
      </c>
      <c r="I238" s="47">
        <v>8</v>
      </c>
      <c r="J238" s="47">
        <v>0.5</v>
      </c>
      <c r="K238" s="47">
        <f>J238*Parametros!$B$9</f>
        <v>0.35</v>
      </c>
      <c r="L238" s="7" t="s">
        <v>1067</v>
      </c>
      <c r="M238" s="7"/>
      <c r="N238" s="7"/>
      <c r="O238" s="12" t="s">
        <v>103</v>
      </c>
    </row>
    <row r="239" spans="1:15">
      <c r="A239" s="11" t="s">
        <v>48</v>
      </c>
      <c r="B239" s="7" t="s">
        <v>138</v>
      </c>
      <c r="C239" s="7" t="s">
        <v>139</v>
      </c>
      <c r="D239" s="7" t="s">
        <v>364</v>
      </c>
      <c r="E239" s="7" t="s">
        <v>1068</v>
      </c>
      <c r="F239" s="7" t="s">
        <v>1069</v>
      </c>
      <c r="G239" s="7" t="s">
        <v>162</v>
      </c>
      <c r="H239" s="7" t="s">
        <v>163</v>
      </c>
      <c r="I239" s="47">
        <v>1</v>
      </c>
      <c r="J239" s="47">
        <v>2</v>
      </c>
      <c r="K239" s="47">
        <f>J239*Parametros!$B$9</f>
        <v>1.4</v>
      </c>
      <c r="L239" s="7" t="s">
        <v>1070</v>
      </c>
      <c r="M239" s="7"/>
      <c r="N239" s="7"/>
      <c r="O239" s="12" t="s">
        <v>103</v>
      </c>
    </row>
    <row r="240" spans="1:15">
      <c r="A240" s="11" t="s">
        <v>48</v>
      </c>
      <c r="B240" s="7" t="s">
        <v>140</v>
      </c>
      <c r="C240" s="7" t="s">
        <v>141</v>
      </c>
      <c r="D240" s="7" t="s">
        <v>1071</v>
      </c>
      <c r="E240" s="7" t="s">
        <v>1072</v>
      </c>
      <c r="F240" s="7" t="s">
        <v>1073</v>
      </c>
      <c r="G240" s="7" t="s">
        <v>162</v>
      </c>
      <c r="H240" s="7" t="s">
        <v>1027</v>
      </c>
      <c r="I240" s="47">
        <v>4</v>
      </c>
      <c r="J240" s="47">
        <v>0.5</v>
      </c>
      <c r="K240" s="47">
        <f>J240*Parametros!$B$9</f>
        <v>0.35</v>
      </c>
      <c r="L240" s="7" t="s">
        <v>1074</v>
      </c>
      <c r="M240" s="7"/>
      <c r="N240" s="7"/>
      <c r="O240" s="12" t="s">
        <v>103</v>
      </c>
    </row>
    <row r="241" spans="1:15">
      <c r="A241" s="11" t="s">
        <v>48</v>
      </c>
      <c r="B241" s="7" t="s">
        <v>140</v>
      </c>
      <c r="C241" s="7" t="s">
        <v>141</v>
      </c>
      <c r="D241" s="7" t="s">
        <v>1071</v>
      </c>
      <c r="E241" s="7" t="s">
        <v>1075</v>
      </c>
      <c r="F241" s="7" t="s">
        <v>1076</v>
      </c>
      <c r="G241" s="7" t="s">
        <v>162</v>
      </c>
      <c r="H241" s="7" t="s">
        <v>1077</v>
      </c>
      <c r="I241" s="47">
        <v>8</v>
      </c>
      <c r="J241" s="47">
        <v>0.25</v>
      </c>
      <c r="K241" s="47">
        <f>J241*Parametros!$B$9</f>
        <v>0.17499999999999999</v>
      </c>
      <c r="L241" s="7" t="s">
        <v>1078</v>
      </c>
      <c r="M241" s="7"/>
      <c r="N241" s="7"/>
      <c r="O241" s="12" t="s">
        <v>103</v>
      </c>
    </row>
    <row r="242" spans="1:15">
      <c r="A242" s="11" t="s">
        <v>48</v>
      </c>
      <c r="B242" s="7" t="s">
        <v>140</v>
      </c>
      <c r="C242" s="7" t="s">
        <v>141</v>
      </c>
      <c r="D242" s="7" t="s">
        <v>1079</v>
      </c>
      <c r="E242" s="7" t="s">
        <v>1080</v>
      </c>
      <c r="F242" s="7" t="s">
        <v>1081</v>
      </c>
      <c r="G242" s="7" t="s">
        <v>184</v>
      </c>
      <c r="H242" s="7" t="s">
        <v>1077</v>
      </c>
      <c r="I242" s="47">
        <v>4</v>
      </c>
      <c r="J242" s="47">
        <v>1.5</v>
      </c>
      <c r="K242" s="47">
        <f>J242*Parametros!$B$9</f>
        <v>1.0499999999999998</v>
      </c>
      <c r="L242" s="7" t="s">
        <v>1082</v>
      </c>
      <c r="M242" s="7"/>
      <c r="N242" s="7"/>
      <c r="O242" s="12" t="s">
        <v>103</v>
      </c>
    </row>
    <row r="243" spans="1:15">
      <c r="A243" s="11" t="s">
        <v>48</v>
      </c>
      <c r="B243" s="7" t="s">
        <v>140</v>
      </c>
      <c r="C243" s="7" t="s">
        <v>141</v>
      </c>
      <c r="D243" s="7" t="s">
        <v>1079</v>
      </c>
      <c r="E243" s="7" t="s">
        <v>1083</v>
      </c>
      <c r="F243" s="7" t="s">
        <v>1084</v>
      </c>
      <c r="G243" s="7" t="s">
        <v>184</v>
      </c>
      <c r="H243" s="7" t="s">
        <v>1077</v>
      </c>
      <c r="I243" s="47">
        <v>4</v>
      </c>
      <c r="J243" s="47">
        <v>1</v>
      </c>
      <c r="K243" s="47">
        <f>J243*Parametros!$B$9</f>
        <v>0.7</v>
      </c>
      <c r="L243" s="7" t="s">
        <v>1085</v>
      </c>
      <c r="M243" s="7"/>
      <c r="N243" s="7"/>
      <c r="O243" s="12" t="s">
        <v>103</v>
      </c>
    </row>
    <row r="244" spans="1:15">
      <c r="A244" s="11" t="s">
        <v>48</v>
      </c>
      <c r="B244" s="7" t="s">
        <v>140</v>
      </c>
      <c r="C244" s="7" t="s">
        <v>141</v>
      </c>
      <c r="D244" s="7" t="s">
        <v>1086</v>
      </c>
      <c r="E244" s="7" t="s">
        <v>1087</v>
      </c>
      <c r="F244" s="7" t="s">
        <v>1088</v>
      </c>
      <c r="G244" s="7" t="s">
        <v>184</v>
      </c>
      <c r="H244" s="7" t="s">
        <v>439</v>
      </c>
      <c r="I244" s="47">
        <v>2</v>
      </c>
      <c r="J244" s="47">
        <v>2</v>
      </c>
      <c r="K244" s="47">
        <f>J244*Parametros!$B$9</f>
        <v>1.4</v>
      </c>
      <c r="L244" s="7" t="s">
        <v>1089</v>
      </c>
      <c r="M244" s="7"/>
      <c r="N244" s="7"/>
      <c r="O244" s="12" t="s">
        <v>103</v>
      </c>
    </row>
    <row r="245" spans="1:15">
      <c r="A245" s="11" t="s">
        <v>48</v>
      </c>
      <c r="B245" s="7" t="s">
        <v>140</v>
      </c>
      <c r="C245" s="7" t="s">
        <v>141</v>
      </c>
      <c r="D245" s="7" t="s">
        <v>1090</v>
      </c>
      <c r="E245" s="7" t="s">
        <v>1091</v>
      </c>
      <c r="F245" s="7" t="s">
        <v>1092</v>
      </c>
      <c r="G245" s="7" t="s">
        <v>194</v>
      </c>
      <c r="H245" s="7" t="s">
        <v>1027</v>
      </c>
      <c r="I245" s="47">
        <v>4</v>
      </c>
      <c r="J245" s="47">
        <v>0.5</v>
      </c>
      <c r="K245" s="47">
        <f>J245*Parametros!$B$9</f>
        <v>0.35</v>
      </c>
      <c r="L245" s="7" t="s">
        <v>1093</v>
      </c>
      <c r="M245" s="7"/>
      <c r="N245" s="7"/>
      <c r="O245" s="12" t="s">
        <v>103</v>
      </c>
    </row>
    <row r="246" spans="1:15">
      <c r="A246" s="11" t="s">
        <v>48</v>
      </c>
      <c r="B246" s="7" t="s">
        <v>140</v>
      </c>
      <c r="C246" s="7" t="s">
        <v>141</v>
      </c>
      <c r="D246" s="7" t="s">
        <v>1094</v>
      </c>
      <c r="E246" s="7" t="s">
        <v>1095</v>
      </c>
      <c r="F246" s="7" t="s">
        <v>1096</v>
      </c>
      <c r="G246" s="7" t="s">
        <v>184</v>
      </c>
      <c r="H246" s="7" t="s">
        <v>646</v>
      </c>
      <c r="I246" s="47">
        <v>1</v>
      </c>
      <c r="J246" s="47">
        <v>1</v>
      </c>
      <c r="K246" s="47">
        <f>J246*Parametros!$B$9</f>
        <v>0.7</v>
      </c>
      <c r="L246" s="7" t="s">
        <v>1097</v>
      </c>
      <c r="M246" s="7"/>
      <c r="N246" s="7"/>
      <c r="O246" s="12" t="s">
        <v>103</v>
      </c>
    </row>
    <row r="247" spans="1:15">
      <c r="A247" s="11" t="s">
        <v>48</v>
      </c>
      <c r="B247" s="7" t="s">
        <v>140</v>
      </c>
      <c r="C247" s="7" t="s">
        <v>141</v>
      </c>
      <c r="D247" s="7" t="s">
        <v>638</v>
      </c>
      <c r="E247" s="7" t="s">
        <v>1098</v>
      </c>
      <c r="F247" s="7" t="s">
        <v>1099</v>
      </c>
      <c r="G247" s="7" t="s">
        <v>162</v>
      </c>
      <c r="H247" s="7" t="s">
        <v>638</v>
      </c>
      <c r="I247" s="47">
        <v>1</v>
      </c>
      <c r="J247" s="47">
        <v>1.5</v>
      </c>
      <c r="K247" s="47">
        <f>J247*Parametros!$B$9</f>
        <v>1.0499999999999998</v>
      </c>
      <c r="L247" s="7" t="s">
        <v>1100</v>
      </c>
      <c r="M247" s="7"/>
      <c r="N247" s="7"/>
      <c r="O247" s="12" t="s">
        <v>103</v>
      </c>
    </row>
    <row r="248" spans="1:15">
      <c r="A248" s="11" t="s">
        <v>48</v>
      </c>
      <c r="B248" s="7" t="s">
        <v>140</v>
      </c>
      <c r="C248" s="7" t="s">
        <v>141</v>
      </c>
      <c r="D248" s="7" t="s">
        <v>1101</v>
      </c>
      <c r="E248" s="7" t="s">
        <v>1102</v>
      </c>
      <c r="F248" s="7" t="s">
        <v>1103</v>
      </c>
      <c r="G248" s="7" t="s">
        <v>184</v>
      </c>
      <c r="H248" s="7" t="s">
        <v>1104</v>
      </c>
      <c r="I248" s="47">
        <v>2</v>
      </c>
      <c r="J248" s="47">
        <v>1</v>
      </c>
      <c r="K248" s="47">
        <f>J248*Parametros!$B$9</f>
        <v>0.7</v>
      </c>
      <c r="L248" s="7" t="s">
        <v>1105</v>
      </c>
      <c r="M248" s="7"/>
      <c r="N248" s="7"/>
      <c r="O248" s="12" t="s">
        <v>103</v>
      </c>
    </row>
    <row r="249" spans="1:15">
      <c r="A249" s="11" t="s">
        <v>48</v>
      </c>
      <c r="B249" s="7" t="s">
        <v>142</v>
      </c>
      <c r="C249" s="7" t="s">
        <v>143</v>
      </c>
      <c r="D249" s="7" t="s">
        <v>1106</v>
      </c>
      <c r="E249" s="7" t="s">
        <v>1107</v>
      </c>
      <c r="F249" s="7" t="s">
        <v>1108</v>
      </c>
      <c r="G249" s="7" t="s">
        <v>162</v>
      </c>
      <c r="H249" s="7" t="s">
        <v>653</v>
      </c>
      <c r="I249" s="47">
        <v>6</v>
      </c>
      <c r="J249" s="47">
        <v>0.5</v>
      </c>
      <c r="K249" s="47">
        <f>J249*Parametros!$B$9</f>
        <v>0.35</v>
      </c>
      <c r="L249" s="7" t="s">
        <v>1109</v>
      </c>
      <c r="M249" s="7"/>
      <c r="N249" s="7"/>
      <c r="O249" s="12" t="s">
        <v>103</v>
      </c>
    </row>
    <row r="250" spans="1:15">
      <c r="A250" s="11" t="s">
        <v>48</v>
      </c>
      <c r="B250" s="7" t="s">
        <v>142</v>
      </c>
      <c r="C250" s="7" t="s">
        <v>143</v>
      </c>
      <c r="D250" s="7" t="s">
        <v>484</v>
      </c>
      <c r="E250" s="7" t="s">
        <v>1110</v>
      </c>
      <c r="F250" s="7" t="s">
        <v>1111</v>
      </c>
      <c r="G250" s="7" t="s">
        <v>162</v>
      </c>
      <c r="H250" s="7" t="s">
        <v>163</v>
      </c>
      <c r="I250" s="47">
        <v>1</v>
      </c>
      <c r="J250" s="47">
        <v>1.5</v>
      </c>
      <c r="K250" s="47">
        <f>J250*Parametros!$B$9</f>
        <v>1.0499999999999998</v>
      </c>
      <c r="L250" s="7" t="s">
        <v>1112</v>
      </c>
      <c r="M250" s="7"/>
      <c r="N250" s="7"/>
      <c r="O250" s="12" t="s">
        <v>103</v>
      </c>
    </row>
    <row r="251" spans="1:15">
      <c r="A251" s="11" t="s">
        <v>48</v>
      </c>
      <c r="B251" s="7" t="s">
        <v>142</v>
      </c>
      <c r="C251" s="7" t="s">
        <v>143</v>
      </c>
      <c r="D251" s="7" t="s">
        <v>822</v>
      </c>
      <c r="E251" s="7" t="s">
        <v>1113</v>
      </c>
      <c r="F251" s="7" t="s">
        <v>1114</v>
      </c>
      <c r="G251" s="7" t="s">
        <v>162</v>
      </c>
      <c r="H251" s="7" t="s">
        <v>163</v>
      </c>
      <c r="I251" s="47">
        <v>1</v>
      </c>
      <c r="J251" s="47">
        <v>1.5</v>
      </c>
      <c r="K251" s="47">
        <f>J251*Parametros!$B$9</f>
        <v>1.0499999999999998</v>
      </c>
      <c r="L251" s="7" t="s">
        <v>1115</v>
      </c>
      <c r="M251" s="7"/>
      <c r="N251" s="7"/>
      <c r="O251" s="12" t="s">
        <v>103</v>
      </c>
    </row>
    <row r="252" spans="1:15">
      <c r="A252" s="11" t="s">
        <v>48</v>
      </c>
      <c r="B252" s="7" t="s">
        <v>142</v>
      </c>
      <c r="C252" s="7" t="s">
        <v>143</v>
      </c>
      <c r="D252" s="7" t="s">
        <v>1094</v>
      </c>
      <c r="E252" s="7" t="s">
        <v>1116</v>
      </c>
      <c r="F252" s="7" t="s">
        <v>1117</v>
      </c>
      <c r="G252" s="7" t="s">
        <v>184</v>
      </c>
      <c r="H252" s="7" t="s">
        <v>646</v>
      </c>
      <c r="I252" s="47">
        <v>1</v>
      </c>
      <c r="J252" s="47">
        <v>4</v>
      </c>
      <c r="K252" s="47">
        <f>J252*Parametros!$B$9</f>
        <v>2.8</v>
      </c>
      <c r="L252" s="7" t="s">
        <v>1118</v>
      </c>
      <c r="M252" s="7"/>
      <c r="N252" s="7"/>
      <c r="O252" s="12" t="s">
        <v>103</v>
      </c>
    </row>
    <row r="253" spans="1:15">
      <c r="A253" s="11" t="s">
        <v>48</v>
      </c>
      <c r="B253" s="7" t="s">
        <v>142</v>
      </c>
      <c r="C253" s="7" t="s">
        <v>143</v>
      </c>
      <c r="D253" s="7" t="s">
        <v>1094</v>
      </c>
      <c r="E253" s="7" t="s">
        <v>1119</v>
      </c>
      <c r="F253" s="7" t="s">
        <v>1120</v>
      </c>
      <c r="G253" s="7" t="s">
        <v>194</v>
      </c>
      <c r="H253" s="7" t="s">
        <v>646</v>
      </c>
      <c r="I253" s="47">
        <v>1</v>
      </c>
      <c r="J253" s="47">
        <v>4</v>
      </c>
      <c r="K253" s="47">
        <f>J253*Parametros!$B$9</f>
        <v>2.8</v>
      </c>
      <c r="L253" s="7" t="s">
        <v>1121</v>
      </c>
      <c r="M253" s="7"/>
      <c r="N253" s="7"/>
      <c r="O253" s="12" t="s">
        <v>103</v>
      </c>
    </row>
    <row r="254" spans="1:15">
      <c r="A254" s="11" t="s">
        <v>48</v>
      </c>
      <c r="B254" s="7" t="s">
        <v>142</v>
      </c>
      <c r="C254" s="7" t="s">
        <v>143</v>
      </c>
      <c r="D254" s="7" t="s">
        <v>1094</v>
      </c>
      <c r="E254" s="7" t="s">
        <v>1122</v>
      </c>
      <c r="F254" s="7" t="s">
        <v>1123</v>
      </c>
      <c r="G254" s="7" t="s">
        <v>184</v>
      </c>
      <c r="H254" s="7" t="s">
        <v>646</v>
      </c>
      <c r="I254" s="47">
        <v>3</v>
      </c>
      <c r="J254" s="47">
        <v>2</v>
      </c>
      <c r="K254" s="47">
        <f>J254*Parametros!$B$9</f>
        <v>1.4</v>
      </c>
      <c r="L254" s="7" t="s">
        <v>1124</v>
      </c>
      <c r="M254" s="7"/>
      <c r="N254" s="7"/>
      <c r="O254" s="12" t="s">
        <v>103</v>
      </c>
    </row>
    <row r="255" spans="1:15">
      <c r="A255" s="11" t="s">
        <v>48</v>
      </c>
      <c r="B255" s="7" t="s">
        <v>142</v>
      </c>
      <c r="C255" s="7" t="s">
        <v>143</v>
      </c>
      <c r="D255" s="7" t="s">
        <v>1094</v>
      </c>
      <c r="E255" s="7" t="s">
        <v>1125</v>
      </c>
      <c r="F255" s="7" t="s">
        <v>1126</v>
      </c>
      <c r="G255" s="7" t="s">
        <v>184</v>
      </c>
      <c r="H255" s="7" t="s">
        <v>646</v>
      </c>
      <c r="I255" s="47">
        <v>2</v>
      </c>
      <c r="J255" s="47">
        <v>2.5</v>
      </c>
      <c r="K255" s="47">
        <f>J255*Parametros!$B$9</f>
        <v>1.75</v>
      </c>
      <c r="L255" s="7" t="s">
        <v>1127</v>
      </c>
      <c r="M255" s="7"/>
      <c r="N255" s="7"/>
      <c r="O255" s="12" t="s">
        <v>103</v>
      </c>
    </row>
    <row r="256" spans="1:15">
      <c r="A256" s="11" t="s">
        <v>48</v>
      </c>
      <c r="B256" s="7" t="s">
        <v>142</v>
      </c>
      <c r="C256" s="7" t="s">
        <v>143</v>
      </c>
      <c r="D256" s="7" t="s">
        <v>235</v>
      </c>
      <c r="E256" s="7" t="s">
        <v>1128</v>
      </c>
      <c r="F256" s="7" t="s">
        <v>1129</v>
      </c>
      <c r="G256" s="7" t="s">
        <v>184</v>
      </c>
      <c r="H256" s="7" t="s">
        <v>1130</v>
      </c>
      <c r="I256" s="47">
        <v>5</v>
      </c>
      <c r="J256" s="47">
        <v>0.75</v>
      </c>
      <c r="K256" s="47">
        <f>J256*Parametros!$B$9</f>
        <v>0.52499999999999991</v>
      </c>
      <c r="L256" s="7" t="s">
        <v>1131</v>
      </c>
      <c r="M256" s="7"/>
      <c r="N256" s="7"/>
      <c r="O256" s="12" t="s">
        <v>103</v>
      </c>
    </row>
    <row r="257" spans="1:15">
      <c r="A257" s="11" t="s">
        <v>48</v>
      </c>
      <c r="B257" s="7" t="s">
        <v>142</v>
      </c>
      <c r="C257" s="7" t="s">
        <v>143</v>
      </c>
      <c r="D257" s="7" t="s">
        <v>266</v>
      </c>
      <c r="E257" s="7" t="s">
        <v>1132</v>
      </c>
      <c r="F257" s="7" t="s">
        <v>1133</v>
      </c>
      <c r="G257" s="7" t="s">
        <v>194</v>
      </c>
      <c r="H257" s="7" t="s">
        <v>361</v>
      </c>
      <c r="I257" s="47">
        <v>1</v>
      </c>
      <c r="J257" s="47">
        <v>2</v>
      </c>
      <c r="K257" s="47">
        <f>J257*Parametros!$B$9</f>
        <v>1.4</v>
      </c>
      <c r="L257" s="7" t="s">
        <v>1134</v>
      </c>
      <c r="M257" s="7"/>
      <c r="N257" s="7"/>
      <c r="O257" s="12" t="s">
        <v>103</v>
      </c>
    </row>
    <row r="258" spans="1:15">
      <c r="A258" s="11" t="s">
        <v>48</v>
      </c>
      <c r="B258" s="7" t="s">
        <v>142</v>
      </c>
      <c r="C258" s="7" t="s">
        <v>143</v>
      </c>
      <c r="D258" s="7" t="s">
        <v>240</v>
      </c>
      <c r="E258" s="7" t="s">
        <v>1135</v>
      </c>
      <c r="F258" s="7" t="s">
        <v>1136</v>
      </c>
      <c r="G258" s="7" t="s">
        <v>162</v>
      </c>
      <c r="H258" s="7" t="s">
        <v>646</v>
      </c>
      <c r="I258" s="47">
        <v>5</v>
      </c>
      <c r="J258" s="47">
        <v>0.5</v>
      </c>
      <c r="K258" s="47">
        <f>J258*Parametros!$B$9</f>
        <v>0.35</v>
      </c>
      <c r="L258" s="7" t="s">
        <v>1137</v>
      </c>
      <c r="M258" s="7"/>
      <c r="N258" s="7"/>
      <c r="O258" s="12" t="s">
        <v>103</v>
      </c>
    </row>
    <row r="259" spans="1:15">
      <c r="A259" s="13" t="s">
        <v>48</v>
      </c>
      <c r="B259" s="14" t="s">
        <v>142</v>
      </c>
      <c r="C259" s="14" t="s">
        <v>143</v>
      </c>
      <c r="D259" s="14" t="s">
        <v>1024</v>
      </c>
      <c r="E259" s="14" t="s">
        <v>1138</v>
      </c>
      <c r="F259" s="14" t="s">
        <v>1139</v>
      </c>
      <c r="G259" s="14" t="s">
        <v>162</v>
      </c>
      <c r="H259" s="14" t="s">
        <v>1027</v>
      </c>
      <c r="I259" s="48">
        <v>1</v>
      </c>
      <c r="J259" s="48">
        <v>1.5</v>
      </c>
      <c r="K259" s="48">
        <f>J259*Parametros!$B$9</f>
        <v>1.0499999999999998</v>
      </c>
      <c r="L259" s="14" t="s">
        <v>1140</v>
      </c>
      <c r="M259" s="14"/>
      <c r="N259" s="14"/>
      <c r="O259" s="15" t="s">
        <v>103</v>
      </c>
    </row>
  </sheetData>
  <mergeCells count="2">
    <mergeCell ref="A1:O1"/>
    <mergeCell ref="A3:O3"/>
  </mergeCells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5"/>
  <sheetViews>
    <sheetView workbookViewId="0"/>
  </sheetViews>
  <sheetFormatPr baseColWidth="10" defaultColWidth="9" defaultRowHeight="14.25"/>
  <cols>
    <col min="1" max="1" width="14" customWidth="1"/>
    <col min="2" max="2" width="42" customWidth="1"/>
    <col min="3" max="3" width="18" customWidth="1"/>
    <col min="4" max="4" width="48" customWidth="1"/>
    <col min="5" max="5" width="18" customWidth="1"/>
    <col min="6" max="7" width="16" customWidth="1"/>
    <col min="8" max="8" width="62" customWidth="1"/>
    <col min="9" max="9" width="52" customWidth="1"/>
  </cols>
  <sheetData>
    <row r="1" spans="1:9" ht="33.950000000000003" customHeight="1">
      <c r="A1" s="36" t="s">
        <v>1141</v>
      </c>
      <c r="B1" s="36"/>
      <c r="C1" s="36"/>
      <c r="D1" s="36"/>
      <c r="E1" s="36"/>
      <c r="F1" s="36"/>
      <c r="G1" s="36"/>
      <c r="H1" s="36"/>
      <c r="I1" s="36"/>
    </row>
    <row r="3" spans="1:9" ht="33.950000000000003" customHeight="1">
      <c r="A3" s="37" t="s">
        <v>1142</v>
      </c>
      <c r="B3" s="37"/>
      <c r="C3" s="37"/>
      <c r="D3" s="37"/>
      <c r="E3" s="37"/>
      <c r="F3" s="37"/>
      <c r="G3" s="37"/>
      <c r="H3" s="37"/>
      <c r="I3" s="37"/>
    </row>
    <row r="5" spans="1:9" ht="27.95" customHeight="1">
      <c r="A5" s="6" t="s">
        <v>95</v>
      </c>
      <c r="B5" s="6" t="s">
        <v>499</v>
      </c>
      <c r="C5" s="6" t="s">
        <v>149</v>
      </c>
      <c r="D5" s="6" t="s">
        <v>151</v>
      </c>
      <c r="E5" s="6" t="s">
        <v>152</v>
      </c>
      <c r="F5" s="6" t="s">
        <v>1143</v>
      </c>
      <c r="G5" s="6" t="s">
        <v>99</v>
      </c>
      <c r="H5" s="6" t="s">
        <v>156</v>
      </c>
      <c r="I5" s="6" t="s">
        <v>157</v>
      </c>
    </row>
    <row r="6" spans="1:9" ht="36">
      <c r="A6" s="8" t="str">
        <f>'Catalogo Maestro'!E6</f>
        <v>WEB-001</v>
      </c>
      <c r="B6" s="9" t="str">
        <f>'Catalogo Maestro'!C6</f>
        <v>Sitio web profesional</v>
      </c>
      <c r="C6" s="9" t="str">
        <f>'Catalogo Maestro'!D6</f>
        <v>Planificación</v>
      </c>
      <c r="D6" s="9" t="str">
        <f>'Catalogo Maestro'!F6</f>
        <v>Levantamiento y planificación inicial</v>
      </c>
      <c r="E6" s="9" t="str">
        <f>'Catalogo Maestro'!G6</f>
        <v>Base obligatorio</v>
      </c>
      <c r="F6" s="21">
        <f>'Catalogo Maestro'!J6</f>
        <v>1.5</v>
      </c>
      <c r="G6" s="21">
        <f>'Catalogo Maestro'!K6</f>
        <v>1.0499999999999998</v>
      </c>
      <c r="H6" s="9" t="str">
        <f>'Catalogo Maestro'!L6</f>
        <v>Incluye: objetivos y público objetivo; inventario de contenidos; propuesta de valor y CTA principal; mapa de navegación; orden de secciones; flujo general; wireframe base de la página principal.</v>
      </c>
      <c r="I6" s="10" t="str">
        <f>'Catalogo Maestro'!M6</f>
        <v>No incluye redacción profesional completa, investigación de mercado extensa ni prototipo de alta fidelidad.</v>
      </c>
    </row>
    <row r="7" spans="1:9" ht="24">
      <c r="A7" s="11" t="str">
        <f>'Catalogo Maestro'!E7</f>
        <v>WEB-005</v>
      </c>
      <c r="B7" s="7" t="str">
        <f>'Catalogo Maestro'!C7</f>
        <v>Sitio web profesional</v>
      </c>
      <c r="C7" s="7" t="str">
        <f>'Catalogo Maestro'!D7</f>
        <v>Preparación</v>
      </c>
      <c r="D7" s="7" t="str">
        <f>'Catalogo Maestro'!F7</f>
        <v>Preparación técnica y sistema visual base</v>
      </c>
      <c r="E7" s="7" t="str">
        <f>'Catalogo Maestro'!G7</f>
        <v>Base obligatorio</v>
      </c>
      <c r="F7" s="16">
        <f>'Catalogo Maestro'!J7</f>
        <v>2</v>
      </c>
      <c r="G7" s="16">
        <f>'Catalogo Maestro'!K7</f>
        <v>1.4</v>
      </c>
      <c r="H7" s="7" t="str">
        <f>'Catalogo Maestro'!L7</f>
        <v>Incluye: creación/ajuste de repositorio; estructura del proyecto; configuración inicial; colores, tipografías, espaciados, botones y componentes base reutilizables.</v>
      </c>
      <c r="I7" s="12" t="str">
        <f>'Catalogo Maestro'!M7</f>
        <v>No incluye branding completo ni diseño de identidad corporativa desde cero.</v>
      </c>
    </row>
    <row r="8" spans="1:9" ht="24">
      <c r="A8" s="11" t="str">
        <f>'Catalogo Maestro'!E8</f>
        <v>WEB-007</v>
      </c>
      <c r="B8" s="7" t="str">
        <f>'Catalogo Maestro'!C8</f>
        <v>Sitio web profesional</v>
      </c>
      <c r="C8" s="7" t="str">
        <f>'Catalogo Maestro'!D8</f>
        <v>Interfaz</v>
      </c>
      <c r="D8" s="7" t="str">
        <f>'Catalogo Maestro'!F8</f>
        <v>Navbar, navegación principal y menú móvil</v>
      </c>
      <c r="E8" s="7" t="str">
        <f>'Catalogo Maestro'!G8</f>
        <v>Base obligatorio</v>
      </c>
      <c r="F8" s="16">
        <f>'Catalogo Maestro'!J8</f>
        <v>1.2</v>
      </c>
      <c r="G8" s="16">
        <f>'Catalogo Maestro'!K8</f>
        <v>0.84</v>
      </c>
      <c r="H8" s="7" t="str">
        <f>'Catalogo Maestro'!L8</f>
        <v>Incluye: logo, enlaces, CTA de navegación cuando corresponda, estados activos y comportamiento móvil.</v>
      </c>
      <c r="I8" s="12" t="str">
        <f>'Catalogo Maestro'!M8</f>
        <v>No incluye megamenús complejos ni navegación dinámica por permisos.</v>
      </c>
    </row>
    <row r="9" spans="1:9" ht="24">
      <c r="A9" s="11" t="str">
        <f>'Catalogo Maestro'!E9</f>
        <v>WEB-008</v>
      </c>
      <c r="B9" s="7" t="str">
        <f>'Catalogo Maestro'!C9</f>
        <v>Sitio web profesional</v>
      </c>
      <c r="C9" s="7" t="str">
        <f>'Catalogo Maestro'!D9</f>
        <v>Interfaz</v>
      </c>
      <c r="D9" s="7" t="str">
        <f>'Catalogo Maestro'!F9</f>
        <v>Hero principal y llamada a la acción</v>
      </c>
      <c r="E9" s="7" t="str">
        <f>'Catalogo Maestro'!G9</f>
        <v>Base obligatorio</v>
      </c>
      <c r="F9" s="16">
        <f>'Catalogo Maestro'!J9</f>
        <v>1.8</v>
      </c>
      <c r="G9" s="16">
        <f>'Catalogo Maestro'!K9</f>
        <v>1.26</v>
      </c>
      <c r="H9" s="7" t="str">
        <f>'Catalogo Maestro'!L9</f>
        <v>Incluye: titular, subtítulo, CTA, recurso visual entregado/disponible, composición y adaptación responsive.</v>
      </c>
      <c r="I9" s="12" t="str">
        <f>'Catalogo Maestro'!M9</f>
        <v>No incluye sesión fotográfica, producción audiovisual ni ilustración compleja a medida.</v>
      </c>
    </row>
    <row r="10" spans="1:9" ht="24">
      <c r="A10" s="11" t="str">
        <f>'Catalogo Maestro'!E10</f>
        <v>WEB-009</v>
      </c>
      <c r="B10" s="7" t="str">
        <f>'Catalogo Maestro'!C10</f>
        <v>Sitio web profesional</v>
      </c>
      <c r="C10" s="7" t="str">
        <f>'Catalogo Maestro'!D10</f>
        <v>Interfaz</v>
      </c>
      <c r="D10" s="7" t="str">
        <f>'Catalogo Maestro'!F10</f>
        <v>Sección estándar de contenido</v>
      </c>
      <c r="E10" s="7" t="str">
        <f>'Catalogo Maestro'!G10</f>
        <v>Base incluido</v>
      </c>
      <c r="F10" s="16">
        <f>'Catalogo Maestro'!J10</f>
        <v>1</v>
      </c>
      <c r="G10" s="16">
        <f>'Catalogo Maestro'!K10</f>
        <v>0.7</v>
      </c>
      <c r="H10" s="7" t="str">
        <f>'Catalogo Maestro'!L10</f>
        <v>Incluye por unidad: título, texto, imagen/icono, tarjetas simples o bloque informativo y adaptación responsive.</v>
      </c>
      <c r="I10" s="12" t="str">
        <f>'Catalogo Maestro'!M10</f>
        <v>No incluye lógica avanzada, filtros ni contenido dinámico.</v>
      </c>
    </row>
    <row r="11" spans="1:9" ht="24">
      <c r="A11" s="11" t="str">
        <f>'Catalogo Maestro'!E11</f>
        <v>WEB-010</v>
      </c>
      <c r="B11" s="7" t="str">
        <f>'Catalogo Maestro'!C11</f>
        <v>Sitio web profesional</v>
      </c>
      <c r="C11" s="7" t="str">
        <f>'Catalogo Maestro'!D11</f>
        <v>Interfaz</v>
      </c>
      <c r="D11" s="7" t="str">
        <f>'Catalogo Maestro'!F11</f>
        <v>Sección de servicios con tarjetas</v>
      </c>
      <c r="E11" s="7" t="str">
        <f>'Catalogo Maestro'!G11</f>
        <v>Base incluido</v>
      </c>
      <c r="F11" s="16">
        <f>'Catalogo Maestro'!J11</f>
        <v>1</v>
      </c>
      <c r="G11" s="16">
        <f>'Catalogo Maestro'!K11</f>
        <v>0.7</v>
      </c>
      <c r="H11" s="7" t="str">
        <f>'Catalogo Maestro'!L11</f>
        <v>Incluye: tarjetas de servicios, iconos o imágenes, descripciones breves y CTA relacionado.</v>
      </c>
      <c r="I11" s="12" t="str">
        <f>'Catalogo Maestro'!M11</f>
        <v>No incluye catálogo transaccional, reservas ni cálculo dinámico de precios.</v>
      </c>
    </row>
    <row r="12" spans="1:9" ht="24">
      <c r="A12" s="11" t="str">
        <f>'Catalogo Maestro'!E12</f>
        <v>WEB-011</v>
      </c>
      <c r="B12" s="7" t="str">
        <f>'Catalogo Maestro'!C12</f>
        <v>Sitio web profesional</v>
      </c>
      <c r="C12" s="7" t="str">
        <f>'Catalogo Maestro'!D12</f>
        <v>Interfaz</v>
      </c>
      <c r="D12" s="7" t="str">
        <f>'Catalogo Maestro'!F12</f>
        <v>Galería o portafolio</v>
      </c>
      <c r="E12" s="7" t="str">
        <f>'Catalogo Maestro'!G12</f>
        <v>Opcional</v>
      </c>
      <c r="F12" s="16">
        <f>'Catalogo Maestro'!J12</f>
        <v>1.5</v>
      </c>
      <c r="G12" s="16">
        <f>'Catalogo Maestro'!K12</f>
        <v>1.0499999999999998</v>
      </c>
      <c r="H12" s="7" t="str">
        <f>'Catalogo Maestro'!L12</f>
        <v>Incluye: grilla/slider, visualización de proyectos o trabajos, modal o navegación simple según alcance.</v>
      </c>
      <c r="I12" s="12" t="str">
        <f>'Catalogo Maestro'!M12</f>
        <v>No incluye carga masiva, edición de imágenes ni CMS complejo.</v>
      </c>
    </row>
    <row r="13" spans="1:9">
      <c r="A13" s="11" t="str">
        <f>'Catalogo Maestro'!E13</f>
        <v>WEB-012</v>
      </c>
      <c r="B13" s="7" t="str">
        <f>'Catalogo Maestro'!C13</f>
        <v>Sitio web profesional</v>
      </c>
      <c r="C13" s="7" t="str">
        <f>'Catalogo Maestro'!D13</f>
        <v>Interfaz</v>
      </c>
      <c r="D13" s="7" t="str">
        <f>'Catalogo Maestro'!F13</f>
        <v>Testimonios o casos de éxito</v>
      </c>
      <c r="E13" s="7" t="str">
        <f>'Catalogo Maestro'!G13</f>
        <v>Opcional</v>
      </c>
      <c r="F13" s="16">
        <f>'Catalogo Maestro'!J13</f>
        <v>1.5</v>
      </c>
      <c r="G13" s="16">
        <f>'Catalogo Maestro'!K13</f>
        <v>1.0499999999999998</v>
      </c>
      <c r="H13" s="7" t="str">
        <f>'Catalogo Maestro'!L13</f>
        <v>Incluye: tarjetas, autor, cargo/empresa cuando aplique y adaptación responsive.</v>
      </c>
      <c r="I13" s="12" t="str">
        <f>'Catalogo Maestro'!M13</f>
        <v>No incluye producción de testimonios ni validación legal de contenido.</v>
      </c>
    </row>
    <row r="14" spans="1:9">
      <c r="A14" s="11" t="str">
        <f>'Catalogo Maestro'!E14</f>
        <v>WEB-013</v>
      </c>
      <c r="B14" s="7" t="str">
        <f>'Catalogo Maestro'!C14</f>
        <v>Sitio web profesional</v>
      </c>
      <c r="C14" s="7" t="str">
        <f>'Catalogo Maestro'!D14</f>
        <v>Interfaz</v>
      </c>
      <c r="D14" s="7" t="str">
        <f>'Catalogo Maestro'!F14</f>
        <v>Preguntas frecuentes</v>
      </c>
      <c r="E14" s="7" t="str">
        <f>'Catalogo Maestro'!G14</f>
        <v>Opcional</v>
      </c>
      <c r="F14" s="16">
        <f>'Catalogo Maestro'!J14</f>
        <v>1</v>
      </c>
      <c r="G14" s="16">
        <f>'Catalogo Maestro'!K14</f>
        <v>0.7</v>
      </c>
      <c r="H14" s="7" t="str">
        <f>'Catalogo Maestro'!L14</f>
        <v>Incluye: acordeón o listado estructurado, estados y contenido entregado por cliente.</v>
      </c>
      <c r="I14" s="12" t="str">
        <f>'Catalogo Maestro'!M14</f>
        <v>No incluye redacción especializada ni base de conocimiento dinámica.</v>
      </c>
    </row>
    <row r="15" spans="1:9" ht="24">
      <c r="A15" s="11" t="str">
        <f>'Catalogo Maestro'!E15</f>
        <v>WEB-014</v>
      </c>
      <c r="B15" s="7" t="str">
        <f>'Catalogo Maestro'!C15</f>
        <v>Sitio web profesional</v>
      </c>
      <c r="C15" s="7" t="str">
        <f>'Catalogo Maestro'!D15</f>
        <v>Conversión</v>
      </c>
      <c r="D15" s="7" t="str">
        <f>'Catalogo Maestro'!F15</f>
        <v>Formulario de contacto con envío por correo</v>
      </c>
      <c r="E15" s="7" t="str">
        <f>'Catalogo Maestro'!G15</f>
        <v>Opcional</v>
      </c>
      <c r="F15" s="16">
        <f>'Catalogo Maestro'!J15</f>
        <v>1</v>
      </c>
      <c r="G15" s="16">
        <f>'Catalogo Maestro'!K15</f>
        <v>0.7</v>
      </c>
      <c r="H15" s="7" t="str">
        <f>'Catalogo Maestro'!L15</f>
        <v>Incluye: campos, validaciones, estados, consentimiento básico, endpoint o servicio de envío, plantilla simple de correo y prueba de entrega.</v>
      </c>
      <c r="I15" s="12" t="str">
        <f>'Catalogo Maestro'!M15</f>
        <v>No incluye CRM, automatizaciones complejas, adjuntos pesados ni flujos de aprobación.</v>
      </c>
    </row>
    <row r="16" spans="1:9" ht="24">
      <c r="A16" s="11" t="str">
        <f>'Catalogo Maestro'!E16</f>
        <v>WEB-015</v>
      </c>
      <c r="B16" s="7" t="str">
        <f>'Catalogo Maestro'!C16</f>
        <v>Sitio web profesional</v>
      </c>
      <c r="C16" s="7" t="str">
        <f>'Catalogo Maestro'!D16</f>
        <v>Interfaz</v>
      </c>
      <c r="D16" s="7" t="str">
        <f>'Catalogo Maestro'!F16</f>
        <v>Footer y cierre de navegación</v>
      </c>
      <c r="E16" s="7" t="str">
        <f>'Catalogo Maestro'!G16</f>
        <v>Base obligatorio</v>
      </c>
      <c r="F16" s="16">
        <f>'Catalogo Maestro'!J16</f>
        <v>1</v>
      </c>
      <c r="G16" s="16">
        <f>'Catalogo Maestro'!K16</f>
        <v>0.7</v>
      </c>
      <c r="H16" s="7" t="str">
        <f>'Catalogo Maestro'!L16</f>
        <v>Incluye: datos de contacto, enlaces legales/útiles, redes cuando existan y estructura responsive.</v>
      </c>
      <c r="I16" s="12" t="str">
        <f>'Catalogo Maestro'!M16</f>
        <v>No incluye contenido legal redactado por ISM.</v>
      </c>
    </row>
    <row r="17" spans="1:9" ht="24">
      <c r="A17" s="11" t="str">
        <f>'Catalogo Maestro'!E17</f>
        <v>WEB-016</v>
      </c>
      <c r="B17" s="7" t="str">
        <f>'Catalogo Maestro'!C17</f>
        <v>Sitio web profesional</v>
      </c>
      <c r="C17" s="7" t="str">
        <f>'Catalogo Maestro'!D17</f>
        <v>Interfaz</v>
      </c>
      <c r="D17" s="7" t="str">
        <f>'Catalogo Maestro'!F17</f>
        <v>Página interna estándar</v>
      </c>
      <c r="E17" s="7" t="str">
        <f>'Catalogo Maestro'!G17</f>
        <v>Opcional</v>
      </c>
      <c r="F17" s="16">
        <f>'Catalogo Maestro'!J17</f>
        <v>1.5</v>
      </c>
      <c r="G17" s="16">
        <f>'Catalogo Maestro'!K17</f>
        <v>1.0499999999999998</v>
      </c>
      <c r="H17" s="7" t="str">
        <f>'Catalogo Maestro'!L17</f>
        <v>Incluye: estructura reutilizando navbar/footer, hero interno y bloques estándar de contenido.</v>
      </c>
      <c r="I17" s="12" t="str">
        <f>'Catalogo Maestro'!M17</f>
        <v>No incluye lógica transaccional ni diseño completamente único por página.</v>
      </c>
    </row>
    <row r="18" spans="1:9">
      <c r="A18" s="11" t="str">
        <f>'Catalogo Maestro'!E18</f>
        <v>WEB-017</v>
      </c>
      <c r="B18" s="7" t="str">
        <f>'Catalogo Maestro'!C18</f>
        <v>Sitio web profesional</v>
      </c>
      <c r="C18" s="7" t="str">
        <f>'Catalogo Maestro'!D18</f>
        <v>Integración ligera</v>
      </c>
      <c r="D18" s="7" t="str">
        <f>'Catalogo Maestro'!F18</f>
        <v>Integración de WhatsApp</v>
      </c>
      <c r="E18" s="7" t="str">
        <f>'Catalogo Maestro'!G18</f>
        <v>Opcional</v>
      </c>
      <c r="F18" s="16">
        <f>'Catalogo Maestro'!J18</f>
        <v>0.5</v>
      </c>
      <c r="G18" s="16">
        <f>'Catalogo Maestro'!K18</f>
        <v>0.35</v>
      </c>
      <c r="H18" s="7" t="str">
        <f>'Catalogo Maestro'!L18</f>
        <v>Incluye: enlace, mensaje inicial opcional, CTA y pruebas de funcionamiento.</v>
      </c>
      <c r="I18" s="12" t="str">
        <f>'Catalogo Maestro'!M18</f>
        <v>No incluye chatbot, API oficial ni automatización de conversaciones.</v>
      </c>
    </row>
    <row r="19" spans="1:9">
      <c r="A19" s="11" t="str">
        <f>'Catalogo Maestro'!E19</f>
        <v>WEB-018</v>
      </c>
      <c r="B19" s="7" t="str">
        <f>'Catalogo Maestro'!C19</f>
        <v>Sitio web profesional</v>
      </c>
      <c r="C19" s="7" t="str">
        <f>'Catalogo Maestro'!D19</f>
        <v>Integración ligera</v>
      </c>
      <c r="D19" s="7" t="str">
        <f>'Catalogo Maestro'!F19</f>
        <v>Integración de redes sociales</v>
      </c>
      <c r="E19" s="7" t="str">
        <f>'Catalogo Maestro'!G19</f>
        <v>Opcional</v>
      </c>
      <c r="F19" s="16">
        <f>'Catalogo Maestro'!J19</f>
        <v>0.5</v>
      </c>
      <c r="G19" s="16">
        <f>'Catalogo Maestro'!K19</f>
        <v>0.35</v>
      </c>
      <c r="H19" s="7" t="str">
        <f>'Catalogo Maestro'!L19</f>
        <v>Incluye: enlaces/iconos a redes definidas y verificación básica.</v>
      </c>
      <c r="I19" s="12" t="str">
        <f>'Catalogo Maestro'!M19</f>
        <v>No incluye gestión de redes, feeds dinámicos ni APIs sociales.</v>
      </c>
    </row>
    <row r="20" spans="1:9">
      <c r="A20" s="11" t="str">
        <f>'Catalogo Maestro'!E20</f>
        <v>WEB-019</v>
      </c>
      <c r="B20" s="7" t="str">
        <f>'Catalogo Maestro'!C20</f>
        <v>Sitio web profesional</v>
      </c>
      <c r="C20" s="7" t="str">
        <f>'Catalogo Maestro'!D20</f>
        <v>Integración ligera</v>
      </c>
      <c r="D20" s="7" t="str">
        <f>'Catalogo Maestro'!F20</f>
        <v>Integración de mapa o ubicación</v>
      </c>
      <c r="E20" s="7" t="str">
        <f>'Catalogo Maestro'!G20</f>
        <v>Opcional</v>
      </c>
      <c r="F20" s="16">
        <f>'Catalogo Maestro'!J20</f>
        <v>0.5</v>
      </c>
      <c r="G20" s="16">
        <f>'Catalogo Maestro'!K20</f>
        <v>0.35</v>
      </c>
      <c r="H20" s="7" t="str">
        <f>'Catalogo Maestro'!L20</f>
        <v>Incluye: mapa embebido o enlace de ubicación y prueba responsive.</v>
      </c>
      <c r="I20" s="12" t="str">
        <f>'Catalogo Maestro'!M20</f>
        <v>No incluye cálculo de rutas, geocodificación ni mapas personalizados.</v>
      </c>
    </row>
    <row r="21" spans="1:9" ht="24">
      <c r="A21" s="11" t="str">
        <f>'Catalogo Maestro'!E21</f>
        <v>WEB-021</v>
      </c>
      <c r="B21" s="7" t="str">
        <f>'Catalogo Maestro'!C21</f>
        <v>Sitio web profesional</v>
      </c>
      <c r="C21" s="7" t="str">
        <f>'Catalogo Maestro'!D21</f>
        <v>Contenido</v>
      </c>
      <c r="D21" s="7" t="str">
        <f>'Catalogo Maestro'!F21</f>
        <v>Carga y formato inicial de contenidos</v>
      </c>
      <c r="E21" s="7" t="str">
        <f>'Catalogo Maestro'!G21</f>
        <v>Base incluido</v>
      </c>
      <c r="F21" s="16">
        <f>'Catalogo Maestro'!J21</f>
        <v>1.2</v>
      </c>
      <c r="G21" s="16">
        <f>'Catalogo Maestro'!K21</f>
        <v>0.84</v>
      </c>
      <c r="H21" s="7" t="str">
        <f>'Catalogo Maestro'!L21</f>
        <v>Incluye: carga, jerarquía, formato y ajustes menores sobre textos e imágenes entregados por el cliente.</v>
      </c>
      <c r="I21" s="12" t="str">
        <f>'Catalogo Maestro'!M21</f>
        <v>No incluye copywriting profesional, traducción ni producción masiva de contenido.</v>
      </c>
    </row>
    <row r="22" spans="1:9" ht="36">
      <c r="A22" s="11" t="str">
        <f>'Catalogo Maestro'!E22</f>
        <v>WEB-022</v>
      </c>
      <c r="B22" s="7" t="str">
        <f>'Catalogo Maestro'!C22</f>
        <v>Sitio web profesional</v>
      </c>
      <c r="C22" s="7" t="str">
        <f>'Catalogo Maestro'!D22</f>
        <v>Calidad</v>
      </c>
      <c r="D22" s="7" t="str">
        <f>'Catalogo Maestro'!F22</f>
        <v>Validación responsive y compatibilidad final</v>
      </c>
      <c r="E22" s="7" t="str">
        <f>'Catalogo Maestro'!G22</f>
        <v>Base obligatorio</v>
      </c>
      <c r="F22" s="16">
        <f>'Catalogo Maestro'!J22</f>
        <v>2</v>
      </c>
      <c r="G22" s="16">
        <f>'Catalogo Maestro'!K22</f>
        <v>1.4</v>
      </c>
      <c r="H22" s="7" t="str">
        <f>'Catalogo Maestro'!L22</f>
        <v>Incluye: revisión final en móvil, tablet y escritorio; navegación; desbordes; foco; estados básicos y navegadores definidos. El responsive se construye desde el inicio en cada componente.</v>
      </c>
      <c r="I22" s="12" t="str">
        <f>'Catalogo Maestro'!M22</f>
        <v>No incluye reconstruir componentes fuera de alcance.</v>
      </c>
    </row>
    <row r="23" spans="1:9" ht="24">
      <c r="A23" s="11" t="str">
        <f>'Catalogo Maestro'!E23</f>
        <v>WEB-023</v>
      </c>
      <c r="B23" s="7" t="str">
        <f>'Catalogo Maestro'!C23</f>
        <v>Sitio web profesional</v>
      </c>
      <c r="C23" s="7" t="str">
        <f>'Catalogo Maestro'!D23</f>
        <v>SEO</v>
      </c>
      <c r="D23" s="7" t="str">
        <f>'Catalogo Maestro'!F23</f>
        <v>SEO técnico inicial e indexabilidad</v>
      </c>
      <c r="E23" s="7" t="str">
        <f>'Catalogo Maestro'!G23</f>
        <v>Base incluido</v>
      </c>
      <c r="F23" s="16">
        <f>'Catalogo Maestro'!J23</f>
        <v>1.5</v>
      </c>
      <c r="G23" s="16">
        <f>'Catalogo Maestro'!K23</f>
        <v>1.0499999999999998</v>
      </c>
      <c r="H23" s="7" t="str">
        <f>'Catalogo Maestro'!L23</f>
        <v>Incluye: titles, descriptions, canonical, OG/social, sitemap, robots, revisión de indexabilidad y datos estructurados básicos cuando apliquen.</v>
      </c>
      <c r="I23" s="12" t="str">
        <f>'Catalogo Maestro'!M23</f>
        <v>No incluye estrategia SEO mensual, link building ni investigación avanzada de palabras clave.</v>
      </c>
    </row>
    <row r="24" spans="1:9" ht="24">
      <c r="A24" s="11" t="str">
        <f>'Catalogo Maestro'!E24</f>
        <v>WEB-026</v>
      </c>
      <c r="B24" s="7" t="str">
        <f>'Catalogo Maestro'!C24</f>
        <v>Sitio web profesional</v>
      </c>
      <c r="C24" s="7" t="str">
        <f>'Catalogo Maestro'!D24</f>
        <v>Optimización</v>
      </c>
      <c r="D24" s="7" t="str">
        <f>'Catalogo Maestro'!F24</f>
        <v>Optimización técnica y accesibilidad básica</v>
      </c>
      <c r="E24" s="7" t="str">
        <f>'Catalogo Maestro'!G24</f>
        <v>Base incluido</v>
      </c>
      <c r="F24" s="16">
        <f>'Catalogo Maestro'!J24</f>
        <v>1.5</v>
      </c>
      <c r="G24" s="16">
        <f>'Catalogo Maestro'!K24</f>
        <v>1.0499999999999998</v>
      </c>
      <c r="H24" s="7" t="str">
        <f>'Catalogo Maestro'!L24</f>
        <v>Incluye: compresión/formato de imágenes, lazy loading, revisión de peso, semántica, contraste, foco, labels y navegación básica por teclado.</v>
      </c>
      <c r="I24" s="12" t="str">
        <f>'Catalogo Maestro'!M24</f>
        <v>No incluye auditoría WCAG formal ni optimización avanzada de Core Web Vitals.</v>
      </c>
    </row>
    <row r="25" spans="1:9" ht="24">
      <c r="A25" s="11" t="str">
        <f>'Catalogo Maestro'!E25</f>
        <v>WEB-029</v>
      </c>
      <c r="B25" s="7" t="str">
        <f>'Catalogo Maestro'!C25</f>
        <v>Sitio web profesional</v>
      </c>
      <c r="C25" s="7" t="str">
        <f>'Catalogo Maestro'!D25</f>
        <v>Analítica</v>
      </c>
      <c r="D25" s="7" t="str">
        <f>'Catalogo Maestro'!F25</f>
        <v>Analítica básica</v>
      </c>
      <c r="E25" s="7" t="str">
        <f>'Catalogo Maestro'!G25</f>
        <v>Opcional</v>
      </c>
      <c r="F25" s="16">
        <f>'Catalogo Maestro'!J25</f>
        <v>0.6</v>
      </c>
      <c r="G25" s="16">
        <f>'Catalogo Maestro'!K25</f>
        <v>0.42</v>
      </c>
      <c r="H25" s="7" t="str">
        <f>'Catalogo Maestro'!L25</f>
        <v>Incluye: configuración de herramienta analítica acordada, evento/pageview básico y validación.</v>
      </c>
      <c r="I25" s="12" t="str">
        <f>'Catalogo Maestro'!M25</f>
        <v>No incluye dashboards BI ni estrategia de medición avanzada.</v>
      </c>
    </row>
    <row r="26" spans="1:9" ht="24">
      <c r="A26" s="11" t="str">
        <f>'Catalogo Maestro'!E26</f>
        <v>WEB-030</v>
      </c>
      <c r="B26" s="7" t="str">
        <f>'Catalogo Maestro'!C26</f>
        <v>Sitio web profesional</v>
      </c>
      <c r="C26" s="7" t="str">
        <f>'Catalogo Maestro'!D26</f>
        <v>Calidad</v>
      </c>
      <c r="D26" s="7" t="str">
        <f>'Catalogo Maestro'!F26</f>
        <v>QA funcional y ciclo consolidado de correcciones</v>
      </c>
      <c r="E26" s="7" t="str">
        <f>'Catalogo Maestro'!G26</f>
        <v>Base obligatorio</v>
      </c>
      <c r="F26" s="16">
        <f>'Catalogo Maestro'!J26</f>
        <v>1.5</v>
      </c>
      <c r="G26" s="16">
        <f>'Catalogo Maestro'!K26</f>
        <v>1.0499999999999998</v>
      </c>
      <c r="H26" s="7" t="str">
        <f>'Catalogo Maestro'!L26</f>
        <v>Incluye: pruebas de navegación y formularios/acciones presentes, revisión de enlaces, un ciclo consolidado de observaciones y correcciones dentro del alcance.</v>
      </c>
      <c r="I26" s="12" t="str">
        <f>'Catalogo Maestro'!M26</f>
        <v>No incluye cambios de alcance, nuevas secciones ni rediseño posterior a aprobación.</v>
      </c>
    </row>
    <row r="27" spans="1:9" ht="24">
      <c r="A27" s="11" t="str">
        <f>'Catalogo Maestro'!E27</f>
        <v>WEB-033</v>
      </c>
      <c r="B27" s="7" t="str">
        <f>'Catalogo Maestro'!C27</f>
        <v>Sitio web profesional</v>
      </c>
      <c r="C27" s="7" t="str">
        <f>'Catalogo Maestro'!D27</f>
        <v>Publicación</v>
      </c>
      <c r="D27" s="7" t="str">
        <f>'Catalogo Maestro'!F27</f>
        <v>Publicación, dominio, SSL y entrega</v>
      </c>
      <c r="E27" s="7" t="str">
        <f>'Catalogo Maestro'!G27</f>
        <v>Base obligatorio</v>
      </c>
      <c r="F27" s="16">
        <f>'Catalogo Maestro'!J27</f>
        <v>1.5</v>
      </c>
      <c r="G27" s="16">
        <f>'Catalogo Maestro'!K27</f>
        <v>1.0499999999999998</v>
      </c>
      <c r="H27" s="7" t="str">
        <f>'Catalogo Maestro'!L27</f>
        <v>Incluye: configuración de dominio/DNS disponible, HTTPS/SSL, variables de entorno, despliegue, validación final, accesos y recomendaciones de cierre.</v>
      </c>
      <c r="I27" s="12" t="str">
        <f>'Catalogo Maestro'!M27</f>
        <v>No incluye compra de dominio, costos de hosting/proveedores ni migraciones complejas de DNS/correo.</v>
      </c>
    </row>
    <row r="28" spans="1:9" ht="24">
      <c r="A28" s="11" t="str">
        <f>'Catalogo Maestro'!E28</f>
        <v>APP-001</v>
      </c>
      <c r="B28" s="7" t="str">
        <f>'Catalogo Maestro'!C28</f>
        <v>Sistema web o aplicación de gestión</v>
      </c>
      <c r="C28" s="7" t="str">
        <f>'Catalogo Maestro'!D28</f>
        <v>Planificación</v>
      </c>
      <c r="D28" s="7" t="str">
        <f>'Catalogo Maestro'!F28</f>
        <v>Levantamiento funcional, alcance y flujos principales</v>
      </c>
      <c r="E28" s="7" t="str">
        <f>'Catalogo Maestro'!G28</f>
        <v>Base obligatorio</v>
      </c>
      <c r="F28" s="16">
        <f>'Catalogo Maestro'!J28</f>
        <v>1.5</v>
      </c>
      <c r="G28" s="16">
        <f>'Catalogo Maestro'!K28</f>
        <v>1.0499999999999998</v>
      </c>
      <c r="H28" s="7" t="str">
        <f>'Catalogo Maestro'!L28</f>
        <v>Incluye: procesos actuales; actores; objetivos; historias/casos principales; criterios de aceptación; mapa de navegación; flujos y estados principales.</v>
      </c>
      <c r="I28" s="12" t="str">
        <f>'Catalogo Maestro'!M28</f>
        <v>No incluye documentación regulatoria extensa, BPMN formal completo ni consultoría de procesos independiente.</v>
      </c>
    </row>
    <row r="29" spans="1:9" ht="24">
      <c r="A29" s="11" t="str">
        <f>'Catalogo Maestro'!E29</f>
        <v>APP-003</v>
      </c>
      <c r="B29" s="7" t="str">
        <f>'Catalogo Maestro'!C29</f>
        <v>Sistema web o aplicación de gestión</v>
      </c>
      <c r="C29" s="7" t="str">
        <f>'Catalogo Maestro'!D29</f>
        <v>Arquitectura</v>
      </c>
      <c r="D29" s="7" t="str">
        <f>'Catalogo Maestro'!F29</f>
        <v>Modelo de datos y persistencia base</v>
      </c>
      <c r="E29" s="7" t="str">
        <f>'Catalogo Maestro'!G29</f>
        <v>Base obligatorio</v>
      </c>
      <c r="F29" s="16">
        <f>'Catalogo Maestro'!J29</f>
        <v>2.5</v>
      </c>
      <c r="G29" s="16">
        <f>'Catalogo Maestro'!K29</f>
        <v>1.75</v>
      </c>
      <c r="H29" s="7" t="str">
        <f>'Catalogo Maestro'!L29</f>
        <v>Incluye: entidades, relaciones, restricciones, esquema inicial, migraciones base y criterios de integridad.</v>
      </c>
      <c r="I29" s="12" t="str">
        <f>'Catalogo Maestro'!M29</f>
        <v>No incluye migración masiva de datos ni modelamiento analítico avanzado.</v>
      </c>
    </row>
    <row r="30" spans="1:9">
      <c r="A30" s="11" t="str">
        <f>'Catalogo Maestro'!E30</f>
        <v>APP-004</v>
      </c>
      <c r="B30" s="7" t="str">
        <f>'Catalogo Maestro'!C30</f>
        <v>Sistema web o aplicación de gestión</v>
      </c>
      <c r="C30" s="7" t="str">
        <f>'Catalogo Maestro'!D30</f>
        <v>Seguridad</v>
      </c>
      <c r="D30" s="7" t="str">
        <f>'Catalogo Maestro'!F30</f>
        <v>Diseño de roles y permisos</v>
      </c>
      <c r="E30" s="7" t="str">
        <f>'Catalogo Maestro'!G30</f>
        <v>Base incluido</v>
      </c>
      <c r="F30" s="16">
        <f>'Catalogo Maestro'!J30</f>
        <v>1</v>
      </c>
      <c r="G30" s="16">
        <f>'Catalogo Maestro'!K30</f>
        <v>0.7</v>
      </c>
      <c r="H30" s="7" t="str">
        <f>'Catalogo Maestro'!L30</f>
        <v>Incluye por rol: acciones permitidas, visibilidad, restricciones y criterios de protección.</v>
      </c>
      <c r="I30" s="12" t="str">
        <f>'Catalogo Maestro'!M30</f>
        <v>No incluye implementación técnica; se realiza en APP-015.</v>
      </c>
    </row>
    <row r="31" spans="1:9" ht="24">
      <c r="A31" s="11" t="str">
        <f>'Catalogo Maestro'!E31</f>
        <v>APP-005</v>
      </c>
      <c r="B31" s="7" t="str">
        <f>'Catalogo Maestro'!C31</f>
        <v>Sistema web o aplicación de gestión</v>
      </c>
      <c r="C31" s="7" t="str">
        <f>'Catalogo Maestro'!D31</f>
        <v>Arquitectura</v>
      </c>
      <c r="D31" s="7" t="str">
        <f>'Catalogo Maestro'!F31</f>
        <v>Arquitectura técnica, proyecto y ambientes</v>
      </c>
      <c r="E31" s="7" t="str">
        <f>'Catalogo Maestro'!G31</f>
        <v>Base obligatorio</v>
      </c>
      <c r="F31" s="16">
        <f>'Catalogo Maestro'!J31</f>
        <v>2</v>
      </c>
      <c r="G31" s="16">
        <f>'Catalogo Maestro'!K31</f>
        <v>1.4</v>
      </c>
      <c r="H31" s="7" t="str">
        <f>'Catalogo Maestro'!L31</f>
        <v>Incluye: frontend/backend/datos según alcance, repositorio, estructura del proyecto, variables y ambientes de trabajo.</v>
      </c>
      <c r="I31" s="12" t="str">
        <f>'Catalogo Maestro'!M31</f>
        <v>No incluye infraestructura empresarial compleja ni alta disponibilidad.</v>
      </c>
    </row>
    <row r="32" spans="1:9" ht="24">
      <c r="A32" s="11" t="str">
        <f>'Catalogo Maestro'!E32</f>
        <v>APP-007</v>
      </c>
      <c r="B32" s="7" t="str">
        <f>'Catalogo Maestro'!C32</f>
        <v>Sistema web o aplicación de gestión</v>
      </c>
      <c r="C32" s="7" t="str">
        <f>'Catalogo Maestro'!D32</f>
        <v>UX/UI</v>
      </c>
      <c r="D32" s="7" t="str">
        <f>'Catalogo Maestro'!F32</f>
        <v>Wireframe de pantalla estándar</v>
      </c>
      <c r="E32" s="7" t="str">
        <f>'Catalogo Maestro'!G32</f>
        <v>Base incluido</v>
      </c>
      <c r="F32" s="16">
        <f>'Catalogo Maestro'!J32</f>
        <v>1</v>
      </c>
      <c r="G32" s="16">
        <f>'Catalogo Maestro'!K32</f>
        <v>0.7</v>
      </c>
      <c r="H32" s="7" t="str">
        <f>'Catalogo Maestro'!L32</f>
        <v>Incluye por pantalla: estructura, campos, acciones, estados y jerarquía necesaria para construir.</v>
      </c>
      <c r="I32" s="12" t="str">
        <f>'Catalogo Maestro'!M32</f>
        <v>No incluye prototipo de alta fidelidad por cada pantalla.</v>
      </c>
    </row>
    <row r="33" spans="1:9" ht="24">
      <c r="A33" s="11" t="str">
        <f>'Catalogo Maestro'!E33</f>
        <v>APP-009</v>
      </c>
      <c r="B33" s="7" t="str">
        <f>'Catalogo Maestro'!C33</f>
        <v>Sistema web o aplicación de gestión</v>
      </c>
      <c r="C33" s="7" t="str">
        <f>'Catalogo Maestro'!D33</f>
        <v>Frontend</v>
      </c>
      <c r="D33" s="7" t="str">
        <f>'Catalogo Maestro'!F33</f>
        <v>Shell de aplicación y sistema visual</v>
      </c>
      <c r="E33" s="7" t="str">
        <f>'Catalogo Maestro'!G33</f>
        <v>Base obligatorio</v>
      </c>
      <c r="F33" s="16">
        <f>'Catalogo Maestro'!J33</f>
        <v>2.5</v>
      </c>
      <c r="G33" s="16">
        <f>'Catalogo Maestro'!K33</f>
        <v>1.75</v>
      </c>
      <c r="H33" s="7" t="str">
        <f>'Catalogo Maestro'!L33</f>
        <v>Incluye: layout, menú, encabezados, navegación, estilos, componentes base y comportamiento responsive del shell.</v>
      </c>
      <c r="I33" s="12" t="str">
        <f>'Catalogo Maestro'!M33</f>
        <v>No incluye las pantallas CRUD específicas de APP-010.</v>
      </c>
    </row>
    <row r="34" spans="1:9" ht="24">
      <c r="A34" s="11" t="str">
        <f>'Catalogo Maestro'!E34</f>
        <v>APP-010</v>
      </c>
      <c r="B34" s="7" t="str">
        <f>'Catalogo Maestro'!C34</f>
        <v>Sistema web o aplicación de gestión</v>
      </c>
      <c r="C34" s="7" t="str">
        <f>'Catalogo Maestro'!D34</f>
        <v>Frontend</v>
      </c>
      <c r="D34" s="7" t="str">
        <f>'Catalogo Maestro'!F34</f>
        <v>Interfaz CRUD estándar</v>
      </c>
      <c r="E34" s="7" t="str">
        <f>'Catalogo Maestro'!G34</f>
        <v>Base incluido</v>
      </c>
      <c r="F34" s="16">
        <f>'Catalogo Maestro'!J34</f>
        <v>2.5</v>
      </c>
      <c r="G34" s="16">
        <f>'Catalogo Maestro'!K34</f>
        <v>1.75</v>
      </c>
      <c r="H34" s="7" t="str">
        <f>'Catalogo Maestro'!L34</f>
        <v>Incluye por pantalla: listado, formulario, validaciones cliente, estados, mensajes y acciones de usuario.</v>
      </c>
      <c r="I34" s="12" t="str">
        <f>'Catalogo Maestro'!M34</f>
        <v>No incluye backend/persistencia; se contabiliza en APP-013.</v>
      </c>
    </row>
    <row r="35" spans="1:9">
      <c r="A35" s="11" t="str">
        <f>'Catalogo Maestro'!E35</f>
        <v>APP-011</v>
      </c>
      <c r="B35" s="7" t="str">
        <f>'Catalogo Maestro'!C35</f>
        <v>Sistema web o aplicación de gestión</v>
      </c>
      <c r="C35" s="7" t="str">
        <f>'Catalogo Maestro'!D35</f>
        <v>Frontend</v>
      </c>
      <c r="D35" s="7" t="str">
        <f>'Catalogo Maestro'!F35</f>
        <v>Dashboard con indicadores</v>
      </c>
      <c r="E35" s="7" t="str">
        <f>'Catalogo Maestro'!G35</f>
        <v>Opcional</v>
      </c>
      <c r="F35" s="16">
        <f>'Catalogo Maestro'!J35</f>
        <v>3.5</v>
      </c>
      <c r="G35" s="16">
        <f>'Catalogo Maestro'!K35</f>
        <v>2.4499999999999997</v>
      </c>
      <c r="H35" s="7" t="str">
        <f>'Catalogo Maestro'!L35</f>
        <v>Incluye: KPIs acordados, tarjetas, filtros simples y visualización estándar.</v>
      </c>
      <c r="I35" s="12" t="str">
        <f>'Catalogo Maestro'!M35</f>
        <v>No incluye analítica predictiva ni BI avanzado.</v>
      </c>
    </row>
    <row r="36" spans="1:9" ht="24">
      <c r="A36" s="11" t="str">
        <f>'Catalogo Maestro'!E36</f>
        <v>APP-013</v>
      </c>
      <c r="B36" s="7" t="str">
        <f>'Catalogo Maestro'!C36</f>
        <v>Sistema web o aplicación de gestión</v>
      </c>
      <c r="C36" s="7" t="str">
        <f>'Catalogo Maestro'!D36</f>
        <v>Backend</v>
      </c>
      <c r="D36" s="7" t="str">
        <f>'Catalogo Maestro'!F36</f>
        <v>Servicio CRUD backend estándar</v>
      </c>
      <c r="E36" s="7" t="str">
        <f>'Catalogo Maestro'!G36</f>
        <v>Base incluido</v>
      </c>
      <c r="F36" s="16">
        <f>'Catalogo Maestro'!J36</f>
        <v>2.2999999999999998</v>
      </c>
      <c r="G36" s="16">
        <f>'Catalogo Maestro'!K36</f>
        <v>1.6099999999999999</v>
      </c>
      <c r="H36" s="7" t="str">
        <f>'Catalogo Maestro'!L36</f>
        <v>Incluye por entidad: crear, consultar, actualizar, eliminar cuando corresponda, validaciones de servidor y persistencia.</v>
      </c>
      <c r="I36" s="12" t="str">
        <f>'Catalogo Maestro'!M36</f>
        <v>No incluye reglas de negocio complejas; se contabilizan en APP-016.</v>
      </c>
    </row>
    <row r="37" spans="1:9" ht="24">
      <c r="A37" s="11" t="str">
        <f>'Catalogo Maestro'!E37</f>
        <v>APP-014</v>
      </c>
      <c r="B37" s="7" t="str">
        <f>'Catalogo Maestro'!C37</f>
        <v>Sistema web o aplicación de gestión</v>
      </c>
      <c r="C37" s="7" t="str">
        <f>'Catalogo Maestro'!D37</f>
        <v>Seguridad</v>
      </c>
      <c r="D37" s="7" t="str">
        <f>'Catalogo Maestro'!F37</f>
        <v>Autenticación y recuperación de acceso</v>
      </c>
      <c r="E37" s="7" t="str">
        <f>'Catalogo Maestro'!G37</f>
        <v>Base obligatorio</v>
      </c>
      <c r="F37" s="16">
        <f>'Catalogo Maestro'!J37</f>
        <v>2.5</v>
      </c>
      <c r="G37" s="16">
        <f>'Catalogo Maestro'!K37</f>
        <v>1.75</v>
      </c>
      <c r="H37" s="7" t="str">
        <f>'Catalogo Maestro'!L37</f>
        <v>Incluye: login, logout, recuperación/restablecimiento y estados básicos de sesión.</v>
      </c>
      <c r="I37" s="12" t="str">
        <f>'Catalogo Maestro'!M37</f>
        <v>No incluye SSO empresarial, MFA avanzado ni proveedor de identidad externo complejo.</v>
      </c>
    </row>
    <row r="38" spans="1:9">
      <c r="A38" s="11" t="str">
        <f>'Catalogo Maestro'!E38</f>
        <v>APP-015</v>
      </c>
      <c r="B38" s="7" t="str">
        <f>'Catalogo Maestro'!C38</f>
        <v>Sistema web o aplicación de gestión</v>
      </c>
      <c r="C38" s="7" t="str">
        <f>'Catalogo Maestro'!D38</f>
        <v>Seguridad</v>
      </c>
      <c r="D38" s="7" t="str">
        <f>'Catalogo Maestro'!F38</f>
        <v>Autorización y protección por rol</v>
      </c>
      <c r="E38" s="7" t="str">
        <f>'Catalogo Maestro'!G38</f>
        <v>Base incluido</v>
      </c>
      <c r="F38" s="16">
        <f>'Catalogo Maestro'!J38</f>
        <v>1.5</v>
      </c>
      <c r="G38" s="16">
        <f>'Catalogo Maestro'!K38</f>
        <v>1.0499999999999998</v>
      </c>
      <c r="H38" s="7" t="str">
        <f>'Catalogo Maestro'!L38</f>
        <v>Incluye por rol: protección de rutas, acciones y consultas según matriz aprobada.</v>
      </c>
      <c r="I38" s="12" t="str">
        <f>'Catalogo Maestro'!M38</f>
        <v>No incluye políticas multi-organización complejas fuera del alcance.</v>
      </c>
    </row>
    <row r="39" spans="1:9" ht="24">
      <c r="A39" s="11" t="str">
        <f>'Catalogo Maestro'!E39</f>
        <v>APP-016</v>
      </c>
      <c r="B39" s="7" t="str">
        <f>'Catalogo Maestro'!C39</f>
        <v>Sistema web o aplicación de gestión</v>
      </c>
      <c r="C39" s="7" t="str">
        <f>'Catalogo Maestro'!D39</f>
        <v>Funcionalidad</v>
      </c>
      <c r="D39" s="7" t="str">
        <f>'Catalogo Maestro'!F39</f>
        <v>Flujo de negocio estándar</v>
      </c>
      <c r="E39" s="7" t="str">
        <f>'Catalogo Maestro'!G39</f>
        <v>Base incluido</v>
      </c>
      <c r="F39" s="16">
        <f>'Catalogo Maestro'!J39</f>
        <v>3</v>
      </c>
      <c r="G39" s="16">
        <f>'Catalogo Maestro'!K39</f>
        <v>2.0999999999999996</v>
      </c>
      <c r="H39" s="7" t="str">
        <f>'Catalogo Maestro'!L39</f>
        <v>Incluye por flujo: reglas, validaciones, cambios de estado, persistencia y manejo de errores del proceso definido.</v>
      </c>
      <c r="I39" s="12" t="str">
        <f>'Catalogo Maestro'!M39</f>
        <v>No incluye integraciones externas complejas; usar INT-01 cuando corresponda.</v>
      </c>
    </row>
    <row r="40" spans="1:9">
      <c r="A40" s="11" t="str">
        <f>'Catalogo Maestro'!E40</f>
        <v>APP-017</v>
      </c>
      <c r="B40" s="7" t="str">
        <f>'Catalogo Maestro'!C40</f>
        <v>Sistema web o aplicación de gestión</v>
      </c>
      <c r="C40" s="7" t="str">
        <f>'Catalogo Maestro'!D40</f>
        <v>Notificaciones</v>
      </c>
      <c r="D40" s="7" t="str">
        <f>'Catalogo Maestro'!F40</f>
        <v>Notificación operativa por correo</v>
      </c>
      <c r="E40" s="7" t="str">
        <f>'Catalogo Maestro'!G40</f>
        <v>Opcional</v>
      </c>
      <c r="F40" s="16">
        <f>'Catalogo Maestro'!J40</f>
        <v>1</v>
      </c>
      <c r="G40" s="16">
        <f>'Catalogo Maestro'!K40</f>
        <v>0.7</v>
      </c>
      <c r="H40" s="7" t="str">
        <f>'Catalogo Maestro'!L40</f>
        <v>Incluye: plantilla simple, envío, variables, manejo básico de error y prueba.</v>
      </c>
      <c r="I40" s="12" t="str">
        <f>'Catalogo Maestro'!M40</f>
        <v>No incluye campañas, marketing automation ni proveedor de pago.</v>
      </c>
    </row>
    <row r="41" spans="1:9" ht="24">
      <c r="A41" s="11" t="str">
        <f>'Catalogo Maestro'!E41</f>
        <v>APP-018</v>
      </c>
      <c r="B41" s="7" t="str">
        <f>'Catalogo Maestro'!C41</f>
        <v>Sistema web o aplicación de gestión</v>
      </c>
      <c r="C41" s="7" t="str">
        <f>'Catalogo Maestro'!D41</f>
        <v>Reportes</v>
      </c>
      <c r="D41" s="7" t="str">
        <f>'Catalogo Maestro'!F41</f>
        <v>Exportación o reporte estándar</v>
      </c>
      <c r="E41" s="7" t="str">
        <f>'Catalogo Maestro'!G41</f>
        <v>Opcional</v>
      </c>
      <c r="F41" s="16">
        <f>'Catalogo Maestro'!J41</f>
        <v>1.5</v>
      </c>
      <c r="G41" s="16">
        <f>'Catalogo Maestro'!K41</f>
        <v>1.0499999999999998</v>
      </c>
      <c r="H41" s="7" t="str">
        <f>'Catalogo Maestro'!L41</f>
        <v>Incluye por formato: selección de datos, columnas/campos, formato y descarga en Excel o PDF estándar.</v>
      </c>
      <c r="I41" s="12" t="str">
        <f>'Catalogo Maestro'!M41</f>
        <v>No incluye documentos de alta complejidad gráfica o maquetación editorial.</v>
      </c>
    </row>
    <row r="42" spans="1:9" ht="24">
      <c r="A42" s="11" t="str">
        <f>'Catalogo Maestro'!E42</f>
        <v>APP-023</v>
      </c>
      <c r="B42" s="7" t="str">
        <f>'Catalogo Maestro'!C42</f>
        <v>Sistema web o aplicación de gestión</v>
      </c>
      <c r="C42" s="7" t="str">
        <f>'Catalogo Maestro'!D42</f>
        <v>Datos</v>
      </c>
      <c r="D42" s="7" t="str">
        <f>'Catalogo Maestro'!F42</f>
        <v>Carga o migración inicial de datos</v>
      </c>
      <c r="E42" s="7" t="str">
        <f>'Catalogo Maestro'!G42</f>
        <v>Opcional</v>
      </c>
      <c r="F42" s="16">
        <f>'Catalogo Maestro'!J42</f>
        <v>2.5</v>
      </c>
      <c r="G42" s="16">
        <f>'Catalogo Maestro'!K42</f>
        <v>1.75</v>
      </c>
      <c r="H42" s="7" t="str">
        <f>'Catalogo Maestro'!L42</f>
        <v>Incluye: mapeo, validación, carga y conciliación de un lote acotado.</v>
      </c>
      <c r="I42" s="12" t="str">
        <f>'Catalogo Maestro'!M42</f>
        <v>No incluye limpieza extensa, deduplicación compleja ni ETL de gran volumen.</v>
      </c>
    </row>
    <row r="43" spans="1:9" ht="24">
      <c r="A43" s="11" t="str">
        <f>'Catalogo Maestro'!E43</f>
        <v>APP-020</v>
      </c>
      <c r="B43" s="7" t="str">
        <f>'Catalogo Maestro'!C43</f>
        <v>Sistema web o aplicación de gestión</v>
      </c>
      <c r="C43" s="7" t="str">
        <f>'Catalogo Maestro'!D43</f>
        <v>Calidad</v>
      </c>
      <c r="D43" s="7" t="str">
        <f>'Catalogo Maestro'!F43</f>
        <v>QA funcional, integración, permisos y UX</v>
      </c>
      <c r="E43" s="7" t="str">
        <f>'Catalogo Maestro'!G43</f>
        <v>Base obligatorio</v>
      </c>
      <c r="F43" s="16">
        <f>'Catalogo Maestro'!J43</f>
        <v>2.5</v>
      </c>
      <c r="G43" s="16">
        <f>'Catalogo Maestro'!K43</f>
        <v>1.75</v>
      </c>
      <c r="H43" s="7" t="str">
        <f>'Catalogo Maestro'!L43</f>
        <v>Incluye: reglas críticas, flujos, datos, permisos presentes, navegación, mensajes, experiencia responsive y casos de error principales.</v>
      </c>
      <c r="I43" s="12" t="str">
        <f>'Catalogo Maestro'!M43</f>
        <v>No incluye pruebas de carga avanzadas ni pentesting formal.</v>
      </c>
    </row>
    <row r="44" spans="1:9" ht="24">
      <c r="A44" s="11" t="str">
        <f>'Catalogo Maestro'!E44</f>
        <v>APP-024</v>
      </c>
      <c r="B44" s="7" t="str">
        <f>'Catalogo Maestro'!C44</f>
        <v>Sistema web o aplicación de gestión</v>
      </c>
      <c r="C44" s="7" t="str">
        <f>'Catalogo Maestro'!D44</f>
        <v>Despliegue</v>
      </c>
      <c r="D44" s="7" t="str">
        <f>'Catalogo Maestro'!F44</f>
        <v>Configuración y despliegue de producción</v>
      </c>
      <c r="E44" s="7" t="str">
        <f>'Catalogo Maestro'!G44</f>
        <v>Base obligatorio</v>
      </c>
      <c r="F44" s="16">
        <f>'Catalogo Maestro'!J44</f>
        <v>1.5</v>
      </c>
      <c r="G44" s="16">
        <f>'Catalogo Maestro'!K44</f>
        <v>1.0499999999999998</v>
      </c>
      <c r="H44" s="7" t="str">
        <f>'Catalogo Maestro'!L44</f>
        <v>Incluye: variables, build, base de datos, migraciones acordadas, despliegue y validación técnica de producción.</v>
      </c>
      <c r="I44" s="12" t="str">
        <f>'Catalogo Maestro'!M44</f>
        <v>No incluye costos de infraestructura ni arquitectura HA.</v>
      </c>
    </row>
    <row r="45" spans="1:9" ht="24">
      <c r="A45" s="11" t="str">
        <f>'Catalogo Maestro'!E45</f>
        <v>APP-025</v>
      </c>
      <c r="B45" s="7" t="str">
        <f>'Catalogo Maestro'!C45</f>
        <v>Sistema web o aplicación de gestión</v>
      </c>
      <c r="C45" s="7" t="str">
        <f>'Catalogo Maestro'!D45</f>
        <v>Cierre</v>
      </c>
      <c r="D45" s="7" t="str">
        <f>'Catalogo Maestro'!F45</f>
        <v>Capacitación, documentación y ciclo UAT</v>
      </c>
      <c r="E45" s="7" t="str">
        <f>'Catalogo Maestro'!G45</f>
        <v>Base incluido</v>
      </c>
      <c r="F45" s="16">
        <f>'Catalogo Maestro'!J45</f>
        <v>1.5</v>
      </c>
      <c r="G45" s="16">
        <f>'Catalogo Maestro'!K45</f>
        <v>1.0499999999999998</v>
      </c>
      <c r="H45" s="7" t="str">
        <f>'Catalogo Maestro'!L45</f>
        <v>Incluye: capacitación básica de administrador, guía funcional/técnica mínima, un ciclo UAT y correcciones dentro del alcance.</v>
      </c>
      <c r="I45" s="12" t="str">
        <f>'Catalogo Maestro'!M45</f>
        <v>No incluye capacitación masiva, manual extenso o nuevos requerimientos.</v>
      </c>
    </row>
    <row r="46" spans="1:9" ht="24">
      <c r="A46" s="11" t="str">
        <f>'Catalogo Maestro'!E46</f>
        <v>INT-001</v>
      </c>
      <c r="B46" s="7" t="str">
        <f>'Catalogo Maestro'!C46</f>
        <v>Integración y automatización de procesos</v>
      </c>
      <c r="C46" s="7" t="str">
        <f>'Catalogo Maestro'!D46</f>
        <v>Planificación</v>
      </c>
      <c r="D46" s="7" t="str">
        <f>'Catalogo Maestro'!F46</f>
        <v>Levantamiento y diseño de integración</v>
      </c>
      <c r="E46" s="7" t="str">
        <f>'Catalogo Maestro'!G46</f>
        <v>Base obligatorio</v>
      </c>
      <c r="F46" s="16">
        <f>'Catalogo Maestro'!J46</f>
        <v>3</v>
      </c>
      <c r="G46" s="16">
        <f>'Catalogo Maestro'!K46</f>
        <v>2.0999999999999996</v>
      </c>
      <c r="H46" s="7" t="str">
        <f>'Catalogo Maestro'!L46</f>
        <v>Incluye: proceso actual; sistemas involucrados; revisión de API/archivos/webhooks disponibles; mapeo de datos; transformaciones; estrategia de errores y reintentos.</v>
      </c>
      <c r="I46" s="12" t="str">
        <f>'Catalogo Maestro'!M46</f>
        <v>No incluye desarrollo del conector ni automatización.</v>
      </c>
    </row>
    <row r="47" spans="1:9">
      <c r="A47" s="11" t="str">
        <f>'Catalogo Maestro'!E47</f>
        <v>INT-005</v>
      </c>
      <c r="B47" s="7" t="str">
        <f>'Catalogo Maestro'!C47</f>
        <v>Integración y automatización de procesos</v>
      </c>
      <c r="C47" s="7" t="str">
        <f>'Catalogo Maestro'!D47</f>
        <v>Preparación</v>
      </c>
      <c r="D47" s="7" t="str">
        <f>'Catalogo Maestro'!F47</f>
        <v>Credenciales, secretos y configuración segura</v>
      </c>
      <c r="E47" s="7" t="str">
        <f>'Catalogo Maestro'!G47</f>
        <v>Base obligatorio</v>
      </c>
      <c r="F47" s="16">
        <f>'Catalogo Maestro'!J47</f>
        <v>1</v>
      </c>
      <c r="G47" s="16">
        <f>'Catalogo Maestro'!K47</f>
        <v>0.7</v>
      </c>
      <c r="H47" s="7" t="str">
        <f>'Catalogo Maestro'!L47</f>
        <v>Incluye: variables, secretos, permisos mínimos y prueba de conectividad.</v>
      </c>
      <c r="I47" s="12" t="str">
        <f>'Catalogo Maestro'!M47</f>
        <v>No incluye alta de cuentas o costos de proveedores.</v>
      </c>
    </row>
    <row r="48" spans="1:9" ht="24">
      <c r="A48" s="11" t="str">
        <f>'Catalogo Maestro'!E48</f>
        <v>INT-006</v>
      </c>
      <c r="B48" s="7" t="str">
        <f>'Catalogo Maestro'!C48</f>
        <v>Integración y automatización de procesos</v>
      </c>
      <c r="C48" s="7" t="str">
        <f>'Catalogo Maestro'!D48</f>
        <v>Desarrollo</v>
      </c>
      <c r="D48" s="7" t="str">
        <f>'Catalogo Maestro'!F48</f>
        <v>Conector API estándar</v>
      </c>
      <c r="E48" s="7" t="str">
        <f>'Catalogo Maestro'!G48</f>
        <v>Base incluido</v>
      </c>
      <c r="F48" s="16">
        <f>'Catalogo Maestro'!J48</f>
        <v>3.5</v>
      </c>
      <c r="G48" s="16">
        <f>'Catalogo Maestro'!K48</f>
        <v>2.4499999999999997</v>
      </c>
      <c r="H48" s="7" t="str">
        <f>'Catalogo Maestro'!L48</f>
        <v>Incluye: autenticación, consulta/envío, validación de respuesta, manejo básico de errores y adaptación a contrato API conocido.</v>
      </c>
      <c r="I48" s="12" t="str">
        <f>'Catalogo Maestro'!M48</f>
        <v>No incluye API sin documentación, protocolos no estándar o integración bidireccional compleja adicional.</v>
      </c>
    </row>
    <row r="49" spans="1:9" ht="24">
      <c r="A49" s="11" t="str">
        <f>'Catalogo Maestro'!E49</f>
        <v>INT-007</v>
      </c>
      <c r="B49" s="7" t="str">
        <f>'Catalogo Maestro'!C49</f>
        <v>Integración y automatización de procesos</v>
      </c>
      <c r="C49" s="7" t="str">
        <f>'Catalogo Maestro'!D49</f>
        <v>Desarrollo</v>
      </c>
      <c r="D49" s="7" t="str">
        <f>'Catalogo Maestro'!F49</f>
        <v>Intercambio por archivo</v>
      </c>
      <c r="E49" s="7" t="str">
        <f>'Catalogo Maestro'!G49</f>
        <v>Opcional</v>
      </c>
      <c r="F49" s="16">
        <f>'Catalogo Maestro'!J49</f>
        <v>2.2000000000000002</v>
      </c>
      <c r="G49" s="16">
        <f>'Catalogo Maestro'!K49</f>
        <v>1.54</v>
      </c>
      <c r="H49" s="7" t="str">
        <f>'Catalogo Maestro'!L49</f>
        <v>Incluye: CSV/XLSX/JSON, validación de estructura, importación o exportación y manejo de errores básicos.</v>
      </c>
      <c r="I49" s="12" t="str">
        <f>'Catalogo Maestro'!M49</f>
        <v>No incluye ETL masivo ni limpieza extensa de datos.</v>
      </c>
    </row>
    <row r="50" spans="1:9">
      <c r="A50" s="11" t="str">
        <f>'Catalogo Maestro'!E50</f>
        <v>INT-008</v>
      </c>
      <c r="B50" s="7" t="str">
        <f>'Catalogo Maestro'!C50</f>
        <v>Integración y automatización de procesos</v>
      </c>
      <c r="C50" s="7" t="str">
        <f>'Catalogo Maestro'!D50</f>
        <v>Desarrollo</v>
      </c>
      <c r="D50" s="7" t="str">
        <f>'Catalogo Maestro'!F50</f>
        <v>Webhook estándar</v>
      </c>
      <c r="E50" s="7" t="str">
        <f>'Catalogo Maestro'!G50</f>
        <v>Opcional</v>
      </c>
      <c r="F50" s="16">
        <f>'Catalogo Maestro'!J50</f>
        <v>2</v>
      </c>
      <c r="G50" s="16">
        <f>'Catalogo Maestro'!K50</f>
        <v>1.4</v>
      </c>
      <c r="H50" s="7" t="str">
        <f>'Catalogo Maestro'!L50</f>
        <v>Incluye: recepción, validación, idempotencia básica, respuesta y prueba.</v>
      </c>
      <c r="I50" s="12" t="str">
        <f>'Catalogo Maestro'!M50</f>
        <v>No incluye alto volumen, colas distribuidas o firma propietaria compleja.</v>
      </c>
    </row>
    <row r="51" spans="1:9">
      <c r="A51" s="11" t="str">
        <f>'Catalogo Maestro'!E51</f>
        <v>INT-009</v>
      </c>
      <c r="B51" s="7" t="str">
        <f>'Catalogo Maestro'!C51</f>
        <v>Integración y automatización de procesos</v>
      </c>
      <c r="C51" s="7" t="str">
        <f>'Catalogo Maestro'!D51</f>
        <v>Automatización</v>
      </c>
      <c r="D51" s="7" t="str">
        <f>'Catalogo Maestro'!F51</f>
        <v>Automatización programada</v>
      </c>
      <c r="E51" s="7" t="str">
        <f>'Catalogo Maestro'!G51</f>
        <v>Base incluido</v>
      </c>
      <c r="F51" s="16">
        <f>'Catalogo Maestro'!J51</f>
        <v>2</v>
      </c>
      <c r="G51" s="16">
        <f>'Catalogo Maestro'!K51</f>
        <v>1.4</v>
      </c>
      <c r="H51" s="7" t="str">
        <f>'Catalogo Maestro'!L51</f>
        <v>Incluye: frecuencia, ejecución, validación básica y registro del resultado.</v>
      </c>
      <c r="I51" s="12" t="str">
        <f>'Catalogo Maestro'!M51</f>
        <v>No incluye orquestación de múltiples jobs dependientes.</v>
      </c>
    </row>
    <row r="52" spans="1:9" ht="24">
      <c r="A52" s="11" t="str">
        <f>'Catalogo Maestro'!E52</f>
        <v>INT-010</v>
      </c>
      <c r="B52" s="7" t="str">
        <f>'Catalogo Maestro'!C52</f>
        <v>Integración y automatización de procesos</v>
      </c>
      <c r="C52" s="7" t="str">
        <f>'Catalogo Maestro'!D52</f>
        <v>Automatización</v>
      </c>
      <c r="D52" s="7" t="str">
        <f>'Catalogo Maestro'!F52</f>
        <v>Regla o transformación de negocio</v>
      </c>
      <c r="E52" s="7" t="str">
        <f>'Catalogo Maestro'!G52</f>
        <v>Base incluido</v>
      </c>
      <c r="F52" s="16">
        <f>'Catalogo Maestro'!J52</f>
        <v>1</v>
      </c>
      <c r="G52" s="16">
        <f>'Catalogo Maestro'!K52</f>
        <v>0.7</v>
      </c>
      <c r="H52" s="7" t="str">
        <f>'Catalogo Maestro'!L52</f>
        <v>Incluye por regla: condición, transformación, validación y manejo de caso esperado/error.</v>
      </c>
      <c r="I52" s="12" t="str">
        <f>'Catalogo Maestro'!M52</f>
        <v>No incluye rediseño del proceso; se define en INT-001.</v>
      </c>
    </row>
    <row r="53" spans="1:9" ht="24">
      <c r="A53" s="11" t="str">
        <f>'Catalogo Maestro'!E53</f>
        <v>INT-011</v>
      </c>
      <c r="B53" s="7" t="str">
        <f>'Catalogo Maestro'!C53</f>
        <v>Integración y automatización de procesos</v>
      </c>
      <c r="C53" s="7" t="str">
        <f>'Catalogo Maestro'!D53</f>
        <v>Observabilidad</v>
      </c>
      <c r="D53" s="7" t="str">
        <f>'Catalogo Maestro'!F53</f>
        <v>Registro de ejecuciones y alertas básicas</v>
      </c>
      <c r="E53" s="7" t="str">
        <f>'Catalogo Maestro'!G53</f>
        <v>Base obligatorio</v>
      </c>
      <c r="F53" s="16">
        <f>'Catalogo Maestro'!J53</f>
        <v>1</v>
      </c>
      <c r="G53" s="16">
        <f>'Catalogo Maestro'!K53</f>
        <v>0.7</v>
      </c>
      <c r="H53" s="7" t="str">
        <f>'Catalogo Maestro'!L53</f>
        <v>Incluye: fecha, estado, resultado, error, identificador y alerta básica por canal acordado cuando corresponda.</v>
      </c>
      <c r="I53" s="12" t="str">
        <f>'Catalogo Maestro'!M53</f>
        <v>No incluye plataforma completa de observabilidad.</v>
      </c>
    </row>
    <row r="54" spans="1:9" ht="24">
      <c r="A54" s="11" t="str">
        <f>'Catalogo Maestro'!E54</f>
        <v>INT-013</v>
      </c>
      <c r="B54" s="7" t="str">
        <f>'Catalogo Maestro'!C54</f>
        <v>Integración y automatización de procesos</v>
      </c>
      <c r="C54" s="7" t="str">
        <f>'Catalogo Maestro'!D54</f>
        <v>Calidad</v>
      </c>
      <c r="D54" s="7" t="str">
        <f>'Catalogo Maestro'!F54</f>
        <v>QA de integración, datos, límites y seguridad</v>
      </c>
      <c r="E54" s="7" t="str">
        <f>'Catalogo Maestro'!G54</f>
        <v>Base obligatorio</v>
      </c>
      <c r="F54" s="16">
        <f>'Catalogo Maestro'!J54</f>
        <v>2</v>
      </c>
      <c r="G54" s="16">
        <f>'Catalogo Maestro'!K54</f>
        <v>1.4</v>
      </c>
      <c r="H54" s="7" t="str">
        <f>'Catalogo Maestro'!L54</f>
        <v>Incluye: casos de éxito/error/duplicado/dato incompleto; volumen razonable; permisos; exposición de datos y mínimo privilegio.</v>
      </c>
      <c r="I54" s="12" t="str">
        <f>'Catalogo Maestro'!M54</f>
        <v>No incluye pruebas de estrés empresariales ni pentesting formal.</v>
      </c>
    </row>
    <row r="55" spans="1:9" ht="24">
      <c r="A55" s="13" t="str">
        <f>'Catalogo Maestro'!E55</f>
        <v>INT-016</v>
      </c>
      <c r="B55" s="14" t="str">
        <f>'Catalogo Maestro'!C55</f>
        <v>Integración y automatización de procesos</v>
      </c>
      <c r="C55" s="14" t="str">
        <f>'Catalogo Maestro'!D55</f>
        <v>Despliegue</v>
      </c>
      <c r="D55" s="14" t="str">
        <f>'Catalogo Maestro'!F55</f>
        <v>Producción, documentación y runbook</v>
      </c>
      <c r="E55" s="14" t="str">
        <f>'Catalogo Maestro'!G55</f>
        <v>Base obligatorio</v>
      </c>
      <c r="F55" s="22">
        <f>'Catalogo Maestro'!J55</f>
        <v>1.5</v>
      </c>
      <c r="G55" s="22">
        <f>'Catalogo Maestro'!K55</f>
        <v>1.0499999999999998</v>
      </c>
      <c r="H55" s="14" t="str">
        <f>'Catalogo Maestro'!L55</f>
        <v>Incluye: variables/secretos de producción, activación, validación, procedimiento operativo, reintentos y contactos.</v>
      </c>
      <c r="I55" s="15" t="str">
        <f>'Catalogo Maestro'!M55</f>
        <v>No incluye soporte mensual posterior.</v>
      </c>
    </row>
  </sheetData>
  <mergeCells count="2">
    <mergeCell ref="A1:I1"/>
    <mergeCell ref="A3:I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60"/>
  <sheetViews>
    <sheetView workbookViewId="0"/>
  </sheetViews>
  <sheetFormatPr baseColWidth="10" defaultColWidth="9" defaultRowHeight="14.25"/>
  <cols>
    <col min="1" max="1" width="14" customWidth="1"/>
    <col min="2" max="2" width="42" customWidth="1"/>
    <col min="3" max="3" width="18" customWidth="1"/>
    <col min="4" max="4" width="48" customWidth="1"/>
    <col min="5" max="5" width="18" customWidth="1"/>
    <col min="6" max="7" width="16" customWidth="1"/>
    <col min="8" max="8" width="62" customWidth="1"/>
    <col min="9" max="9" width="52" customWidth="1"/>
  </cols>
  <sheetData>
    <row r="1" spans="1:9" ht="33.950000000000003" customHeight="1">
      <c r="A1" s="36" t="s">
        <v>1144</v>
      </c>
      <c r="B1" s="36"/>
      <c r="C1" s="36"/>
      <c r="D1" s="36"/>
      <c r="E1" s="36"/>
      <c r="F1" s="36"/>
      <c r="G1" s="36"/>
      <c r="H1" s="36"/>
      <c r="I1" s="36"/>
    </row>
    <row r="3" spans="1:9" ht="33.950000000000003" customHeight="1">
      <c r="A3" s="37" t="s">
        <v>1142</v>
      </c>
      <c r="B3" s="37"/>
      <c r="C3" s="37"/>
      <c r="D3" s="37"/>
      <c r="E3" s="37"/>
      <c r="F3" s="37"/>
      <c r="G3" s="37"/>
      <c r="H3" s="37"/>
      <c r="I3" s="37"/>
    </row>
    <row r="5" spans="1:9" ht="27.95" customHeight="1">
      <c r="A5" s="6" t="s">
        <v>95</v>
      </c>
      <c r="B5" s="6" t="s">
        <v>499</v>
      </c>
      <c r="C5" s="6" t="s">
        <v>149</v>
      </c>
      <c r="D5" s="6" t="s">
        <v>151</v>
      </c>
      <c r="E5" s="6" t="s">
        <v>152</v>
      </c>
      <c r="F5" s="6" t="s">
        <v>1143</v>
      </c>
      <c r="G5" s="6" t="s">
        <v>99</v>
      </c>
      <c r="H5" s="6" t="s">
        <v>156</v>
      </c>
      <c r="I5" s="6" t="s">
        <v>157</v>
      </c>
    </row>
    <row r="6" spans="1:9">
      <c r="A6" s="8" t="str">
        <f>'Catalogo Maestro'!E56</f>
        <v>MNT1-001</v>
      </c>
      <c r="B6" s="9" t="str">
        <f>'Catalogo Maestro'!C56</f>
        <v>Corrección de errores y estabilización</v>
      </c>
      <c r="C6" s="9" t="str">
        <f>'Catalogo Maestro'!D56</f>
        <v>Recepción</v>
      </c>
      <c r="D6" s="9" t="str">
        <f>'Catalogo Maestro'!F56</f>
        <v>Registro del incidente y evidencia</v>
      </c>
      <c r="E6" s="9" t="str">
        <f>'Catalogo Maestro'!G56</f>
        <v>Base obligatorio</v>
      </c>
      <c r="F6" s="21">
        <f>'Catalogo Maestro'!J56</f>
        <v>0.5</v>
      </c>
      <c r="G6" s="21">
        <f>'Catalogo Maestro'!K56</f>
        <v>0.35</v>
      </c>
      <c r="H6" s="9" t="str">
        <f>'Catalogo Maestro'!L56</f>
        <v>Descripción, pasos, evidencia y entorno</v>
      </c>
      <c r="I6" s="10">
        <f>'Catalogo Maestro'!M56</f>
        <v>0</v>
      </c>
    </row>
    <row r="7" spans="1:9">
      <c r="A7" s="11" t="str">
        <f>'Catalogo Maestro'!E57</f>
        <v>MNT1-002</v>
      </c>
      <c r="B7" s="7" t="str">
        <f>'Catalogo Maestro'!C57</f>
        <v>Corrección de errores y estabilización</v>
      </c>
      <c r="C7" s="7" t="str">
        <f>'Catalogo Maestro'!D57</f>
        <v>Triage</v>
      </c>
      <c r="D7" s="7" t="str">
        <f>'Catalogo Maestro'!F57</f>
        <v>Clasificación de severidad e impacto</v>
      </c>
      <c r="E7" s="7" t="str">
        <f>'Catalogo Maestro'!G57</f>
        <v>Base obligatorio</v>
      </c>
      <c r="F7" s="16">
        <f>'Catalogo Maestro'!J57</f>
        <v>0.5</v>
      </c>
      <c r="G7" s="16">
        <f>'Catalogo Maestro'!K57</f>
        <v>0.35</v>
      </c>
      <c r="H7" s="7" t="str">
        <f>'Catalogo Maestro'!L57</f>
        <v>Impacto, urgencia, alcance y usuarios afectados</v>
      </c>
      <c r="I7" s="12">
        <f>'Catalogo Maestro'!M57</f>
        <v>0</v>
      </c>
    </row>
    <row r="8" spans="1:9">
      <c r="A8" s="11" t="str">
        <f>'Catalogo Maestro'!E58</f>
        <v>MNT1-003</v>
      </c>
      <c r="B8" s="7" t="str">
        <f>'Catalogo Maestro'!C58</f>
        <v>Corrección de errores y estabilización</v>
      </c>
      <c r="C8" s="7" t="str">
        <f>'Catalogo Maestro'!D58</f>
        <v>Diagnóstico</v>
      </c>
      <c r="D8" s="7" t="str">
        <f>'Catalogo Maestro'!F58</f>
        <v>Reproducción controlada del error</v>
      </c>
      <c r="E8" s="7" t="str">
        <f>'Catalogo Maestro'!G58</f>
        <v>Base obligatorio</v>
      </c>
      <c r="F8" s="16">
        <f>'Catalogo Maestro'!J58</f>
        <v>1.5</v>
      </c>
      <c r="G8" s="16">
        <f>'Catalogo Maestro'!K58</f>
        <v>1.0499999999999998</v>
      </c>
      <c r="H8" s="7" t="str">
        <f>'Catalogo Maestro'!L58</f>
        <v>Pasos, datos y condiciones de reproducción</v>
      </c>
      <c r="I8" s="12">
        <f>'Catalogo Maestro'!M58</f>
        <v>0</v>
      </c>
    </row>
    <row r="9" spans="1:9">
      <c r="A9" s="11" t="str">
        <f>'Catalogo Maestro'!E59</f>
        <v>MNT1-004</v>
      </c>
      <c r="B9" s="7" t="str">
        <f>'Catalogo Maestro'!C59</f>
        <v>Corrección de errores y estabilización</v>
      </c>
      <c r="C9" s="7" t="str">
        <f>'Catalogo Maestro'!D59</f>
        <v>Diagnóstico</v>
      </c>
      <c r="D9" s="7" t="str">
        <f>'Catalogo Maestro'!F59</f>
        <v>Análisis de logs, datos y código relacionado</v>
      </c>
      <c r="E9" s="7" t="str">
        <f>'Catalogo Maestro'!G59</f>
        <v>Base obligatorio</v>
      </c>
      <c r="F9" s="16">
        <f>'Catalogo Maestro'!J59</f>
        <v>2</v>
      </c>
      <c r="G9" s="16">
        <f>'Catalogo Maestro'!K59</f>
        <v>1.4</v>
      </c>
      <c r="H9" s="7" t="str">
        <f>'Catalogo Maestro'!L59</f>
        <v>Evidencia técnica y componentes involucrados</v>
      </c>
      <c r="I9" s="12">
        <f>'Catalogo Maestro'!M59</f>
        <v>0</v>
      </c>
    </row>
    <row r="10" spans="1:9">
      <c r="A10" s="11" t="str">
        <f>'Catalogo Maestro'!E60</f>
        <v>MNT1-005</v>
      </c>
      <c r="B10" s="7" t="str">
        <f>'Catalogo Maestro'!C60</f>
        <v>Corrección de errores y estabilización</v>
      </c>
      <c r="C10" s="7" t="str">
        <f>'Catalogo Maestro'!D60</f>
        <v>Diagnóstico</v>
      </c>
      <c r="D10" s="7" t="str">
        <f>'Catalogo Maestro'!F60</f>
        <v>Análisis de causa raíz</v>
      </c>
      <c r="E10" s="7" t="str">
        <f>'Catalogo Maestro'!G60</f>
        <v>Base obligatorio</v>
      </c>
      <c r="F10" s="16">
        <f>'Catalogo Maestro'!J60</f>
        <v>1.5</v>
      </c>
      <c r="G10" s="16">
        <f>'Catalogo Maestro'!K60</f>
        <v>1.0499999999999998</v>
      </c>
      <c r="H10" s="7" t="str">
        <f>'Catalogo Maestro'!L60</f>
        <v>Origen y condiciones que provocan el fallo</v>
      </c>
      <c r="I10" s="12">
        <f>'Catalogo Maestro'!M60</f>
        <v>0</v>
      </c>
    </row>
    <row r="11" spans="1:9">
      <c r="A11" s="11" t="str">
        <f>'Catalogo Maestro'!E61</f>
        <v>MNT1-006</v>
      </c>
      <c r="B11" s="7" t="str">
        <f>'Catalogo Maestro'!C61</f>
        <v>Corrección de errores y estabilización</v>
      </c>
      <c r="C11" s="7" t="str">
        <f>'Catalogo Maestro'!D61</f>
        <v>Planificación</v>
      </c>
      <c r="D11" s="7" t="str">
        <f>'Catalogo Maestro'!F61</f>
        <v>Definición de corrección y plan de reversa</v>
      </c>
      <c r="E11" s="7" t="str">
        <f>'Catalogo Maestro'!G61</f>
        <v>Base obligatorio</v>
      </c>
      <c r="F11" s="16">
        <f>'Catalogo Maestro'!J61</f>
        <v>1</v>
      </c>
      <c r="G11" s="16">
        <f>'Catalogo Maestro'!K61</f>
        <v>0.7</v>
      </c>
      <c r="H11" s="7" t="str">
        <f>'Catalogo Maestro'!L61</f>
        <v>Corrección, riesgo, pruebas y reversa</v>
      </c>
      <c r="I11" s="12">
        <f>'Catalogo Maestro'!M61</f>
        <v>0</v>
      </c>
    </row>
    <row r="12" spans="1:9">
      <c r="A12" s="11" t="str">
        <f>'Catalogo Maestro'!E62</f>
        <v>MNT1-007</v>
      </c>
      <c r="B12" s="7" t="str">
        <f>'Catalogo Maestro'!C62</f>
        <v>Corrección de errores y estabilización</v>
      </c>
      <c r="C12" s="7" t="str">
        <f>'Catalogo Maestro'!D62</f>
        <v>Corrección</v>
      </c>
      <c r="D12" s="7" t="str">
        <f>'Catalogo Maestro'!F62</f>
        <v>Corrección de baja complejidad</v>
      </c>
      <c r="E12" s="7" t="str">
        <f>'Catalogo Maestro'!G62</f>
        <v>Base incluido</v>
      </c>
      <c r="F12" s="16">
        <f>'Catalogo Maestro'!J62</f>
        <v>2</v>
      </c>
      <c r="G12" s="16">
        <f>'Catalogo Maestro'!K62</f>
        <v>1.4</v>
      </c>
      <c r="H12" s="7" t="str">
        <f>'Catalogo Maestro'!L62</f>
        <v>Ajuste localizado sin cambio de arquitectura</v>
      </c>
      <c r="I12" s="12" t="str">
        <f>'Catalogo Maestro'!M62</f>
        <v>Mutuamente excluyente con MNT1-008 para el mismo incidente.</v>
      </c>
    </row>
    <row r="13" spans="1:9">
      <c r="A13" s="11" t="str">
        <f>'Catalogo Maestro'!E63</f>
        <v>MNT1-008</v>
      </c>
      <c r="B13" s="7" t="str">
        <f>'Catalogo Maestro'!C63</f>
        <v>Corrección de errores y estabilización</v>
      </c>
      <c r="C13" s="7" t="str">
        <f>'Catalogo Maestro'!D63</f>
        <v>Corrección</v>
      </c>
      <c r="D13" s="7" t="str">
        <f>'Catalogo Maestro'!F63</f>
        <v>Corrección de complejidad media</v>
      </c>
      <c r="E13" s="7" t="str">
        <f>'Catalogo Maestro'!G63</f>
        <v>Opcional</v>
      </c>
      <c r="F13" s="16">
        <f>'Catalogo Maestro'!J63</f>
        <v>4</v>
      </c>
      <c r="G13" s="16">
        <f>'Catalogo Maestro'!K63</f>
        <v>2.8</v>
      </c>
      <c r="H13" s="7" t="str">
        <f>'Catalogo Maestro'!L63</f>
        <v>Cambios en varios componentes o reglas</v>
      </c>
      <c r="I13" s="12" t="str">
        <f>'Catalogo Maestro'!M63</f>
        <v>Mutuamente excluyente con MNT1-007 para el mismo incidente.</v>
      </c>
    </row>
    <row r="14" spans="1:9">
      <c r="A14" s="11" t="str">
        <f>'Catalogo Maestro'!E64</f>
        <v>MNT1-009</v>
      </c>
      <c r="B14" s="7" t="str">
        <f>'Catalogo Maestro'!C64</f>
        <v>Corrección de errores y estabilización</v>
      </c>
      <c r="C14" s="7" t="str">
        <f>'Catalogo Maestro'!D64</f>
        <v>Datos</v>
      </c>
      <c r="D14" s="7" t="str">
        <f>'Catalogo Maestro'!F64</f>
        <v>Corrección o regularización de datos</v>
      </c>
      <c r="E14" s="7" t="str">
        <f>'Catalogo Maestro'!G64</f>
        <v>Opcional</v>
      </c>
      <c r="F14" s="16">
        <f>'Catalogo Maestro'!J64</f>
        <v>2.5</v>
      </c>
      <c r="G14" s="16">
        <f>'Catalogo Maestro'!K64</f>
        <v>1.75</v>
      </c>
      <c r="H14" s="7" t="str">
        <f>'Catalogo Maestro'!L64</f>
        <v>Script, respaldo y validación</v>
      </c>
      <c r="I14" s="12" t="str">
        <f>'Catalogo Maestro'!M64</f>
        <v>Recuperación forense</v>
      </c>
    </row>
    <row r="15" spans="1:9">
      <c r="A15" s="11" t="str">
        <f>'Catalogo Maestro'!E65</f>
        <v>MNT1-010</v>
      </c>
      <c r="B15" s="7" t="str">
        <f>'Catalogo Maestro'!C65</f>
        <v>Corrección de errores y estabilización</v>
      </c>
      <c r="C15" s="7" t="str">
        <f>'Catalogo Maestro'!D65</f>
        <v>Calidad</v>
      </c>
      <c r="D15" s="7" t="str">
        <f>'Catalogo Maestro'!F65</f>
        <v>Prueba del caso corregido</v>
      </c>
      <c r="E15" s="7" t="str">
        <f>'Catalogo Maestro'!G65</f>
        <v>Base obligatorio</v>
      </c>
      <c r="F15" s="16">
        <f>'Catalogo Maestro'!J65</f>
        <v>1</v>
      </c>
      <c r="G15" s="16">
        <f>'Catalogo Maestro'!K65</f>
        <v>0.7</v>
      </c>
      <c r="H15" s="7" t="str">
        <f>'Catalogo Maestro'!L65</f>
        <v>Prueba directa del defecto</v>
      </c>
      <c r="I15" s="12">
        <f>'Catalogo Maestro'!M65</f>
        <v>0</v>
      </c>
    </row>
    <row r="16" spans="1:9">
      <c r="A16" s="11" t="str">
        <f>'Catalogo Maestro'!E66</f>
        <v>MNT1-011</v>
      </c>
      <c r="B16" s="7" t="str">
        <f>'Catalogo Maestro'!C66</f>
        <v>Corrección de errores y estabilización</v>
      </c>
      <c r="C16" s="7" t="str">
        <f>'Catalogo Maestro'!D66</f>
        <v>Calidad</v>
      </c>
      <c r="D16" s="7" t="str">
        <f>'Catalogo Maestro'!F66</f>
        <v>Pruebas de regresión relacionadas</v>
      </c>
      <c r="E16" s="7" t="str">
        <f>'Catalogo Maestro'!G66</f>
        <v>Base obligatorio</v>
      </c>
      <c r="F16" s="16">
        <f>'Catalogo Maestro'!J66</f>
        <v>0.75</v>
      </c>
      <c r="G16" s="16">
        <f>'Catalogo Maestro'!K66</f>
        <v>0.52499999999999991</v>
      </c>
      <c r="H16" s="7" t="str">
        <f>'Catalogo Maestro'!L66</f>
        <v>Flujos cercanos y funciones relacionadas</v>
      </c>
      <c r="I16" s="12">
        <f>'Catalogo Maestro'!M66</f>
        <v>0</v>
      </c>
    </row>
    <row r="17" spans="1:9">
      <c r="A17" s="11" t="str">
        <f>'Catalogo Maestro'!E67</f>
        <v>MNT1-012</v>
      </c>
      <c r="B17" s="7" t="str">
        <f>'Catalogo Maestro'!C67</f>
        <v>Corrección de errores y estabilización</v>
      </c>
      <c r="C17" s="7" t="str">
        <f>'Catalogo Maestro'!D67</f>
        <v>Despliegue</v>
      </c>
      <c r="D17" s="7" t="str">
        <f>'Catalogo Maestro'!F67</f>
        <v>Preparación y despliegue de corrección</v>
      </c>
      <c r="E17" s="7" t="str">
        <f>'Catalogo Maestro'!G67</f>
        <v>Base obligatorio</v>
      </c>
      <c r="F17" s="16">
        <f>'Catalogo Maestro'!J67</f>
        <v>1.5</v>
      </c>
      <c r="G17" s="16">
        <f>'Catalogo Maestro'!K67</f>
        <v>1.0499999999999998</v>
      </c>
      <c r="H17" s="7" t="str">
        <f>'Catalogo Maestro'!L67</f>
        <v>Build, respaldo, despliegue y validación</v>
      </c>
      <c r="I17" s="12">
        <f>'Catalogo Maestro'!M67</f>
        <v>0</v>
      </c>
    </row>
    <row r="18" spans="1:9">
      <c r="A18" s="11" t="str">
        <f>'Catalogo Maestro'!E68</f>
        <v>MNT1-013</v>
      </c>
      <c r="B18" s="7" t="str">
        <f>'Catalogo Maestro'!C68</f>
        <v>Corrección de errores y estabilización</v>
      </c>
      <c r="C18" s="7" t="str">
        <f>'Catalogo Maestro'!D68</f>
        <v>Seguimiento</v>
      </c>
      <c r="D18" s="7" t="str">
        <f>'Catalogo Maestro'!F68</f>
        <v>Monitoreo posterior al cambio</v>
      </c>
      <c r="E18" s="7" t="str">
        <f>'Catalogo Maestro'!G68</f>
        <v>Base incluido</v>
      </c>
      <c r="F18" s="16">
        <f>'Catalogo Maestro'!J68</f>
        <v>1</v>
      </c>
      <c r="G18" s="16">
        <f>'Catalogo Maestro'!K68</f>
        <v>0.7</v>
      </c>
      <c r="H18" s="7" t="str">
        <f>'Catalogo Maestro'!L68</f>
        <v>Revisión de logs y comportamiento</v>
      </c>
      <c r="I18" s="12">
        <f>'Catalogo Maestro'!M68</f>
        <v>0</v>
      </c>
    </row>
    <row r="19" spans="1:9">
      <c r="A19" s="11" t="str">
        <f>'Catalogo Maestro'!E69</f>
        <v>MNT1-014</v>
      </c>
      <c r="B19" s="7" t="str">
        <f>'Catalogo Maestro'!C69</f>
        <v>Corrección de errores y estabilización</v>
      </c>
      <c r="C19" s="7" t="str">
        <f>'Catalogo Maestro'!D69</f>
        <v>Cierre</v>
      </c>
      <c r="D19" s="7" t="str">
        <f>'Catalogo Maestro'!F69</f>
        <v>Documentación de causa y solución</v>
      </c>
      <c r="E19" s="7" t="str">
        <f>'Catalogo Maestro'!G69</f>
        <v>Base obligatorio</v>
      </c>
      <c r="F19" s="16">
        <f>'Catalogo Maestro'!J69</f>
        <v>0.75</v>
      </c>
      <c r="G19" s="16">
        <f>'Catalogo Maestro'!K69</f>
        <v>0.52499999999999991</v>
      </c>
      <c r="H19" s="7" t="str">
        <f>'Catalogo Maestro'!L69</f>
        <v>Causa, solución, pruebas y recomendaciones</v>
      </c>
      <c r="I19" s="12">
        <f>'Catalogo Maestro'!M69</f>
        <v>0</v>
      </c>
    </row>
    <row r="20" spans="1:9">
      <c r="A20" s="11" t="str">
        <f>'Catalogo Maestro'!E70</f>
        <v>MNT2-001</v>
      </c>
      <c r="B20" s="7" t="str">
        <f>'Catalogo Maestro'!C70</f>
        <v>Incorporación de nueva funcionalidad</v>
      </c>
      <c r="C20" s="7" t="str">
        <f>'Catalogo Maestro'!D70</f>
        <v>Descubrimiento</v>
      </c>
      <c r="D20" s="7" t="str">
        <f>'Catalogo Maestro'!F70</f>
        <v>Levantamiento de necesidad y objetivo</v>
      </c>
      <c r="E20" s="7" t="str">
        <f>'Catalogo Maestro'!G70</f>
        <v>Base obligatorio</v>
      </c>
      <c r="F20" s="16">
        <f>'Catalogo Maestro'!J70</f>
        <v>1.5</v>
      </c>
      <c r="G20" s="16">
        <f>'Catalogo Maestro'!K70</f>
        <v>1.0499999999999998</v>
      </c>
      <c r="H20" s="7" t="str">
        <f>'Catalogo Maestro'!L70</f>
        <v>Usuario, problema, resultado y contexto</v>
      </c>
      <c r="I20" s="12">
        <f>'Catalogo Maestro'!M70</f>
        <v>0</v>
      </c>
    </row>
    <row r="21" spans="1:9">
      <c r="A21" s="11" t="str">
        <f>'Catalogo Maestro'!E71</f>
        <v>MNT2-002</v>
      </c>
      <c r="B21" s="7" t="str">
        <f>'Catalogo Maestro'!C71</f>
        <v>Incorporación de nueva funcionalidad</v>
      </c>
      <c r="C21" s="7" t="str">
        <f>'Catalogo Maestro'!D71</f>
        <v>Análisis</v>
      </c>
      <c r="D21" s="7" t="str">
        <f>'Catalogo Maestro'!F71</f>
        <v>Análisis de impacto en sistema existente</v>
      </c>
      <c r="E21" s="7" t="str">
        <f>'Catalogo Maestro'!G71</f>
        <v>Base obligatorio</v>
      </c>
      <c r="F21" s="16">
        <f>'Catalogo Maestro'!J71</f>
        <v>2.5</v>
      </c>
      <c r="G21" s="16">
        <f>'Catalogo Maestro'!K71</f>
        <v>1.75</v>
      </c>
      <c r="H21" s="7" t="str">
        <f>'Catalogo Maestro'!L71</f>
        <v>Código, datos, roles, integraciones y riesgos</v>
      </c>
      <c r="I21" s="12">
        <f>'Catalogo Maestro'!M71</f>
        <v>0</v>
      </c>
    </row>
    <row r="22" spans="1:9">
      <c r="A22" s="11" t="str">
        <f>'Catalogo Maestro'!E72</f>
        <v>MNT2-003</v>
      </c>
      <c r="B22" s="7" t="str">
        <f>'Catalogo Maestro'!C72</f>
        <v>Incorporación de nueva funcionalidad</v>
      </c>
      <c r="C22" s="7" t="str">
        <f>'Catalogo Maestro'!D72</f>
        <v>Alcance</v>
      </c>
      <c r="D22" s="7" t="str">
        <f>'Catalogo Maestro'!F72</f>
        <v>Historia de usuario y criterios de aceptación</v>
      </c>
      <c r="E22" s="7" t="str">
        <f>'Catalogo Maestro'!G72</f>
        <v>Base obligatorio</v>
      </c>
      <c r="F22" s="16">
        <f>'Catalogo Maestro'!J72</f>
        <v>1.5</v>
      </c>
      <c r="G22" s="16">
        <f>'Catalogo Maestro'!K72</f>
        <v>1.0499999999999998</v>
      </c>
      <c r="H22" s="7" t="str">
        <f>'Catalogo Maestro'!L72</f>
        <v>Casos, reglas y definición de terminado</v>
      </c>
      <c r="I22" s="12">
        <f>'Catalogo Maestro'!M72</f>
        <v>0</v>
      </c>
    </row>
    <row r="23" spans="1:9">
      <c r="A23" s="11" t="str">
        <f>'Catalogo Maestro'!E73</f>
        <v>MNT2-004</v>
      </c>
      <c r="B23" s="7" t="str">
        <f>'Catalogo Maestro'!C73</f>
        <v>Incorporación de nueva funcionalidad</v>
      </c>
      <c r="C23" s="7" t="str">
        <f>'Catalogo Maestro'!D73</f>
        <v>Diseño</v>
      </c>
      <c r="D23" s="7" t="str">
        <f>'Catalogo Maestro'!F73</f>
        <v>Diseño de flujo y estados</v>
      </c>
      <c r="E23" s="7" t="str">
        <f>'Catalogo Maestro'!G73</f>
        <v>Base obligatorio</v>
      </c>
      <c r="F23" s="16">
        <f>'Catalogo Maestro'!J73</f>
        <v>2</v>
      </c>
      <c r="G23" s="16">
        <f>'Catalogo Maestro'!K73</f>
        <v>1.4</v>
      </c>
      <c r="H23" s="7" t="str">
        <f>'Catalogo Maestro'!L73</f>
        <v>Interacciones, transiciones y excepciones</v>
      </c>
      <c r="I23" s="12">
        <f>'Catalogo Maestro'!M73</f>
        <v>0</v>
      </c>
    </row>
    <row r="24" spans="1:9">
      <c r="A24" s="11" t="str">
        <f>'Catalogo Maestro'!E74</f>
        <v>MNT2-005</v>
      </c>
      <c r="B24" s="7" t="str">
        <f>'Catalogo Maestro'!C74</f>
        <v>Incorporación de nueva funcionalidad</v>
      </c>
      <c r="C24" s="7" t="str">
        <f>'Catalogo Maestro'!D74</f>
        <v>Diseño</v>
      </c>
      <c r="D24" s="7" t="str">
        <f>'Catalogo Maestro'!F74</f>
        <v>Diseño de interfaz o wireframe</v>
      </c>
      <c r="E24" s="7" t="str">
        <f>'Catalogo Maestro'!G74</f>
        <v>Base incluido</v>
      </c>
      <c r="F24" s="16">
        <f>'Catalogo Maestro'!J74</f>
        <v>1</v>
      </c>
      <c r="G24" s="16">
        <f>'Catalogo Maestro'!K74</f>
        <v>0.7</v>
      </c>
      <c r="H24" s="7" t="str">
        <f>'Catalogo Maestro'!L74</f>
        <v>Componentes, campos y acciones</v>
      </c>
      <c r="I24" s="12">
        <f>'Catalogo Maestro'!M74</f>
        <v>0</v>
      </c>
    </row>
    <row r="25" spans="1:9">
      <c r="A25" s="11" t="str">
        <f>'Catalogo Maestro'!E75</f>
        <v>MNT2-006</v>
      </c>
      <c r="B25" s="7" t="str">
        <f>'Catalogo Maestro'!C75</f>
        <v>Incorporación de nueva funcionalidad</v>
      </c>
      <c r="C25" s="7" t="str">
        <f>'Catalogo Maestro'!D75</f>
        <v>Datos</v>
      </c>
      <c r="D25" s="7" t="str">
        <f>'Catalogo Maestro'!F75</f>
        <v>Cambio de modelo de datos</v>
      </c>
      <c r="E25" s="7" t="str">
        <f>'Catalogo Maestro'!G75</f>
        <v>Opcional</v>
      </c>
      <c r="F25" s="16">
        <f>'Catalogo Maestro'!J75</f>
        <v>2.5</v>
      </c>
      <c r="G25" s="16">
        <f>'Catalogo Maestro'!K75</f>
        <v>1.75</v>
      </c>
      <c r="H25" s="7" t="str">
        <f>'Catalogo Maestro'!L75</f>
        <v>Tabla, columna, relación y restricciones</v>
      </c>
      <c r="I25" s="12">
        <f>'Catalogo Maestro'!M75</f>
        <v>0</v>
      </c>
    </row>
    <row r="26" spans="1:9">
      <c r="A26" s="11" t="str">
        <f>'Catalogo Maestro'!E76</f>
        <v>MNT2-007</v>
      </c>
      <c r="B26" s="7" t="str">
        <f>'Catalogo Maestro'!C76</f>
        <v>Incorporación de nueva funcionalidad</v>
      </c>
      <c r="C26" s="7" t="str">
        <f>'Catalogo Maestro'!D76</f>
        <v>Backend</v>
      </c>
      <c r="D26" s="7" t="str">
        <f>'Catalogo Maestro'!F76</f>
        <v>Implementación de regla de negocio</v>
      </c>
      <c r="E26" s="7" t="str">
        <f>'Catalogo Maestro'!G76</f>
        <v>Base incluido</v>
      </c>
      <c r="F26" s="16">
        <f>'Catalogo Maestro'!J76</f>
        <v>2</v>
      </c>
      <c r="G26" s="16">
        <f>'Catalogo Maestro'!K76</f>
        <v>1.4</v>
      </c>
      <c r="H26" s="7" t="str">
        <f>'Catalogo Maestro'!L76</f>
        <v>Validaciones y comportamiento esperado</v>
      </c>
      <c r="I26" s="12">
        <f>'Catalogo Maestro'!M76</f>
        <v>0</v>
      </c>
    </row>
    <row r="27" spans="1:9">
      <c r="A27" s="11" t="str">
        <f>'Catalogo Maestro'!E77</f>
        <v>MNT2-008</v>
      </c>
      <c r="B27" s="7" t="str">
        <f>'Catalogo Maestro'!C77</f>
        <v>Incorporación de nueva funcionalidad</v>
      </c>
      <c r="C27" s="7" t="str">
        <f>'Catalogo Maestro'!D77</f>
        <v>Backend</v>
      </c>
      <c r="D27" s="7" t="str">
        <f>'Catalogo Maestro'!F77</f>
        <v>Servicio o endpoint asociado</v>
      </c>
      <c r="E27" s="7" t="str">
        <f>'Catalogo Maestro'!G77</f>
        <v>Base incluido</v>
      </c>
      <c r="F27" s="16">
        <f>'Catalogo Maestro'!J77</f>
        <v>3</v>
      </c>
      <c r="G27" s="16">
        <f>'Catalogo Maestro'!K77</f>
        <v>2.0999999999999996</v>
      </c>
      <c r="H27" s="7" t="str">
        <f>'Catalogo Maestro'!L77</f>
        <v>Consulta, persistencia y errores</v>
      </c>
      <c r="I27" s="12">
        <f>'Catalogo Maestro'!M77</f>
        <v>0</v>
      </c>
    </row>
    <row r="28" spans="1:9">
      <c r="A28" s="11" t="str">
        <f>'Catalogo Maestro'!E78</f>
        <v>MNT2-009</v>
      </c>
      <c r="B28" s="7" t="str">
        <f>'Catalogo Maestro'!C78</f>
        <v>Incorporación de nueva funcionalidad</v>
      </c>
      <c r="C28" s="7" t="str">
        <f>'Catalogo Maestro'!D78</f>
        <v>Frontend</v>
      </c>
      <c r="D28" s="7" t="str">
        <f>'Catalogo Maestro'!F78</f>
        <v>Pantalla o componente de funcionalidad</v>
      </c>
      <c r="E28" s="7" t="str">
        <f>'Catalogo Maestro'!G78</f>
        <v>Base incluido</v>
      </c>
      <c r="F28" s="16">
        <f>'Catalogo Maestro'!J78</f>
        <v>3</v>
      </c>
      <c r="G28" s="16">
        <f>'Catalogo Maestro'!K78</f>
        <v>2.0999999999999996</v>
      </c>
      <c r="H28" s="7" t="str">
        <f>'Catalogo Maestro'!L78</f>
        <v>Estados, validaciones y responsive</v>
      </c>
      <c r="I28" s="12">
        <f>'Catalogo Maestro'!M78</f>
        <v>0</v>
      </c>
    </row>
    <row r="29" spans="1:9">
      <c r="A29" s="11" t="str">
        <f>'Catalogo Maestro'!E79</f>
        <v>MNT2-010</v>
      </c>
      <c r="B29" s="7" t="str">
        <f>'Catalogo Maestro'!C79</f>
        <v>Incorporación de nueva funcionalidad</v>
      </c>
      <c r="C29" s="7" t="str">
        <f>'Catalogo Maestro'!D79</f>
        <v>Seguridad</v>
      </c>
      <c r="D29" s="7" t="str">
        <f>'Catalogo Maestro'!F79</f>
        <v>Ajuste de permisos y acceso</v>
      </c>
      <c r="E29" s="7" t="str">
        <f>'Catalogo Maestro'!G79</f>
        <v>Base incluido</v>
      </c>
      <c r="F29" s="16">
        <f>'Catalogo Maestro'!J79</f>
        <v>1</v>
      </c>
      <c r="G29" s="16">
        <f>'Catalogo Maestro'!K79</f>
        <v>0.7</v>
      </c>
      <c r="H29" s="7" t="str">
        <f>'Catalogo Maestro'!L79</f>
        <v>Visibilidad y acciones por rol</v>
      </c>
      <c r="I29" s="12">
        <f>'Catalogo Maestro'!M79</f>
        <v>0</v>
      </c>
    </row>
    <row r="30" spans="1:9">
      <c r="A30" s="11" t="str">
        <f>'Catalogo Maestro'!E80</f>
        <v>MNT2-011</v>
      </c>
      <c r="B30" s="7" t="str">
        <f>'Catalogo Maestro'!C80</f>
        <v>Incorporación de nueva funcionalidad</v>
      </c>
      <c r="C30" s="7" t="str">
        <f>'Catalogo Maestro'!D80</f>
        <v>Integración</v>
      </c>
      <c r="D30" s="7" t="str">
        <f>'Catalogo Maestro'!F80</f>
        <v>Notificación o exportación asociada</v>
      </c>
      <c r="E30" s="7" t="str">
        <f>'Catalogo Maestro'!G80</f>
        <v>Opcional</v>
      </c>
      <c r="F30" s="16">
        <f>'Catalogo Maestro'!J80</f>
        <v>3</v>
      </c>
      <c r="G30" s="16">
        <f>'Catalogo Maestro'!K80</f>
        <v>2.0999999999999996</v>
      </c>
      <c r="H30" s="7" t="str">
        <f>'Catalogo Maestro'!L80</f>
        <v>Correo, Excel, PDF u otro canal</v>
      </c>
      <c r="I30" s="12">
        <f>'Catalogo Maestro'!M80</f>
        <v>0</v>
      </c>
    </row>
    <row r="31" spans="1:9">
      <c r="A31" s="11" t="str">
        <f>'Catalogo Maestro'!E81</f>
        <v>MNT2-012</v>
      </c>
      <c r="B31" s="7" t="str">
        <f>'Catalogo Maestro'!C81</f>
        <v>Incorporación de nueva funcionalidad</v>
      </c>
      <c r="C31" s="7" t="str">
        <f>'Catalogo Maestro'!D81</f>
        <v>Calidad</v>
      </c>
      <c r="D31" s="7" t="str">
        <f>'Catalogo Maestro'!F81</f>
        <v>Pruebas unitarias y de reglas</v>
      </c>
      <c r="E31" s="7" t="str">
        <f>'Catalogo Maestro'!G81</f>
        <v>Base incluido</v>
      </c>
      <c r="F31" s="16">
        <f>'Catalogo Maestro'!J81</f>
        <v>1</v>
      </c>
      <c r="G31" s="16">
        <f>'Catalogo Maestro'!K81</f>
        <v>0.7</v>
      </c>
      <c r="H31" s="7" t="str">
        <f>'Catalogo Maestro'!L81</f>
        <v>Casos normales, errores y límites</v>
      </c>
      <c r="I31" s="12">
        <f>'Catalogo Maestro'!M81</f>
        <v>0</v>
      </c>
    </row>
    <row r="32" spans="1:9">
      <c r="A32" s="11" t="str">
        <f>'Catalogo Maestro'!E82</f>
        <v>MNT2-013</v>
      </c>
      <c r="B32" s="7" t="str">
        <f>'Catalogo Maestro'!C82</f>
        <v>Incorporación de nueva funcionalidad</v>
      </c>
      <c r="C32" s="7" t="str">
        <f>'Catalogo Maestro'!D82</f>
        <v>Calidad</v>
      </c>
      <c r="D32" s="7" t="str">
        <f>'Catalogo Maestro'!F82</f>
        <v>Pruebas de integración y regresión</v>
      </c>
      <c r="E32" s="7" t="str">
        <f>'Catalogo Maestro'!G82</f>
        <v>Base obligatorio</v>
      </c>
      <c r="F32" s="16">
        <f>'Catalogo Maestro'!J82</f>
        <v>3</v>
      </c>
      <c r="G32" s="16">
        <f>'Catalogo Maestro'!K82</f>
        <v>2.0999999999999996</v>
      </c>
      <c r="H32" s="7" t="str">
        <f>'Catalogo Maestro'!L82</f>
        <v>Flujo nuevo y funciones existentes relacionadas</v>
      </c>
      <c r="I32" s="12">
        <f>'Catalogo Maestro'!M82</f>
        <v>0</v>
      </c>
    </row>
    <row r="33" spans="1:9">
      <c r="A33" s="11" t="str">
        <f>'Catalogo Maestro'!E83</f>
        <v>MNT2-014</v>
      </c>
      <c r="B33" s="7" t="str">
        <f>'Catalogo Maestro'!C83</f>
        <v>Incorporación de nueva funcionalidad</v>
      </c>
      <c r="C33" s="7" t="str">
        <f>'Catalogo Maestro'!D83</f>
        <v>Despliegue</v>
      </c>
      <c r="D33" s="7" t="str">
        <f>'Catalogo Maestro'!F83</f>
        <v>Migración y despliegue controlado</v>
      </c>
      <c r="E33" s="7" t="str">
        <f>'Catalogo Maestro'!G83</f>
        <v>Base obligatorio</v>
      </c>
      <c r="F33" s="16">
        <f>'Catalogo Maestro'!J83</f>
        <v>2</v>
      </c>
      <c r="G33" s="16">
        <f>'Catalogo Maestro'!K83</f>
        <v>1.4</v>
      </c>
      <c r="H33" s="7" t="str">
        <f>'Catalogo Maestro'!L83</f>
        <v>Respaldo, migración, build y validación</v>
      </c>
      <c r="I33" s="12">
        <f>'Catalogo Maestro'!M83</f>
        <v>0</v>
      </c>
    </row>
    <row r="34" spans="1:9">
      <c r="A34" s="11" t="str">
        <f>'Catalogo Maestro'!E84</f>
        <v>MNT2-015</v>
      </c>
      <c r="B34" s="7" t="str">
        <f>'Catalogo Maestro'!C84</f>
        <v>Incorporación de nueva funcionalidad</v>
      </c>
      <c r="C34" s="7" t="str">
        <f>'Catalogo Maestro'!D84</f>
        <v>Cierre</v>
      </c>
      <c r="D34" s="7" t="str">
        <f>'Catalogo Maestro'!F84</f>
        <v>Documentación y capacitación breve</v>
      </c>
      <c r="E34" s="7" t="str">
        <f>'Catalogo Maestro'!G84</f>
        <v>Base incluido</v>
      </c>
      <c r="F34" s="16">
        <f>'Catalogo Maestro'!J84</f>
        <v>1.5</v>
      </c>
      <c r="G34" s="16">
        <f>'Catalogo Maestro'!K84</f>
        <v>1.0499999999999998</v>
      </c>
      <c r="H34" s="7" t="str">
        <f>'Catalogo Maestro'!L84</f>
        <v>Cambios, uso y consideraciones</v>
      </c>
      <c r="I34" s="12">
        <f>'Catalogo Maestro'!M84</f>
        <v>0</v>
      </c>
    </row>
    <row r="35" spans="1:9">
      <c r="A35" s="11" t="str">
        <f>'Catalogo Maestro'!E85</f>
        <v>MNT3-001</v>
      </c>
      <c r="B35" s="7" t="str">
        <f>'Catalogo Maestro'!C85</f>
        <v>Modernización, refactorización y actualización tecnológica</v>
      </c>
      <c r="C35" s="7" t="str">
        <f>'Catalogo Maestro'!D85</f>
        <v>Auditoría</v>
      </c>
      <c r="D35" s="7" t="str">
        <f>'Catalogo Maestro'!F85</f>
        <v>Inventario técnico de componentes y versiones</v>
      </c>
      <c r="E35" s="7" t="str">
        <f>'Catalogo Maestro'!G85</f>
        <v>Base obligatorio</v>
      </c>
      <c r="F35" s="16">
        <f>'Catalogo Maestro'!J85</f>
        <v>3</v>
      </c>
      <c r="G35" s="16">
        <f>'Catalogo Maestro'!K85</f>
        <v>2.0999999999999996</v>
      </c>
      <c r="H35" s="7" t="str">
        <f>'Catalogo Maestro'!L85</f>
        <v>Frameworks, dependencias, servicios y despliegues</v>
      </c>
      <c r="I35" s="12">
        <f>'Catalogo Maestro'!M85</f>
        <v>0</v>
      </c>
    </row>
    <row r="36" spans="1:9">
      <c r="A36" s="11" t="str">
        <f>'Catalogo Maestro'!E86</f>
        <v>MNT3-002</v>
      </c>
      <c r="B36" s="7" t="str">
        <f>'Catalogo Maestro'!C86</f>
        <v>Modernización, refactorización y actualización tecnológica</v>
      </c>
      <c r="C36" s="7" t="str">
        <f>'Catalogo Maestro'!D86</f>
        <v>Auditoría</v>
      </c>
      <c r="D36" s="7" t="str">
        <f>'Catalogo Maestro'!F86</f>
        <v>Análisis de deuda técnica y riesgos</v>
      </c>
      <c r="E36" s="7" t="str">
        <f>'Catalogo Maestro'!G86</f>
        <v>Base obligatorio</v>
      </c>
      <c r="F36" s="16">
        <f>'Catalogo Maestro'!J86</f>
        <v>4</v>
      </c>
      <c r="G36" s="16">
        <f>'Catalogo Maestro'!K86</f>
        <v>2.8</v>
      </c>
      <c r="H36" s="7" t="str">
        <f>'Catalogo Maestro'!L86</f>
        <v>Complejidad, obsolescencia, seguridad y mantenibilidad</v>
      </c>
      <c r="I36" s="12">
        <f>'Catalogo Maestro'!M86</f>
        <v>0</v>
      </c>
    </row>
    <row r="37" spans="1:9">
      <c r="A37" s="11" t="str">
        <f>'Catalogo Maestro'!E87</f>
        <v>MNT3-003</v>
      </c>
      <c r="B37" s="7" t="str">
        <f>'Catalogo Maestro'!C87</f>
        <v>Modernización, refactorización y actualización tecnológica</v>
      </c>
      <c r="C37" s="7" t="str">
        <f>'Catalogo Maestro'!D87</f>
        <v>Planificación</v>
      </c>
      <c r="D37" s="7" t="str">
        <f>'Catalogo Maestro'!F87</f>
        <v>Definición de estrategia de modernización</v>
      </c>
      <c r="E37" s="7" t="str">
        <f>'Catalogo Maestro'!G87</f>
        <v>Base obligatorio</v>
      </c>
      <c r="F37" s="16">
        <f>'Catalogo Maestro'!J87</f>
        <v>3</v>
      </c>
      <c r="G37" s="16">
        <f>'Catalogo Maestro'!K87</f>
        <v>2.0999999999999996</v>
      </c>
      <c r="H37" s="7" t="str">
        <f>'Catalogo Maestro'!L87</f>
        <v>Fases, prioridades, dependencias y reversa</v>
      </c>
      <c r="I37" s="12">
        <f>'Catalogo Maestro'!M87</f>
        <v>0</v>
      </c>
    </row>
    <row r="38" spans="1:9">
      <c r="A38" s="11" t="str">
        <f>'Catalogo Maestro'!E88</f>
        <v>MNT3-004</v>
      </c>
      <c r="B38" s="7" t="str">
        <f>'Catalogo Maestro'!C88</f>
        <v>Modernización, refactorización y actualización tecnológica</v>
      </c>
      <c r="C38" s="7" t="str">
        <f>'Catalogo Maestro'!D88</f>
        <v>Preparación</v>
      </c>
      <c r="D38" s="7" t="str">
        <f>'Catalogo Maestro'!F88</f>
        <v>Creación de línea base de pruebas</v>
      </c>
      <c r="E38" s="7" t="str">
        <f>'Catalogo Maestro'!G88</f>
        <v>Base obligatorio</v>
      </c>
      <c r="F38" s="16">
        <f>'Catalogo Maestro'!J88</f>
        <v>2</v>
      </c>
      <c r="G38" s="16">
        <f>'Catalogo Maestro'!K88</f>
        <v>1.4</v>
      </c>
      <c r="H38" s="7" t="str">
        <f>'Catalogo Maestro'!L88</f>
        <v>Comportamiento actual protegido antes de cambios</v>
      </c>
      <c r="I38" s="12">
        <f>'Catalogo Maestro'!M88</f>
        <v>0</v>
      </c>
    </row>
    <row r="39" spans="1:9" ht="24">
      <c r="A39" s="11" t="str">
        <f>'Catalogo Maestro'!E89</f>
        <v>MNT3-005</v>
      </c>
      <c r="B39" s="7" t="str">
        <f>'Catalogo Maestro'!C89</f>
        <v>Modernización, refactorización y actualización tecnológica</v>
      </c>
      <c r="C39" s="7" t="str">
        <f>'Catalogo Maestro'!D89</f>
        <v>Dependencias</v>
      </c>
      <c r="D39" s="7" t="str">
        <f>'Catalogo Maestro'!F89</f>
        <v>Actualización de dependencia estándar</v>
      </c>
      <c r="E39" s="7" t="str">
        <f>'Catalogo Maestro'!G89</f>
        <v>Base incluido</v>
      </c>
      <c r="F39" s="16">
        <f>'Catalogo Maestro'!J89</f>
        <v>0.75</v>
      </c>
      <c r="G39" s="16">
        <f>'Catalogo Maestro'!K89</f>
        <v>0.52499999999999991</v>
      </c>
      <c r="H39" s="7" t="str">
        <f>'Catalogo Maestro'!L89</f>
        <v>Actualización rutinaria de versión compatible, ajustes menores y verificación básica por dependencia.</v>
      </c>
      <c r="I39" s="12" t="str">
        <f>'Catalogo Maestro'!M89</f>
        <v>La remediación adicional de vulnerabilidades complejas se contabiliza en MNT3-009.</v>
      </c>
    </row>
    <row r="40" spans="1:9">
      <c r="A40" s="11" t="str">
        <f>'Catalogo Maestro'!E90</f>
        <v>MNT3-006</v>
      </c>
      <c r="B40" s="7" t="str">
        <f>'Catalogo Maestro'!C90</f>
        <v>Modernización, refactorización y actualización tecnológica</v>
      </c>
      <c r="C40" s="7" t="str">
        <f>'Catalogo Maestro'!D90</f>
        <v>Código</v>
      </c>
      <c r="D40" s="7" t="str">
        <f>'Catalogo Maestro'!F90</f>
        <v>Refactorización de módulo</v>
      </c>
      <c r="E40" s="7" t="str">
        <f>'Catalogo Maestro'!G90</f>
        <v>Base incluido</v>
      </c>
      <c r="F40" s="16">
        <f>'Catalogo Maestro'!J90</f>
        <v>5</v>
      </c>
      <c r="G40" s="16">
        <f>'Catalogo Maestro'!K90</f>
        <v>3.5</v>
      </c>
      <c r="H40" s="7" t="str">
        <f>'Catalogo Maestro'!L90</f>
        <v>Separación de responsabilidades y legibilidad</v>
      </c>
      <c r="I40" s="12">
        <f>'Catalogo Maestro'!M90</f>
        <v>0</v>
      </c>
    </row>
    <row r="41" spans="1:9">
      <c r="A41" s="11" t="str">
        <f>'Catalogo Maestro'!E91</f>
        <v>MNT3-007</v>
      </c>
      <c r="B41" s="7" t="str">
        <f>'Catalogo Maestro'!C91</f>
        <v>Modernización, refactorización y actualización tecnológica</v>
      </c>
      <c r="C41" s="7" t="str">
        <f>'Catalogo Maestro'!D91</f>
        <v>Arquitectura</v>
      </c>
      <c r="D41" s="7" t="str">
        <f>'Catalogo Maestro'!F91</f>
        <v>Extracción de componente reutilizable</v>
      </c>
      <c r="E41" s="7" t="str">
        <f>'Catalogo Maestro'!G91</f>
        <v>Opcional</v>
      </c>
      <c r="F41" s="16">
        <f>'Catalogo Maestro'!J91</f>
        <v>3</v>
      </c>
      <c r="G41" s="16">
        <f>'Catalogo Maestro'!K91</f>
        <v>2.0999999999999996</v>
      </c>
      <c r="H41" s="7" t="str">
        <f>'Catalogo Maestro'!L91</f>
        <v>Interfaces, pruebas y documentación</v>
      </c>
      <c r="I41" s="12">
        <f>'Catalogo Maestro'!M91</f>
        <v>0</v>
      </c>
    </row>
    <row r="42" spans="1:9">
      <c r="A42" s="11" t="str">
        <f>'Catalogo Maestro'!E92</f>
        <v>MNT3-008</v>
      </c>
      <c r="B42" s="7" t="str">
        <f>'Catalogo Maestro'!C92</f>
        <v>Modernización, refactorización y actualización tecnológica</v>
      </c>
      <c r="C42" s="7" t="str">
        <f>'Catalogo Maestro'!D92</f>
        <v>Datos</v>
      </c>
      <c r="D42" s="7" t="str">
        <f>'Catalogo Maestro'!F92</f>
        <v>Migración o ajuste de esquema de datos</v>
      </c>
      <c r="E42" s="7" t="str">
        <f>'Catalogo Maestro'!G92</f>
        <v>Opcional</v>
      </c>
      <c r="F42" s="16">
        <f>'Catalogo Maestro'!J92</f>
        <v>4</v>
      </c>
      <c r="G42" s="16">
        <f>'Catalogo Maestro'!K92</f>
        <v>2.8</v>
      </c>
      <c r="H42" s="7" t="str">
        <f>'Catalogo Maestro'!L92</f>
        <v>Transformación, respaldo y conciliación</v>
      </c>
      <c r="I42" s="12">
        <f>'Catalogo Maestro'!M92</f>
        <v>0</v>
      </c>
    </row>
    <row r="43" spans="1:9" ht="24">
      <c r="A43" s="11" t="str">
        <f>'Catalogo Maestro'!E93</f>
        <v>MNT3-009</v>
      </c>
      <c r="B43" s="7" t="str">
        <f>'Catalogo Maestro'!C93</f>
        <v>Modernización, refactorización y actualización tecnológica</v>
      </c>
      <c r="C43" s="7" t="str">
        <f>'Catalogo Maestro'!D93</f>
        <v>Seguridad</v>
      </c>
      <c r="D43" s="7" t="str">
        <f>'Catalogo Maestro'!F93</f>
        <v>Corrección de dependencias vulnerables</v>
      </c>
      <c r="E43" s="7" t="str">
        <f>'Catalogo Maestro'!G93</f>
        <v>Opcional</v>
      </c>
      <c r="F43" s="16">
        <f>'Catalogo Maestro'!J93</f>
        <v>1.5</v>
      </c>
      <c r="G43" s="16">
        <f>'Catalogo Maestro'!K93</f>
        <v>1.0499999999999998</v>
      </c>
      <c r="H43" s="7" t="str">
        <f>'Catalogo Maestro'!L93</f>
        <v>Análisis y remediación adicional cuando la actualización estándar no resuelve el hallazgo.</v>
      </c>
      <c r="I43" s="12" t="str">
        <f>'Catalogo Maestro'!M93</f>
        <v>No sumar si el hallazgo queda resuelto únicamente con MNT3-005.</v>
      </c>
    </row>
    <row r="44" spans="1:9">
      <c r="A44" s="11" t="str">
        <f>'Catalogo Maestro'!E94</f>
        <v>MNT3-010</v>
      </c>
      <c r="B44" s="7" t="str">
        <f>'Catalogo Maestro'!C94</f>
        <v>Modernización, refactorización y actualización tecnológica</v>
      </c>
      <c r="C44" s="7" t="str">
        <f>'Catalogo Maestro'!D94</f>
        <v>Calidad</v>
      </c>
      <c r="D44" s="7" t="str">
        <f>'Catalogo Maestro'!F94</f>
        <v>Pruebas de regresión ampliadas</v>
      </c>
      <c r="E44" s="7" t="str">
        <f>'Catalogo Maestro'!G94</f>
        <v>Base obligatorio</v>
      </c>
      <c r="F44" s="16">
        <f>'Catalogo Maestro'!J94</f>
        <v>1</v>
      </c>
      <c r="G44" s="16">
        <f>'Catalogo Maestro'!K94</f>
        <v>0.7</v>
      </c>
      <c r="H44" s="7" t="str">
        <f>'Catalogo Maestro'!L94</f>
        <v>Flujos críticos y casos de error</v>
      </c>
      <c r="I44" s="12">
        <f>'Catalogo Maestro'!M94</f>
        <v>0</v>
      </c>
    </row>
    <row r="45" spans="1:9">
      <c r="A45" s="11" t="str">
        <f>'Catalogo Maestro'!E95</f>
        <v>MNT3-011</v>
      </c>
      <c r="B45" s="7" t="str">
        <f>'Catalogo Maestro'!C95</f>
        <v>Modernización, refactorización y actualización tecnológica</v>
      </c>
      <c r="C45" s="7" t="str">
        <f>'Catalogo Maestro'!D95</f>
        <v>Rendimiento</v>
      </c>
      <c r="D45" s="7" t="str">
        <f>'Catalogo Maestro'!F95</f>
        <v>Comparación de rendimiento antes y después</v>
      </c>
      <c r="E45" s="7" t="str">
        <f>'Catalogo Maestro'!G95</f>
        <v>Opcional</v>
      </c>
      <c r="F45" s="16">
        <f>'Catalogo Maestro'!J95</f>
        <v>3</v>
      </c>
      <c r="G45" s="16">
        <f>'Catalogo Maestro'!K95</f>
        <v>2.0999999999999996</v>
      </c>
      <c r="H45" s="7" t="str">
        <f>'Catalogo Maestro'!L95</f>
        <v>Métricas acordadas y resultados</v>
      </c>
      <c r="I45" s="12">
        <f>'Catalogo Maestro'!M95</f>
        <v>0</v>
      </c>
    </row>
    <row r="46" spans="1:9">
      <c r="A46" s="11" t="str">
        <f>'Catalogo Maestro'!E96</f>
        <v>MNT3-012</v>
      </c>
      <c r="B46" s="7" t="str">
        <f>'Catalogo Maestro'!C96</f>
        <v>Modernización, refactorización y actualización tecnológica</v>
      </c>
      <c r="C46" s="7" t="str">
        <f>'Catalogo Maestro'!D96</f>
        <v>Despliegue</v>
      </c>
      <c r="D46" s="7" t="str">
        <f>'Catalogo Maestro'!F96</f>
        <v>Plan de migración y reversa</v>
      </c>
      <c r="E46" s="7" t="str">
        <f>'Catalogo Maestro'!G96</f>
        <v>Base obligatorio</v>
      </c>
      <c r="F46" s="16">
        <f>'Catalogo Maestro'!J96</f>
        <v>2</v>
      </c>
      <c r="G46" s="16">
        <f>'Catalogo Maestro'!K96</f>
        <v>1.4</v>
      </c>
      <c r="H46" s="7" t="str">
        <f>'Catalogo Maestro'!L96</f>
        <v>Pasos, responsables, respaldo y retorno</v>
      </c>
      <c r="I46" s="12">
        <f>'Catalogo Maestro'!M96</f>
        <v>0</v>
      </c>
    </row>
    <row r="47" spans="1:9">
      <c r="A47" s="11" t="str">
        <f>'Catalogo Maestro'!E97</f>
        <v>MNT3-013</v>
      </c>
      <c r="B47" s="7" t="str">
        <f>'Catalogo Maestro'!C97</f>
        <v>Modernización, refactorización y actualización tecnológica</v>
      </c>
      <c r="C47" s="7" t="str">
        <f>'Catalogo Maestro'!D97</f>
        <v>Despliegue</v>
      </c>
      <c r="D47" s="7" t="str">
        <f>'Catalogo Maestro'!F97</f>
        <v>Despliegue de modernización</v>
      </c>
      <c r="E47" s="7" t="str">
        <f>'Catalogo Maestro'!G97</f>
        <v>Base obligatorio</v>
      </c>
      <c r="F47" s="16">
        <f>'Catalogo Maestro'!J97</f>
        <v>3</v>
      </c>
      <c r="G47" s="16">
        <f>'Catalogo Maestro'!K97</f>
        <v>2.0999999999999996</v>
      </c>
      <c r="H47" s="7" t="str">
        <f>'Catalogo Maestro'!L97</f>
        <v>Ejecución, validación y seguimiento</v>
      </c>
      <c r="I47" s="12">
        <f>'Catalogo Maestro'!M97</f>
        <v>0</v>
      </c>
    </row>
    <row r="48" spans="1:9">
      <c r="A48" s="11" t="str">
        <f>'Catalogo Maestro'!E98</f>
        <v>MNT3-014</v>
      </c>
      <c r="B48" s="7" t="str">
        <f>'Catalogo Maestro'!C98</f>
        <v>Modernización, refactorización y actualización tecnológica</v>
      </c>
      <c r="C48" s="7" t="str">
        <f>'Catalogo Maestro'!D98</f>
        <v>Cierre</v>
      </c>
      <c r="D48" s="7" t="str">
        <f>'Catalogo Maestro'!F98</f>
        <v>Actualización de documentación técnica</v>
      </c>
      <c r="E48" s="7" t="str">
        <f>'Catalogo Maestro'!G98</f>
        <v>Base obligatorio</v>
      </c>
      <c r="F48" s="16">
        <f>'Catalogo Maestro'!J98</f>
        <v>2.5</v>
      </c>
      <c r="G48" s="16">
        <f>'Catalogo Maestro'!K98</f>
        <v>1.75</v>
      </c>
      <c r="H48" s="7" t="str">
        <f>'Catalogo Maestro'!L98</f>
        <v>Arquitectura, dependencias y operación</v>
      </c>
      <c r="I48" s="12">
        <f>'Catalogo Maestro'!M98</f>
        <v>0</v>
      </c>
    </row>
    <row r="49" spans="1:9">
      <c r="A49" s="11" t="str">
        <f>'Catalogo Maestro'!E99</f>
        <v>MNT4-001</v>
      </c>
      <c r="B49" s="7" t="str">
        <f>'Catalogo Maestro'!C99</f>
        <v>Optimización de rendimiento</v>
      </c>
      <c r="C49" s="7" t="str">
        <f>'Catalogo Maestro'!D99</f>
        <v>Medición</v>
      </c>
      <c r="D49" s="7" t="str">
        <f>'Catalogo Maestro'!F99</f>
        <v>Definición de indicadores y objetivos</v>
      </c>
      <c r="E49" s="7" t="str">
        <f>'Catalogo Maestro'!G99</f>
        <v>Base obligatorio</v>
      </c>
      <c r="F49" s="16">
        <f>'Catalogo Maestro'!J99</f>
        <v>1.5</v>
      </c>
      <c r="G49" s="16">
        <f>'Catalogo Maestro'!K99</f>
        <v>1.0499999999999998</v>
      </c>
      <c r="H49" s="7" t="str">
        <f>'Catalogo Maestro'!L99</f>
        <v>Tiempos, volumen y experiencia esperada</v>
      </c>
      <c r="I49" s="12">
        <f>'Catalogo Maestro'!M99</f>
        <v>0</v>
      </c>
    </row>
    <row r="50" spans="1:9">
      <c r="A50" s="11" t="str">
        <f>'Catalogo Maestro'!E100</f>
        <v>MNT4-002</v>
      </c>
      <c r="B50" s="7" t="str">
        <f>'Catalogo Maestro'!C100</f>
        <v>Optimización de rendimiento</v>
      </c>
      <c r="C50" s="7" t="str">
        <f>'Catalogo Maestro'!D100</f>
        <v>Medición</v>
      </c>
      <c r="D50" s="7" t="str">
        <f>'Catalogo Maestro'!F100</f>
        <v>Captura de línea base previa a la optimización</v>
      </c>
      <c r="E50" s="7" t="str">
        <f>'Catalogo Maestro'!G100</f>
        <v>Base obligatorio</v>
      </c>
      <c r="F50" s="16">
        <f>'Catalogo Maestro'!J100</f>
        <v>2.5</v>
      </c>
      <c r="G50" s="16">
        <f>'Catalogo Maestro'!K100</f>
        <v>1.75</v>
      </c>
      <c r="H50" s="7" t="str">
        <f>'Catalogo Maestro'!L100</f>
        <v>Medición inicial reproducible antes de realizar cambios.</v>
      </c>
      <c r="I50" s="12" t="str">
        <f>'Catalogo Maestro'!M100</f>
        <v>La comparación final se contabiliza en MNT4-010.</v>
      </c>
    </row>
    <row r="51" spans="1:9">
      <c r="A51" s="11" t="str">
        <f>'Catalogo Maestro'!E101</f>
        <v>MNT4-003</v>
      </c>
      <c r="B51" s="7" t="str">
        <f>'Catalogo Maestro'!C101</f>
        <v>Optimización de rendimiento</v>
      </c>
      <c r="C51" s="7" t="str">
        <f>'Catalogo Maestro'!D101</f>
        <v>Diagnóstico</v>
      </c>
      <c r="D51" s="7" t="str">
        <f>'Catalogo Maestro'!F101</f>
        <v>Perfilamiento de frontend</v>
      </c>
      <c r="E51" s="7" t="str">
        <f>'Catalogo Maestro'!G101</f>
        <v>Base incluido</v>
      </c>
      <c r="F51" s="16">
        <f>'Catalogo Maestro'!J101</f>
        <v>2.5</v>
      </c>
      <c r="G51" s="16">
        <f>'Catalogo Maestro'!K101</f>
        <v>1.75</v>
      </c>
      <c r="H51" s="7" t="str">
        <f>'Catalogo Maestro'!L101</f>
        <v>Carga, renderizado, recursos y red</v>
      </c>
      <c r="I51" s="12">
        <f>'Catalogo Maestro'!M101</f>
        <v>0</v>
      </c>
    </row>
    <row r="52" spans="1:9">
      <c r="A52" s="11" t="str">
        <f>'Catalogo Maestro'!E102</f>
        <v>MNT4-004</v>
      </c>
      <c r="B52" s="7" t="str">
        <f>'Catalogo Maestro'!C102</f>
        <v>Optimización de rendimiento</v>
      </c>
      <c r="C52" s="7" t="str">
        <f>'Catalogo Maestro'!D102</f>
        <v>Diagnóstico</v>
      </c>
      <c r="D52" s="7" t="str">
        <f>'Catalogo Maestro'!F102</f>
        <v>Perfilamiento de backend y consultas</v>
      </c>
      <c r="E52" s="7" t="str">
        <f>'Catalogo Maestro'!G102</f>
        <v>Base incluido</v>
      </c>
      <c r="F52" s="16">
        <f>'Catalogo Maestro'!J102</f>
        <v>3</v>
      </c>
      <c r="G52" s="16">
        <f>'Catalogo Maestro'!K102</f>
        <v>2.0999999999999996</v>
      </c>
      <c r="H52" s="7" t="str">
        <f>'Catalogo Maestro'!L102</f>
        <v>Tiempos, consultas, bloqueos y recursos</v>
      </c>
      <c r="I52" s="12">
        <f>'Catalogo Maestro'!M102</f>
        <v>0</v>
      </c>
    </row>
    <row r="53" spans="1:9">
      <c r="A53" s="11" t="str">
        <f>'Catalogo Maestro'!E103</f>
        <v>MNT4-005</v>
      </c>
      <c r="B53" s="7" t="str">
        <f>'Catalogo Maestro'!C103</f>
        <v>Optimización de rendimiento</v>
      </c>
      <c r="C53" s="7" t="str">
        <f>'Catalogo Maestro'!D103</f>
        <v>Optimización</v>
      </c>
      <c r="D53" s="7" t="str">
        <f>'Catalogo Maestro'!F103</f>
        <v>Optimización de recursos frontend</v>
      </c>
      <c r="E53" s="7" t="str">
        <f>'Catalogo Maestro'!G103</f>
        <v>Base incluido</v>
      </c>
      <c r="F53" s="16">
        <f>'Catalogo Maestro'!J103</f>
        <v>3</v>
      </c>
      <c r="G53" s="16">
        <f>'Catalogo Maestro'!K103</f>
        <v>2.0999999999999996</v>
      </c>
      <c r="H53" s="7" t="str">
        <f>'Catalogo Maestro'!L103</f>
        <v>Imágenes, carga diferida y empaquetado</v>
      </c>
      <c r="I53" s="12">
        <f>'Catalogo Maestro'!M103</f>
        <v>0</v>
      </c>
    </row>
    <row r="54" spans="1:9">
      <c r="A54" s="11" t="str">
        <f>'Catalogo Maestro'!E104</f>
        <v>MNT4-006</v>
      </c>
      <c r="B54" s="7" t="str">
        <f>'Catalogo Maestro'!C104</f>
        <v>Optimización de rendimiento</v>
      </c>
      <c r="C54" s="7" t="str">
        <f>'Catalogo Maestro'!D104</f>
        <v>Optimización</v>
      </c>
      <c r="D54" s="7" t="str">
        <f>'Catalogo Maestro'!F104</f>
        <v>Optimización de consulta o endpoint</v>
      </c>
      <c r="E54" s="7" t="str">
        <f>'Catalogo Maestro'!G104</f>
        <v>Base incluido</v>
      </c>
      <c r="F54" s="16">
        <f>'Catalogo Maestro'!J104</f>
        <v>1.5</v>
      </c>
      <c r="G54" s="16">
        <f>'Catalogo Maestro'!K104</f>
        <v>1.0499999999999998</v>
      </c>
      <c r="H54" s="7" t="str">
        <f>'Catalogo Maestro'!L104</f>
        <v>Índices, filtros, caché o reescritura</v>
      </c>
      <c r="I54" s="12">
        <f>'Catalogo Maestro'!M104</f>
        <v>0</v>
      </c>
    </row>
    <row r="55" spans="1:9">
      <c r="A55" s="11" t="str">
        <f>'Catalogo Maestro'!E105</f>
        <v>MNT4-007</v>
      </c>
      <c r="B55" s="7" t="str">
        <f>'Catalogo Maestro'!C105</f>
        <v>Optimización de rendimiento</v>
      </c>
      <c r="C55" s="7" t="str">
        <f>'Catalogo Maestro'!D105</f>
        <v>Optimización</v>
      </c>
      <c r="D55" s="7" t="str">
        <f>'Catalogo Maestro'!F105</f>
        <v>Configuración de caché</v>
      </c>
      <c r="E55" s="7" t="str">
        <f>'Catalogo Maestro'!G105</f>
        <v>Opcional</v>
      </c>
      <c r="F55" s="16">
        <f>'Catalogo Maestro'!J105</f>
        <v>2.5</v>
      </c>
      <c r="G55" s="16">
        <f>'Catalogo Maestro'!K105</f>
        <v>1.75</v>
      </c>
      <c r="H55" s="7" t="str">
        <f>'Catalogo Maestro'!L105</f>
        <v>Política, expiración e invalidación</v>
      </c>
      <c r="I55" s="12">
        <f>'Catalogo Maestro'!M105</f>
        <v>0</v>
      </c>
    </row>
    <row r="56" spans="1:9">
      <c r="A56" s="11" t="str">
        <f>'Catalogo Maestro'!E106</f>
        <v>MNT4-008</v>
      </c>
      <c r="B56" s="7" t="str">
        <f>'Catalogo Maestro'!C106</f>
        <v>Optimización de rendimiento</v>
      </c>
      <c r="C56" s="7" t="str">
        <f>'Catalogo Maestro'!D106</f>
        <v>Optimización</v>
      </c>
      <c r="D56" s="7" t="str">
        <f>'Catalogo Maestro'!F106</f>
        <v>Paginación y reducción de volumen</v>
      </c>
      <c r="E56" s="7" t="str">
        <f>'Catalogo Maestro'!G106</f>
        <v>Opcional</v>
      </c>
      <c r="F56" s="16">
        <f>'Catalogo Maestro'!J106</f>
        <v>2</v>
      </c>
      <c r="G56" s="16">
        <f>'Catalogo Maestro'!K106</f>
        <v>1.4</v>
      </c>
      <c r="H56" s="7" t="str">
        <f>'Catalogo Maestro'!L106</f>
        <v>Carga incremental y límites</v>
      </c>
      <c r="I56" s="12">
        <f>'Catalogo Maestro'!M106</f>
        <v>0</v>
      </c>
    </row>
    <row r="57" spans="1:9">
      <c r="A57" s="11" t="str">
        <f>'Catalogo Maestro'!E107</f>
        <v>MNT4-009</v>
      </c>
      <c r="B57" s="7" t="str">
        <f>'Catalogo Maestro'!C107</f>
        <v>Optimización de rendimiento</v>
      </c>
      <c r="C57" s="7" t="str">
        <f>'Catalogo Maestro'!D107</f>
        <v>Validación</v>
      </c>
      <c r="D57" s="7" t="str">
        <f>'Catalogo Maestro'!F107</f>
        <v>Prueba de carga controlada</v>
      </c>
      <c r="E57" s="7" t="str">
        <f>'Catalogo Maestro'!G107</f>
        <v>Opcional</v>
      </c>
      <c r="F57" s="16">
        <f>'Catalogo Maestro'!J107</f>
        <v>3</v>
      </c>
      <c r="G57" s="16">
        <f>'Catalogo Maestro'!K107</f>
        <v>2.0999999999999996</v>
      </c>
      <c r="H57" s="7" t="str">
        <f>'Catalogo Maestro'!L107</f>
        <v>Volumen y concurrencia acordados</v>
      </c>
      <c r="I57" s="12" t="str">
        <f>'Catalogo Maestro'!M107</f>
        <v>Pruebas de estrés masivas</v>
      </c>
    </row>
    <row r="58" spans="1:9">
      <c r="A58" s="11" t="str">
        <f>'Catalogo Maestro'!E108</f>
        <v>MNT4-010</v>
      </c>
      <c r="B58" s="7" t="str">
        <f>'Catalogo Maestro'!C108</f>
        <v>Optimización de rendimiento</v>
      </c>
      <c r="C58" s="7" t="str">
        <f>'Catalogo Maestro'!D108</f>
        <v>Validación</v>
      </c>
      <c r="D58" s="7" t="str">
        <f>'Catalogo Maestro'!F108</f>
        <v>Medición final y comparación antes/después</v>
      </c>
      <c r="E58" s="7" t="str">
        <f>'Catalogo Maestro'!G108</f>
        <v>Base obligatorio</v>
      </c>
      <c r="F58" s="16">
        <f>'Catalogo Maestro'!J108</f>
        <v>2</v>
      </c>
      <c r="G58" s="16">
        <f>'Catalogo Maestro'!K108</f>
        <v>1.4</v>
      </c>
      <c r="H58" s="7" t="str">
        <f>'Catalogo Maestro'!L108</f>
        <v>Repetición de la medición inicial y comparación documentada de resultados.</v>
      </c>
      <c r="I58" s="12" t="str">
        <f>'Catalogo Maestro'!M108</f>
        <v>No vuelve a incluir la captura inicial de MNT4-002.</v>
      </c>
    </row>
    <row r="59" spans="1:9">
      <c r="A59" s="11" t="str">
        <f>'Catalogo Maestro'!E109</f>
        <v>MNT4-011</v>
      </c>
      <c r="B59" s="7" t="str">
        <f>'Catalogo Maestro'!C109</f>
        <v>Optimización de rendimiento</v>
      </c>
      <c r="C59" s="7" t="str">
        <f>'Catalogo Maestro'!D109</f>
        <v>Despliegue</v>
      </c>
      <c r="D59" s="7" t="str">
        <f>'Catalogo Maestro'!F109</f>
        <v>Despliegue y monitoreo posterior</v>
      </c>
      <c r="E59" s="7" t="str">
        <f>'Catalogo Maestro'!G109</f>
        <v>Base obligatorio</v>
      </c>
      <c r="F59" s="16">
        <f>'Catalogo Maestro'!J109</f>
        <v>2</v>
      </c>
      <c r="G59" s="16">
        <f>'Catalogo Maestro'!K109</f>
        <v>1.4</v>
      </c>
      <c r="H59" s="7" t="str">
        <f>'Catalogo Maestro'!L109</f>
        <v>Despliegue, métricas y seguimiento</v>
      </c>
      <c r="I59" s="12">
        <f>'Catalogo Maestro'!M109</f>
        <v>0</v>
      </c>
    </row>
    <row r="60" spans="1:9">
      <c r="A60" s="13" t="str">
        <f>'Catalogo Maestro'!E110</f>
        <v>MNT4-012</v>
      </c>
      <c r="B60" s="14" t="str">
        <f>'Catalogo Maestro'!C110</f>
        <v>Optimización de rendimiento</v>
      </c>
      <c r="C60" s="14" t="str">
        <f>'Catalogo Maestro'!D110</f>
        <v>Cierre</v>
      </c>
      <c r="D60" s="14" t="str">
        <f>'Catalogo Maestro'!F110</f>
        <v>Documentación de optimizaciones</v>
      </c>
      <c r="E60" s="14" t="str">
        <f>'Catalogo Maestro'!G110</f>
        <v>Base obligatorio</v>
      </c>
      <c r="F60" s="22">
        <f>'Catalogo Maestro'!J110</f>
        <v>1</v>
      </c>
      <c r="G60" s="22">
        <f>'Catalogo Maestro'!K110</f>
        <v>0.7</v>
      </c>
      <c r="H60" s="14" t="str">
        <f>'Catalogo Maestro'!L110</f>
        <v>Cambios, resultados y próximos pasos</v>
      </c>
      <c r="I60" s="15">
        <f>'Catalogo Maestro'!M110</f>
        <v>0</v>
      </c>
    </row>
  </sheetData>
  <mergeCells count="2">
    <mergeCell ref="A1:I1"/>
    <mergeCell ref="A3:I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5"/>
  <sheetViews>
    <sheetView workbookViewId="0"/>
  </sheetViews>
  <sheetFormatPr baseColWidth="10" defaultColWidth="9" defaultRowHeight="14.25"/>
  <cols>
    <col min="1" max="1" width="14" customWidth="1"/>
    <col min="2" max="2" width="42" customWidth="1"/>
    <col min="3" max="3" width="18" customWidth="1"/>
    <col min="4" max="4" width="48" customWidth="1"/>
    <col min="5" max="5" width="18" customWidth="1"/>
    <col min="6" max="7" width="16" customWidth="1"/>
    <col min="8" max="8" width="62" customWidth="1"/>
    <col min="9" max="9" width="52" customWidth="1"/>
  </cols>
  <sheetData>
    <row r="1" spans="1:9" ht="33.950000000000003" customHeight="1">
      <c r="A1" s="36" t="s">
        <v>1145</v>
      </c>
      <c r="B1" s="36"/>
      <c r="C1" s="36"/>
      <c r="D1" s="36"/>
      <c r="E1" s="36"/>
      <c r="F1" s="36"/>
      <c r="G1" s="36"/>
      <c r="H1" s="36"/>
      <c r="I1" s="36"/>
    </row>
    <row r="3" spans="1:9" ht="33.950000000000003" customHeight="1">
      <c r="A3" s="37" t="s">
        <v>1142</v>
      </c>
      <c r="B3" s="37"/>
      <c r="C3" s="37"/>
      <c r="D3" s="37"/>
      <c r="E3" s="37"/>
      <c r="F3" s="37"/>
      <c r="G3" s="37"/>
      <c r="H3" s="37"/>
      <c r="I3" s="37"/>
    </row>
    <row r="5" spans="1:9" ht="27.95" customHeight="1">
      <c r="A5" s="6" t="s">
        <v>95</v>
      </c>
      <c r="B5" s="6" t="s">
        <v>499</v>
      </c>
      <c r="C5" s="6" t="s">
        <v>149</v>
      </c>
      <c r="D5" s="6" t="s">
        <v>151</v>
      </c>
      <c r="E5" s="6" t="s">
        <v>152</v>
      </c>
      <c r="F5" s="6" t="s">
        <v>1143</v>
      </c>
      <c r="G5" s="6" t="s">
        <v>99</v>
      </c>
      <c r="H5" s="6" t="s">
        <v>156</v>
      </c>
      <c r="I5" s="6" t="s">
        <v>157</v>
      </c>
    </row>
    <row r="6" spans="1:9">
      <c r="A6" s="8" t="str">
        <f>'Catalogo Maestro'!E111</f>
        <v>MON1-001</v>
      </c>
      <c r="B6" s="9" t="str">
        <f>'Catalogo Maestro'!C111</f>
        <v>Monitoreo de disponibilidad</v>
      </c>
      <c r="C6" s="9" t="str">
        <f>'Catalogo Maestro'!D111</f>
        <v>Diagnóstico</v>
      </c>
      <c r="D6" s="9" t="str">
        <f>'Catalogo Maestro'!F111</f>
        <v>Inventario de servicios y endpoints</v>
      </c>
      <c r="E6" s="9" t="str">
        <f>'Catalogo Maestro'!G111</f>
        <v>Base obligatorio</v>
      </c>
      <c r="F6" s="21">
        <f>'Catalogo Maestro'!J111</f>
        <v>0.75</v>
      </c>
      <c r="G6" s="21">
        <f>'Catalogo Maestro'!K111</f>
        <v>0.52499999999999991</v>
      </c>
      <c r="H6" s="9" t="str">
        <f>'Catalogo Maestro'!L111</f>
        <v>URLs, APIs, jobs y dependencias</v>
      </c>
      <c r="I6" s="10">
        <f>'Catalogo Maestro'!M111</f>
        <v>0</v>
      </c>
    </row>
    <row r="7" spans="1:9">
      <c r="A7" s="11" t="str">
        <f>'Catalogo Maestro'!E112</f>
        <v>MON1-002</v>
      </c>
      <c r="B7" s="7" t="str">
        <f>'Catalogo Maestro'!C112</f>
        <v>Monitoreo de disponibilidad</v>
      </c>
      <c r="C7" s="7" t="str">
        <f>'Catalogo Maestro'!D112</f>
        <v>Diseño</v>
      </c>
      <c r="D7" s="7" t="str">
        <f>'Catalogo Maestro'!F112</f>
        <v>Definición de indicadores de disponibilidad</v>
      </c>
      <c r="E7" s="7" t="str">
        <f>'Catalogo Maestro'!G112</f>
        <v>Base obligatorio</v>
      </c>
      <c r="F7" s="16">
        <f>'Catalogo Maestro'!J112</f>
        <v>0.75</v>
      </c>
      <c r="G7" s="16">
        <f>'Catalogo Maestro'!K112</f>
        <v>0.52499999999999991</v>
      </c>
      <c r="H7" s="7" t="str">
        <f>'Catalogo Maestro'!L112</f>
        <v>Estado, latencia, código y contenido esperado</v>
      </c>
      <c r="I7" s="12">
        <f>'Catalogo Maestro'!M112</f>
        <v>0</v>
      </c>
    </row>
    <row r="8" spans="1:9">
      <c r="A8" s="11" t="str">
        <f>'Catalogo Maestro'!E113</f>
        <v>MON1-003</v>
      </c>
      <c r="B8" s="7" t="str">
        <f>'Catalogo Maestro'!C113</f>
        <v>Monitoreo de disponibilidad</v>
      </c>
      <c r="C8" s="7" t="str">
        <f>'Catalogo Maestro'!D113</f>
        <v>Configuración</v>
      </c>
      <c r="D8" s="7" t="str">
        <f>'Catalogo Maestro'!F113</f>
        <v>Configuración de chequeo HTTP o endpoint</v>
      </c>
      <c r="E8" s="7" t="str">
        <f>'Catalogo Maestro'!G113</f>
        <v>Base incluido</v>
      </c>
      <c r="F8" s="16">
        <f>'Catalogo Maestro'!J113</f>
        <v>1</v>
      </c>
      <c r="G8" s="16">
        <f>'Catalogo Maestro'!K113</f>
        <v>0.7</v>
      </c>
      <c r="H8" s="7" t="str">
        <f>'Catalogo Maestro'!L113</f>
        <v>Frecuencia, timeout y criterio de éxito</v>
      </c>
      <c r="I8" s="12">
        <f>'Catalogo Maestro'!M113</f>
        <v>0</v>
      </c>
    </row>
    <row r="9" spans="1:9">
      <c r="A9" s="11" t="str">
        <f>'Catalogo Maestro'!E114</f>
        <v>MON1-004</v>
      </c>
      <c r="B9" s="7" t="str">
        <f>'Catalogo Maestro'!C114</f>
        <v>Monitoreo de disponibilidad</v>
      </c>
      <c r="C9" s="7" t="str">
        <f>'Catalogo Maestro'!D114</f>
        <v>Configuración</v>
      </c>
      <c r="D9" s="7" t="str">
        <f>'Catalogo Maestro'!F114</f>
        <v>Configuración de alertas</v>
      </c>
      <c r="E9" s="7" t="str">
        <f>'Catalogo Maestro'!G114</f>
        <v>Base incluido</v>
      </c>
      <c r="F9" s="16">
        <f>'Catalogo Maestro'!J114</f>
        <v>1</v>
      </c>
      <c r="G9" s="16">
        <f>'Catalogo Maestro'!K114</f>
        <v>0.7</v>
      </c>
      <c r="H9" s="7" t="str">
        <f>'Catalogo Maestro'!L114</f>
        <v>Umbrales, destinatarios y escalamiento</v>
      </c>
      <c r="I9" s="12">
        <f>'Catalogo Maestro'!M114</f>
        <v>0</v>
      </c>
    </row>
    <row r="10" spans="1:9">
      <c r="A10" s="11" t="str">
        <f>'Catalogo Maestro'!E115</f>
        <v>MON1-005</v>
      </c>
      <c r="B10" s="7" t="str">
        <f>'Catalogo Maestro'!C115</f>
        <v>Monitoreo de disponibilidad</v>
      </c>
      <c r="C10" s="7" t="str">
        <f>'Catalogo Maestro'!D115</f>
        <v>Configuración</v>
      </c>
      <c r="D10" s="7" t="str">
        <f>'Catalogo Maestro'!F115</f>
        <v>Ventanas de mantenimiento</v>
      </c>
      <c r="E10" s="7" t="str">
        <f>'Catalogo Maestro'!G115</f>
        <v>Opcional</v>
      </c>
      <c r="F10" s="16">
        <f>'Catalogo Maestro'!J115</f>
        <v>0.5</v>
      </c>
      <c r="G10" s="16">
        <f>'Catalogo Maestro'!K115</f>
        <v>0.35</v>
      </c>
      <c r="H10" s="7" t="str">
        <f>'Catalogo Maestro'!L115</f>
        <v>Supresión de alertas planificadas</v>
      </c>
      <c r="I10" s="12">
        <f>'Catalogo Maestro'!M115</f>
        <v>0</v>
      </c>
    </row>
    <row r="11" spans="1:9">
      <c r="A11" s="11" t="str">
        <f>'Catalogo Maestro'!E116</f>
        <v>MON1-006</v>
      </c>
      <c r="B11" s="7" t="str">
        <f>'Catalogo Maestro'!C116</f>
        <v>Monitoreo de disponibilidad</v>
      </c>
      <c r="C11" s="7" t="str">
        <f>'Catalogo Maestro'!D116</f>
        <v>Visualización</v>
      </c>
      <c r="D11" s="7" t="str">
        <f>'Catalogo Maestro'!F116</f>
        <v>Dashboard de disponibilidad</v>
      </c>
      <c r="E11" s="7" t="str">
        <f>'Catalogo Maestro'!G116</f>
        <v>Base incluido</v>
      </c>
      <c r="F11" s="16">
        <f>'Catalogo Maestro'!J116</f>
        <v>2.5</v>
      </c>
      <c r="G11" s="16">
        <f>'Catalogo Maestro'!K116</f>
        <v>1.75</v>
      </c>
      <c r="H11" s="7" t="str">
        <f>'Catalogo Maestro'!L116</f>
        <v>Estado, histórico y tendencia</v>
      </c>
      <c r="I11" s="12">
        <f>'Catalogo Maestro'!M116</f>
        <v>0</v>
      </c>
    </row>
    <row r="12" spans="1:9">
      <c r="A12" s="11" t="str">
        <f>'Catalogo Maestro'!E117</f>
        <v>MON1-007</v>
      </c>
      <c r="B12" s="7" t="str">
        <f>'Catalogo Maestro'!C117</f>
        <v>Monitoreo de disponibilidad</v>
      </c>
      <c r="C12" s="7" t="str">
        <f>'Catalogo Maestro'!D117</f>
        <v>Reportes</v>
      </c>
      <c r="D12" s="7" t="str">
        <f>'Catalogo Maestro'!F117</f>
        <v>Reporte periódico de disponibilidad</v>
      </c>
      <c r="E12" s="7" t="str">
        <f>'Catalogo Maestro'!G117</f>
        <v>Base incluido</v>
      </c>
      <c r="F12" s="16">
        <f>'Catalogo Maestro'!J117</f>
        <v>2</v>
      </c>
      <c r="G12" s="16">
        <f>'Catalogo Maestro'!K117</f>
        <v>1.4</v>
      </c>
      <c r="H12" s="7" t="str">
        <f>'Catalogo Maestro'!L117</f>
        <v>Disponibilidad, eventos y observaciones</v>
      </c>
      <c r="I12" s="12">
        <f>'Catalogo Maestro'!M117</f>
        <v>0</v>
      </c>
    </row>
    <row r="13" spans="1:9">
      <c r="A13" s="11" t="str">
        <f>'Catalogo Maestro'!E118</f>
        <v>MON1-008</v>
      </c>
      <c r="B13" s="7" t="str">
        <f>'Catalogo Maestro'!C118</f>
        <v>Monitoreo de disponibilidad</v>
      </c>
      <c r="C13" s="7" t="str">
        <f>'Catalogo Maestro'!D118</f>
        <v>Calidad</v>
      </c>
      <c r="D13" s="7" t="str">
        <f>'Catalogo Maestro'!F118</f>
        <v>Prueba de caída y recuperación</v>
      </c>
      <c r="E13" s="7" t="str">
        <f>'Catalogo Maestro'!G118</f>
        <v>Base obligatorio</v>
      </c>
      <c r="F13" s="16">
        <f>'Catalogo Maestro'!J118</f>
        <v>1</v>
      </c>
      <c r="G13" s="16">
        <f>'Catalogo Maestro'!K118</f>
        <v>0.7</v>
      </c>
      <c r="H13" s="7" t="str">
        <f>'Catalogo Maestro'!L118</f>
        <v>Detección, notificación y recuperación</v>
      </c>
      <c r="I13" s="12">
        <f>'Catalogo Maestro'!M118</f>
        <v>0</v>
      </c>
    </row>
    <row r="14" spans="1:9">
      <c r="A14" s="11" t="str">
        <f>'Catalogo Maestro'!E119</f>
        <v>MON1-009</v>
      </c>
      <c r="B14" s="7" t="str">
        <f>'Catalogo Maestro'!C119</f>
        <v>Monitoreo de disponibilidad</v>
      </c>
      <c r="C14" s="7" t="str">
        <f>'Catalogo Maestro'!D119</f>
        <v>Operación</v>
      </c>
      <c r="D14" s="7" t="str">
        <f>'Catalogo Maestro'!F119</f>
        <v>Runbook de respuesta a indisponibilidad</v>
      </c>
      <c r="E14" s="7" t="str">
        <f>'Catalogo Maestro'!G119</f>
        <v>Base obligatorio</v>
      </c>
      <c r="F14" s="16">
        <f>'Catalogo Maestro'!J119</f>
        <v>1.5</v>
      </c>
      <c r="G14" s="16">
        <f>'Catalogo Maestro'!K119</f>
        <v>1.0499999999999998</v>
      </c>
      <c r="H14" s="7" t="str">
        <f>'Catalogo Maestro'!L119</f>
        <v>Validación, escalamiento y comunicación</v>
      </c>
      <c r="I14" s="12">
        <f>'Catalogo Maestro'!M119</f>
        <v>0</v>
      </c>
    </row>
    <row r="15" spans="1:9">
      <c r="A15" s="11" t="str">
        <f>'Catalogo Maestro'!E120</f>
        <v>MON1-010</v>
      </c>
      <c r="B15" s="7" t="str">
        <f>'Catalogo Maestro'!C120</f>
        <v>Monitoreo de disponibilidad</v>
      </c>
      <c r="C15" s="7" t="str">
        <f>'Catalogo Maestro'!D120</f>
        <v>Despliegue</v>
      </c>
      <c r="D15" s="7" t="str">
        <f>'Catalogo Maestro'!F120</f>
        <v>Puesta en marcha y estabilización</v>
      </c>
      <c r="E15" s="7" t="str">
        <f>'Catalogo Maestro'!G120</f>
        <v>Base obligatorio</v>
      </c>
      <c r="F15" s="16">
        <f>'Catalogo Maestro'!J120</f>
        <v>1.5</v>
      </c>
      <c r="G15" s="16">
        <f>'Catalogo Maestro'!K120</f>
        <v>1.0499999999999998</v>
      </c>
      <c r="H15" s="7" t="str">
        <f>'Catalogo Maestro'!L120</f>
        <v>Activación, observación y ajustes</v>
      </c>
      <c r="I15" s="12">
        <f>'Catalogo Maestro'!M120</f>
        <v>0</v>
      </c>
    </row>
    <row r="16" spans="1:9">
      <c r="A16" s="11" t="str">
        <f>'Catalogo Maestro'!E121</f>
        <v>MON2-001</v>
      </c>
      <c r="B16" s="7" t="str">
        <f>'Catalogo Maestro'!C121</f>
        <v>Centralización de logs y trazabilidad</v>
      </c>
      <c r="C16" s="7" t="str">
        <f>'Catalogo Maestro'!D121</f>
        <v>Diagnóstico</v>
      </c>
      <c r="D16" s="7" t="str">
        <f>'Catalogo Maestro'!F121</f>
        <v>Inventario de fuentes de logs</v>
      </c>
      <c r="E16" s="7" t="str">
        <f>'Catalogo Maestro'!G121</f>
        <v>Base obligatorio</v>
      </c>
      <c r="F16" s="16">
        <f>'Catalogo Maestro'!J121</f>
        <v>0.75</v>
      </c>
      <c r="G16" s="16">
        <f>'Catalogo Maestro'!K121</f>
        <v>0.52499999999999991</v>
      </c>
      <c r="H16" s="7" t="str">
        <f>'Catalogo Maestro'!L121</f>
        <v>Aplicación, servidor, base de datos y servicios</v>
      </c>
      <c r="I16" s="12">
        <f>'Catalogo Maestro'!M121</f>
        <v>0</v>
      </c>
    </row>
    <row r="17" spans="1:9">
      <c r="A17" s="11" t="str">
        <f>'Catalogo Maestro'!E122</f>
        <v>MON2-002</v>
      </c>
      <c r="B17" s="7" t="str">
        <f>'Catalogo Maestro'!C122</f>
        <v>Centralización de logs y trazabilidad</v>
      </c>
      <c r="C17" s="7" t="str">
        <f>'Catalogo Maestro'!D122</f>
        <v>Diseño</v>
      </c>
      <c r="D17" s="7" t="str">
        <f>'Catalogo Maestro'!F122</f>
        <v>Definición de estructura y campos comunes</v>
      </c>
      <c r="E17" s="7" t="str">
        <f>'Catalogo Maestro'!G122</f>
        <v>Base obligatorio</v>
      </c>
      <c r="F17" s="16">
        <f>'Catalogo Maestro'!J122</f>
        <v>2</v>
      </c>
      <c r="G17" s="16">
        <f>'Catalogo Maestro'!K122</f>
        <v>1.4</v>
      </c>
      <c r="H17" s="7" t="str">
        <f>'Catalogo Maestro'!L122</f>
        <v>Nivel, fecha, usuario, correlación y contexto</v>
      </c>
      <c r="I17" s="12">
        <f>'Catalogo Maestro'!M122</f>
        <v>0</v>
      </c>
    </row>
    <row r="18" spans="1:9">
      <c r="A18" s="11" t="str">
        <f>'Catalogo Maestro'!E123</f>
        <v>MON2-003</v>
      </c>
      <c r="B18" s="7" t="str">
        <f>'Catalogo Maestro'!C123</f>
        <v>Centralización de logs y trazabilidad</v>
      </c>
      <c r="C18" s="7" t="str">
        <f>'Catalogo Maestro'!D123</f>
        <v>Implementación</v>
      </c>
      <c r="D18" s="7" t="str">
        <f>'Catalogo Maestro'!F123</f>
        <v>Configuración de envío de logs</v>
      </c>
      <c r="E18" s="7" t="str">
        <f>'Catalogo Maestro'!G123</f>
        <v>Base incluido</v>
      </c>
      <c r="F18" s="16">
        <f>'Catalogo Maestro'!J123</f>
        <v>1.5</v>
      </c>
      <c r="G18" s="16">
        <f>'Catalogo Maestro'!K123</f>
        <v>1.0499999999999998</v>
      </c>
      <c r="H18" s="7" t="str">
        <f>'Catalogo Maestro'!L123</f>
        <v>Agente, librería o integración</v>
      </c>
      <c r="I18" s="12">
        <f>'Catalogo Maestro'!M123</f>
        <v>0</v>
      </c>
    </row>
    <row r="19" spans="1:9">
      <c r="A19" s="11" t="str">
        <f>'Catalogo Maestro'!E124</f>
        <v>MON2-004</v>
      </c>
      <c r="B19" s="7" t="str">
        <f>'Catalogo Maestro'!C124</f>
        <v>Centralización de logs y trazabilidad</v>
      </c>
      <c r="C19" s="7" t="str">
        <f>'Catalogo Maestro'!D124</f>
        <v>Implementación</v>
      </c>
      <c r="D19" s="7" t="str">
        <f>'Catalogo Maestro'!F124</f>
        <v>Normalización y parseo</v>
      </c>
      <c r="E19" s="7" t="str">
        <f>'Catalogo Maestro'!G124</f>
        <v>Base incluido</v>
      </c>
      <c r="F19" s="16">
        <f>'Catalogo Maestro'!J124</f>
        <v>1</v>
      </c>
      <c r="G19" s="16">
        <f>'Catalogo Maestro'!K124</f>
        <v>0.7</v>
      </c>
      <c r="H19" s="7" t="str">
        <f>'Catalogo Maestro'!L124</f>
        <v>Campos, formatos y errores</v>
      </c>
      <c r="I19" s="12">
        <f>'Catalogo Maestro'!M124</f>
        <v>0</v>
      </c>
    </row>
    <row r="20" spans="1:9">
      <c r="A20" s="11" t="str">
        <f>'Catalogo Maestro'!E125</f>
        <v>MON2-005</v>
      </c>
      <c r="B20" s="7" t="str">
        <f>'Catalogo Maestro'!C125</f>
        <v>Centralización de logs y trazabilidad</v>
      </c>
      <c r="C20" s="7" t="str">
        <f>'Catalogo Maestro'!D125</f>
        <v>Trazabilidad</v>
      </c>
      <c r="D20" s="7" t="str">
        <f>'Catalogo Maestro'!F125</f>
        <v>Identificador de correlación</v>
      </c>
      <c r="E20" s="7" t="str">
        <f>'Catalogo Maestro'!G125</f>
        <v>Opcional</v>
      </c>
      <c r="F20" s="16">
        <f>'Catalogo Maestro'!J125</f>
        <v>1.5</v>
      </c>
      <c r="G20" s="16">
        <f>'Catalogo Maestro'!K125</f>
        <v>1.0499999999999998</v>
      </c>
      <c r="H20" s="7" t="str">
        <f>'Catalogo Maestro'!L125</f>
        <v>Seguimiento entre componentes</v>
      </c>
      <c r="I20" s="12">
        <f>'Catalogo Maestro'!M125</f>
        <v>0</v>
      </c>
    </row>
    <row r="21" spans="1:9">
      <c r="A21" s="11" t="str">
        <f>'Catalogo Maestro'!E126</f>
        <v>MON2-006</v>
      </c>
      <c r="B21" s="7" t="str">
        <f>'Catalogo Maestro'!C126</f>
        <v>Centralización de logs y trazabilidad</v>
      </c>
      <c r="C21" s="7" t="str">
        <f>'Catalogo Maestro'!D126</f>
        <v>Retención</v>
      </c>
      <c r="D21" s="7" t="str">
        <f>'Catalogo Maestro'!F126</f>
        <v>Política de retención y rotación</v>
      </c>
      <c r="E21" s="7" t="str">
        <f>'Catalogo Maestro'!G126</f>
        <v>Base obligatorio</v>
      </c>
      <c r="F21" s="16">
        <f>'Catalogo Maestro'!J126</f>
        <v>1.5</v>
      </c>
      <c r="G21" s="16">
        <f>'Catalogo Maestro'!K126</f>
        <v>1.0499999999999998</v>
      </c>
      <c r="H21" s="7" t="str">
        <f>'Catalogo Maestro'!L126</f>
        <v>Periodo, volumen y eliminación</v>
      </c>
      <c r="I21" s="12">
        <f>'Catalogo Maestro'!M126</f>
        <v>0</v>
      </c>
    </row>
    <row r="22" spans="1:9">
      <c r="A22" s="11" t="str">
        <f>'Catalogo Maestro'!E127</f>
        <v>MON2-007</v>
      </c>
      <c r="B22" s="7" t="str">
        <f>'Catalogo Maestro'!C127</f>
        <v>Centralización de logs y trazabilidad</v>
      </c>
      <c r="C22" s="7" t="str">
        <f>'Catalogo Maestro'!D127</f>
        <v>Visualización</v>
      </c>
      <c r="D22" s="7" t="str">
        <f>'Catalogo Maestro'!F127</f>
        <v>Dashboard de errores y eventos</v>
      </c>
      <c r="E22" s="7" t="str">
        <f>'Catalogo Maestro'!G127</f>
        <v>Base incluido</v>
      </c>
      <c r="F22" s="16">
        <f>'Catalogo Maestro'!J127</f>
        <v>3</v>
      </c>
      <c r="G22" s="16">
        <f>'Catalogo Maestro'!K127</f>
        <v>2.0999999999999996</v>
      </c>
      <c r="H22" s="7" t="str">
        <f>'Catalogo Maestro'!L127</f>
        <v>Errores, niveles y tendencias</v>
      </c>
      <c r="I22" s="12">
        <f>'Catalogo Maestro'!M127</f>
        <v>0</v>
      </c>
    </row>
    <row r="23" spans="1:9">
      <c r="A23" s="11" t="str">
        <f>'Catalogo Maestro'!E128</f>
        <v>MON2-008</v>
      </c>
      <c r="B23" s="7" t="str">
        <f>'Catalogo Maestro'!C128</f>
        <v>Centralización de logs y trazabilidad</v>
      </c>
      <c r="C23" s="7" t="str">
        <f>'Catalogo Maestro'!D128</f>
        <v>Alertas</v>
      </c>
      <c r="D23" s="7" t="str">
        <f>'Catalogo Maestro'!F128</f>
        <v>Alerta por patrón crítico</v>
      </c>
      <c r="E23" s="7" t="str">
        <f>'Catalogo Maestro'!G128</f>
        <v>Base incluido</v>
      </c>
      <c r="F23" s="16">
        <f>'Catalogo Maestro'!J128</f>
        <v>1</v>
      </c>
      <c r="G23" s="16">
        <f>'Catalogo Maestro'!K128</f>
        <v>0.7</v>
      </c>
      <c r="H23" s="7" t="str">
        <f>'Catalogo Maestro'!L128</f>
        <v>Patrones, frecuencia y severidad</v>
      </c>
      <c r="I23" s="12">
        <f>'Catalogo Maestro'!M128</f>
        <v>0</v>
      </c>
    </row>
    <row r="24" spans="1:9">
      <c r="A24" s="11" t="str">
        <f>'Catalogo Maestro'!E129</f>
        <v>MON2-009</v>
      </c>
      <c r="B24" s="7" t="str">
        <f>'Catalogo Maestro'!C129</f>
        <v>Centralización de logs y trazabilidad</v>
      </c>
      <c r="C24" s="7" t="str">
        <f>'Catalogo Maestro'!D129</f>
        <v>Calidad</v>
      </c>
      <c r="D24" s="7" t="str">
        <f>'Catalogo Maestro'!F129</f>
        <v>Pruebas de generación y búsqueda</v>
      </c>
      <c r="E24" s="7" t="str">
        <f>'Catalogo Maestro'!G129</f>
        <v>Base obligatorio</v>
      </c>
      <c r="F24" s="16">
        <f>'Catalogo Maestro'!J129</f>
        <v>0.75</v>
      </c>
      <c r="G24" s="16">
        <f>'Catalogo Maestro'!K129</f>
        <v>0.52499999999999991</v>
      </c>
      <c r="H24" s="7" t="str">
        <f>'Catalogo Maestro'!L129</f>
        <v>Generación, recepción y consulta</v>
      </c>
      <c r="I24" s="12">
        <f>'Catalogo Maestro'!M129</f>
        <v>0</v>
      </c>
    </row>
    <row r="25" spans="1:9">
      <c r="A25" s="11" t="str">
        <f>'Catalogo Maestro'!E130</f>
        <v>MON2-010</v>
      </c>
      <c r="B25" s="7" t="str">
        <f>'Catalogo Maestro'!C130</f>
        <v>Centralización de logs y trazabilidad</v>
      </c>
      <c r="C25" s="7" t="str">
        <f>'Catalogo Maestro'!D130</f>
        <v>Operación</v>
      </c>
      <c r="D25" s="7" t="str">
        <f>'Catalogo Maestro'!F130</f>
        <v>Runbook de consulta y escalamiento</v>
      </c>
      <c r="E25" s="7" t="str">
        <f>'Catalogo Maestro'!G130</f>
        <v>Base obligatorio</v>
      </c>
      <c r="F25" s="16">
        <f>'Catalogo Maestro'!J130</f>
        <v>1.5</v>
      </c>
      <c r="G25" s="16">
        <f>'Catalogo Maestro'!K130</f>
        <v>1.0499999999999998</v>
      </c>
      <c r="H25" s="7" t="str">
        <f>'Catalogo Maestro'!L130</f>
        <v>Búsquedas, filtros y escalamiento</v>
      </c>
      <c r="I25" s="12">
        <f>'Catalogo Maestro'!M130</f>
        <v>0</v>
      </c>
    </row>
    <row r="26" spans="1:9">
      <c r="A26" s="11" t="str">
        <f>'Catalogo Maestro'!E131</f>
        <v>MON3-001</v>
      </c>
      <c r="B26" s="7" t="str">
        <f>'Catalogo Maestro'!C131</f>
        <v>Métricas y rendimiento</v>
      </c>
      <c r="C26" s="7" t="str">
        <f>'Catalogo Maestro'!D131</f>
        <v>Diagnóstico</v>
      </c>
      <c r="D26" s="7" t="str">
        <f>'Catalogo Maestro'!F131</f>
        <v>Definición de métricas técnicas</v>
      </c>
      <c r="E26" s="7" t="str">
        <f>'Catalogo Maestro'!G131</f>
        <v>Base obligatorio</v>
      </c>
      <c r="F26" s="16">
        <f>'Catalogo Maestro'!J131</f>
        <v>0.5</v>
      </c>
      <c r="G26" s="16">
        <f>'Catalogo Maestro'!K131</f>
        <v>0.35</v>
      </c>
      <c r="H26" s="7" t="str">
        <f>'Catalogo Maestro'!L131</f>
        <v>CPU, memoria, latencia, errores y volumen</v>
      </c>
      <c r="I26" s="12">
        <f>'Catalogo Maestro'!M131</f>
        <v>0</v>
      </c>
    </row>
    <row r="27" spans="1:9">
      <c r="A27" s="11" t="str">
        <f>'Catalogo Maestro'!E132</f>
        <v>MON3-002</v>
      </c>
      <c r="B27" s="7" t="str">
        <f>'Catalogo Maestro'!C132</f>
        <v>Métricas y rendimiento</v>
      </c>
      <c r="C27" s="7" t="str">
        <f>'Catalogo Maestro'!D132</f>
        <v>Instrumentación</v>
      </c>
      <c r="D27" s="7" t="str">
        <f>'Catalogo Maestro'!F132</f>
        <v>Instrumentación de métrica de aplicación</v>
      </c>
      <c r="E27" s="7" t="str">
        <f>'Catalogo Maestro'!G132</f>
        <v>Base incluido</v>
      </c>
      <c r="F27" s="16">
        <f>'Catalogo Maestro'!J132</f>
        <v>1.5</v>
      </c>
      <c r="G27" s="16">
        <f>'Catalogo Maestro'!K132</f>
        <v>1.0499999999999998</v>
      </c>
      <c r="H27" s="7" t="str">
        <f>'Catalogo Maestro'!L132</f>
        <v>Código, etiquetas y frecuencia</v>
      </c>
      <c r="I27" s="12">
        <f>'Catalogo Maestro'!M132</f>
        <v>0</v>
      </c>
    </row>
    <row r="28" spans="1:9">
      <c r="A28" s="11" t="str">
        <f>'Catalogo Maestro'!E133</f>
        <v>MON3-003</v>
      </c>
      <c r="B28" s="7" t="str">
        <f>'Catalogo Maestro'!C133</f>
        <v>Métricas y rendimiento</v>
      </c>
      <c r="C28" s="7" t="str">
        <f>'Catalogo Maestro'!D133</f>
        <v>Infraestructura</v>
      </c>
      <c r="D28" s="7" t="str">
        <f>'Catalogo Maestro'!F133</f>
        <v>Recolección de métricas de infraestructura</v>
      </c>
      <c r="E28" s="7" t="str">
        <f>'Catalogo Maestro'!G133</f>
        <v>Base incluido</v>
      </c>
      <c r="F28" s="16">
        <f>'Catalogo Maestro'!J133</f>
        <v>1.5</v>
      </c>
      <c r="G28" s="16">
        <f>'Catalogo Maestro'!K133</f>
        <v>1.0499999999999998</v>
      </c>
      <c r="H28" s="7" t="str">
        <f>'Catalogo Maestro'!L133</f>
        <v>Agente, permisos y conectividad</v>
      </c>
      <c r="I28" s="12">
        <f>'Catalogo Maestro'!M133</f>
        <v>0</v>
      </c>
    </row>
    <row r="29" spans="1:9">
      <c r="A29" s="11" t="str">
        <f>'Catalogo Maestro'!E134</f>
        <v>MON3-004</v>
      </c>
      <c r="B29" s="7" t="str">
        <f>'Catalogo Maestro'!C134</f>
        <v>Métricas y rendimiento</v>
      </c>
      <c r="C29" s="7" t="str">
        <f>'Catalogo Maestro'!D134</f>
        <v>Visualización</v>
      </c>
      <c r="D29" s="7" t="str">
        <f>'Catalogo Maestro'!F134</f>
        <v>Dashboard operacional</v>
      </c>
      <c r="E29" s="7" t="str">
        <f>'Catalogo Maestro'!G134</f>
        <v>Base incluido</v>
      </c>
      <c r="F29" s="16">
        <f>'Catalogo Maestro'!J134</f>
        <v>3</v>
      </c>
      <c r="G29" s="16">
        <f>'Catalogo Maestro'!K134</f>
        <v>2.0999999999999996</v>
      </c>
      <c r="H29" s="7" t="str">
        <f>'Catalogo Maestro'!L134</f>
        <v>Salud, capacidad y rendimiento</v>
      </c>
      <c r="I29" s="12">
        <f>'Catalogo Maestro'!M134</f>
        <v>0</v>
      </c>
    </row>
    <row r="30" spans="1:9">
      <c r="A30" s="11" t="str">
        <f>'Catalogo Maestro'!E135</f>
        <v>MON3-005</v>
      </c>
      <c r="B30" s="7" t="str">
        <f>'Catalogo Maestro'!C135</f>
        <v>Métricas y rendimiento</v>
      </c>
      <c r="C30" s="7" t="str">
        <f>'Catalogo Maestro'!D135</f>
        <v>Alertas</v>
      </c>
      <c r="D30" s="7" t="str">
        <f>'Catalogo Maestro'!F135</f>
        <v>Umbral y alerta de rendimiento</v>
      </c>
      <c r="E30" s="7" t="str">
        <f>'Catalogo Maestro'!G135</f>
        <v>Base incluido</v>
      </c>
      <c r="F30" s="16">
        <f>'Catalogo Maestro'!J135</f>
        <v>0.75</v>
      </c>
      <c r="G30" s="16">
        <f>'Catalogo Maestro'!K135</f>
        <v>0.52499999999999991</v>
      </c>
      <c r="H30" s="7" t="str">
        <f>'Catalogo Maestro'!L135</f>
        <v>Umbral, duración y severidad</v>
      </c>
      <c r="I30" s="12">
        <f>'Catalogo Maestro'!M135</f>
        <v>0</v>
      </c>
    </row>
    <row r="31" spans="1:9">
      <c r="A31" s="11" t="str">
        <f>'Catalogo Maestro'!E136</f>
        <v>MON3-006</v>
      </c>
      <c r="B31" s="7" t="str">
        <f>'Catalogo Maestro'!C136</f>
        <v>Métricas y rendimiento</v>
      </c>
      <c r="C31" s="7" t="str">
        <f>'Catalogo Maestro'!D136</f>
        <v>Capacidad</v>
      </c>
      <c r="D31" s="7" t="str">
        <f>'Catalogo Maestro'!F136</f>
        <v>Análisis de tendencia y capacidad</v>
      </c>
      <c r="E31" s="7" t="str">
        <f>'Catalogo Maestro'!G136</f>
        <v>Opcional</v>
      </c>
      <c r="F31" s="16">
        <f>'Catalogo Maestro'!J136</f>
        <v>2.5</v>
      </c>
      <c r="G31" s="16">
        <f>'Catalogo Maestro'!K136</f>
        <v>1.75</v>
      </c>
      <c r="H31" s="7" t="str">
        <f>'Catalogo Maestro'!L136</f>
        <v>Consumo, tendencia y proyección</v>
      </c>
      <c r="I31" s="12">
        <f>'Catalogo Maestro'!M136</f>
        <v>0</v>
      </c>
    </row>
    <row r="32" spans="1:9">
      <c r="A32" s="11" t="str">
        <f>'Catalogo Maestro'!E137</f>
        <v>MON3-007</v>
      </c>
      <c r="B32" s="7" t="str">
        <f>'Catalogo Maestro'!C137</f>
        <v>Métricas y rendimiento</v>
      </c>
      <c r="C32" s="7" t="str">
        <f>'Catalogo Maestro'!D137</f>
        <v>Experiencia</v>
      </c>
      <c r="D32" s="7" t="str">
        <f>'Catalogo Maestro'!F137</f>
        <v>Métrica de experiencia o transacción</v>
      </c>
      <c r="E32" s="7" t="str">
        <f>'Catalogo Maestro'!G137</f>
        <v>Opcional</v>
      </c>
      <c r="F32" s="16">
        <f>'Catalogo Maestro'!J137</f>
        <v>1.5</v>
      </c>
      <c r="G32" s="16">
        <f>'Catalogo Maestro'!K137</f>
        <v>1.0499999999999998</v>
      </c>
      <c r="H32" s="7" t="str">
        <f>'Catalogo Maestro'!L137</f>
        <v>Tiempo y resultado de transacción</v>
      </c>
      <c r="I32" s="12">
        <f>'Catalogo Maestro'!M137</f>
        <v>0</v>
      </c>
    </row>
    <row r="33" spans="1:9">
      <c r="A33" s="11" t="str">
        <f>'Catalogo Maestro'!E138</f>
        <v>MON3-008</v>
      </c>
      <c r="B33" s="7" t="str">
        <f>'Catalogo Maestro'!C138</f>
        <v>Métricas y rendimiento</v>
      </c>
      <c r="C33" s="7" t="str">
        <f>'Catalogo Maestro'!D138</f>
        <v>Calidad</v>
      </c>
      <c r="D33" s="7" t="str">
        <f>'Catalogo Maestro'!F138</f>
        <v>Prueba de umbrales y alertas</v>
      </c>
      <c r="E33" s="7" t="str">
        <f>'Catalogo Maestro'!G138</f>
        <v>Base obligatorio</v>
      </c>
      <c r="F33" s="16">
        <f>'Catalogo Maestro'!J138</f>
        <v>0.75</v>
      </c>
      <c r="G33" s="16">
        <f>'Catalogo Maestro'!K138</f>
        <v>0.52499999999999991</v>
      </c>
      <c r="H33" s="7" t="str">
        <f>'Catalogo Maestro'!L138</f>
        <v>Generación y recepción</v>
      </c>
      <c r="I33" s="12">
        <f>'Catalogo Maestro'!M138</f>
        <v>0</v>
      </c>
    </row>
    <row r="34" spans="1:9">
      <c r="A34" s="11" t="str">
        <f>'Catalogo Maestro'!E139</f>
        <v>MON3-009</v>
      </c>
      <c r="B34" s="7" t="str">
        <f>'Catalogo Maestro'!C139</f>
        <v>Métricas y rendimiento</v>
      </c>
      <c r="C34" s="7" t="str">
        <f>'Catalogo Maestro'!D139</f>
        <v>Reportes</v>
      </c>
      <c r="D34" s="7" t="str">
        <f>'Catalogo Maestro'!F139</f>
        <v>Reporte periódico de rendimiento</v>
      </c>
      <c r="E34" s="7" t="str">
        <f>'Catalogo Maestro'!G139</f>
        <v>Base incluido</v>
      </c>
      <c r="F34" s="16">
        <f>'Catalogo Maestro'!J139</f>
        <v>2</v>
      </c>
      <c r="G34" s="16">
        <f>'Catalogo Maestro'!K139</f>
        <v>1.4</v>
      </c>
      <c r="H34" s="7" t="str">
        <f>'Catalogo Maestro'!L139</f>
        <v>Indicadores, eventos y recomendaciones</v>
      </c>
      <c r="I34" s="12">
        <f>'Catalogo Maestro'!M139</f>
        <v>0</v>
      </c>
    </row>
    <row r="35" spans="1:9">
      <c r="A35" s="13" t="str">
        <f>'Catalogo Maestro'!E140</f>
        <v>MON3-010</v>
      </c>
      <c r="B35" s="14" t="str">
        <f>'Catalogo Maestro'!C140</f>
        <v>Métricas y rendimiento</v>
      </c>
      <c r="C35" s="14" t="str">
        <f>'Catalogo Maestro'!D140</f>
        <v>Operación</v>
      </c>
      <c r="D35" s="14" t="str">
        <f>'Catalogo Maestro'!F140</f>
        <v>Documentación y transferencia</v>
      </c>
      <c r="E35" s="14" t="str">
        <f>'Catalogo Maestro'!G140</f>
        <v>Base obligatorio</v>
      </c>
      <c r="F35" s="22">
        <f>'Catalogo Maestro'!J140</f>
        <v>1.5</v>
      </c>
      <c r="G35" s="22">
        <f>'Catalogo Maestro'!K140</f>
        <v>1.0499999999999998</v>
      </c>
      <c r="H35" s="14" t="str">
        <f>'Catalogo Maestro'!L140</f>
        <v>Dashboards, alertas y mantenimiento</v>
      </c>
      <c r="I35" s="15">
        <f>'Catalogo Maestro'!M140</f>
        <v>0</v>
      </c>
    </row>
  </sheetData>
  <mergeCells count="2">
    <mergeCell ref="A1:I1"/>
    <mergeCell ref="A3:I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34"/>
  <sheetViews>
    <sheetView workbookViewId="0"/>
  </sheetViews>
  <sheetFormatPr baseColWidth="10" defaultColWidth="9" defaultRowHeight="14.25"/>
  <cols>
    <col min="1" max="1" width="14" customWidth="1"/>
    <col min="2" max="2" width="42" customWidth="1"/>
    <col min="3" max="3" width="18" customWidth="1"/>
    <col min="4" max="4" width="48" customWidth="1"/>
    <col min="5" max="5" width="18" customWidth="1"/>
    <col min="6" max="7" width="16" customWidth="1"/>
    <col min="8" max="8" width="62" customWidth="1"/>
    <col min="9" max="9" width="52" customWidth="1"/>
  </cols>
  <sheetData>
    <row r="1" spans="1:9" ht="33.950000000000003" customHeight="1">
      <c r="A1" s="36" t="s">
        <v>1146</v>
      </c>
      <c r="B1" s="36"/>
      <c r="C1" s="36"/>
      <c r="D1" s="36"/>
      <c r="E1" s="36"/>
      <c r="F1" s="36"/>
      <c r="G1" s="36"/>
      <c r="H1" s="36"/>
      <c r="I1" s="36"/>
    </row>
    <row r="3" spans="1:9" ht="33.950000000000003" customHeight="1">
      <c r="A3" s="37" t="s">
        <v>1142</v>
      </c>
      <c r="B3" s="37"/>
      <c r="C3" s="37"/>
      <c r="D3" s="37"/>
      <c r="E3" s="37"/>
      <c r="F3" s="37"/>
      <c r="G3" s="37"/>
      <c r="H3" s="37"/>
      <c r="I3" s="37"/>
    </row>
    <row r="5" spans="1:9" ht="27.95" customHeight="1">
      <c r="A5" s="6" t="s">
        <v>95</v>
      </c>
      <c r="B5" s="6" t="s">
        <v>499</v>
      </c>
      <c r="C5" s="6" t="s">
        <v>149</v>
      </c>
      <c r="D5" s="6" t="s">
        <v>151</v>
      </c>
      <c r="E5" s="6" t="s">
        <v>152</v>
      </c>
      <c r="F5" s="6" t="s">
        <v>1143</v>
      </c>
      <c r="G5" s="6" t="s">
        <v>99</v>
      </c>
      <c r="H5" s="6" t="s">
        <v>156</v>
      </c>
      <c r="I5" s="6" t="s">
        <v>157</v>
      </c>
    </row>
    <row r="6" spans="1:9">
      <c r="A6" s="8" t="str">
        <f>'Catalogo Maestro'!E141</f>
        <v>BCP1-001</v>
      </c>
      <c r="B6" s="9" t="str">
        <f>'Catalogo Maestro'!C141</f>
        <v>Implementación de respaldos</v>
      </c>
      <c r="C6" s="9" t="str">
        <f>'Catalogo Maestro'!D141</f>
        <v>Diagnóstico</v>
      </c>
      <c r="D6" s="9" t="str">
        <f>'Catalogo Maestro'!F141</f>
        <v>Inventario de activos y datos críticos</v>
      </c>
      <c r="E6" s="9" t="str">
        <f>'Catalogo Maestro'!G141</f>
        <v>Base obligatorio</v>
      </c>
      <c r="F6" s="21">
        <f>'Catalogo Maestro'!J141</f>
        <v>0.75</v>
      </c>
      <c r="G6" s="21">
        <f>'Catalogo Maestro'!K141</f>
        <v>0.52499999999999991</v>
      </c>
      <c r="H6" s="9" t="str">
        <f>'Catalogo Maestro'!L141</f>
        <v>Sistemas, datos, propietarios y criticidad</v>
      </c>
      <c r="I6" s="10">
        <f>'Catalogo Maestro'!M141</f>
        <v>0</v>
      </c>
    </row>
    <row r="7" spans="1:9" ht="24">
      <c r="A7" s="11" t="str">
        <f>'Catalogo Maestro'!E142</f>
        <v>BCP1-002</v>
      </c>
      <c r="B7" s="7" t="str">
        <f>'Catalogo Maestro'!C142</f>
        <v>Implementación de respaldos</v>
      </c>
      <c r="C7" s="7" t="str">
        <f>'Catalogo Maestro'!D142</f>
        <v>Diseño</v>
      </c>
      <c r="D7" s="7" t="str">
        <f>'Catalogo Maestro'!F142</f>
        <v>Confirmación de RPO y RTO operativo para respaldos</v>
      </c>
      <c r="E7" s="7" t="str">
        <f>'Catalogo Maestro'!G142</f>
        <v>Base obligatorio</v>
      </c>
      <c r="F7" s="16">
        <f>'Catalogo Maestro'!J142</f>
        <v>1</v>
      </c>
      <c r="G7" s="16">
        <f>'Catalogo Maestro'!K142</f>
        <v>0.7</v>
      </c>
      <c r="H7" s="7" t="str">
        <f>'Catalogo Maestro'!L142</f>
        <v>Validación básica de objetivos necesarios para definir frecuencia y restauración del respaldo.</v>
      </c>
      <c r="I7" s="12" t="str">
        <f>'Catalogo Maestro'!M142</f>
        <v>Si se incluye BCP-02, reutilizar la definición formal de BCP2-003 y no duplicar este esfuerzo.</v>
      </c>
    </row>
    <row r="8" spans="1:9">
      <c r="A8" s="11" t="str">
        <f>'Catalogo Maestro'!E143</f>
        <v>BCP1-003</v>
      </c>
      <c r="B8" s="7" t="str">
        <f>'Catalogo Maestro'!C143</f>
        <v>Implementación de respaldos</v>
      </c>
      <c r="C8" s="7" t="str">
        <f>'Catalogo Maestro'!D143</f>
        <v>Diseño</v>
      </c>
      <c r="D8" s="7" t="str">
        <f>'Catalogo Maestro'!F143</f>
        <v>Diseño de política de respaldo</v>
      </c>
      <c r="E8" s="7" t="str">
        <f>'Catalogo Maestro'!G143</f>
        <v>Base obligatorio</v>
      </c>
      <c r="F8" s="16">
        <f>'Catalogo Maestro'!J143</f>
        <v>2</v>
      </c>
      <c r="G8" s="16">
        <f>'Catalogo Maestro'!K143</f>
        <v>1.4</v>
      </c>
      <c r="H8" s="7" t="str">
        <f>'Catalogo Maestro'!L143</f>
        <v>Frecuencia, retención, cifrado y ubicación</v>
      </c>
      <c r="I8" s="12">
        <f>'Catalogo Maestro'!M143</f>
        <v>0</v>
      </c>
    </row>
    <row r="9" spans="1:9">
      <c r="A9" s="11" t="str">
        <f>'Catalogo Maestro'!E144</f>
        <v>BCP1-004</v>
      </c>
      <c r="B9" s="7" t="str">
        <f>'Catalogo Maestro'!C144</f>
        <v>Implementación de respaldos</v>
      </c>
      <c r="C9" s="7" t="str">
        <f>'Catalogo Maestro'!D144</f>
        <v>Implementación</v>
      </c>
      <c r="D9" s="7" t="str">
        <f>'Catalogo Maestro'!F144</f>
        <v>Configuración de job de respaldo</v>
      </c>
      <c r="E9" s="7" t="str">
        <f>'Catalogo Maestro'!G144</f>
        <v>Base incluido</v>
      </c>
      <c r="F9" s="16">
        <f>'Catalogo Maestro'!J144</f>
        <v>1.5</v>
      </c>
      <c r="G9" s="16">
        <f>'Catalogo Maestro'!K144</f>
        <v>1.0499999999999998</v>
      </c>
      <c r="H9" s="7" t="str">
        <f>'Catalogo Maestro'!L144</f>
        <v>Origen, destino, horario y retención</v>
      </c>
      <c r="I9" s="12">
        <f>'Catalogo Maestro'!M144</f>
        <v>0</v>
      </c>
    </row>
    <row r="10" spans="1:9">
      <c r="A10" s="11" t="str">
        <f>'Catalogo Maestro'!E145</f>
        <v>BCP1-005</v>
      </c>
      <c r="B10" s="7" t="str">
        <f>'Catalogo Maestro'!C145</f>
        <v>Implementación de respaldos</v>
      </c>
      <c r="C10" s="7" t="str">
        <f>'Catalogo Maestro'!D145</f>
        <v>Implementación</v>
      </c>
      <c r="D10" s="7" t="str">
        <f>'Catalogo Maestro'!F145</f>
        <v>Configuración de cifrado y acceso</v>
      </c>
      <c r="E10" s="7" t="str">
        <f>'Catalogo Maestro'!G145</f>
        <v>Base incluido</v>
      </c>
      <c r="F10" s="16">
        <f>'Catalogo Maestro'!J145</f>
        <v>1.5</v>
      </c>
      <c r="G10" s="16">
        <f>'Catalogo Maestro'!K145</f>
        <v>1.0499999999999998</v>
      </c>
      <c r="H10" s="7" t="str">
        <f>'Catalogo Maestro'!L145</f>
        <v>Claves, permisos y acceso restringido</v>
      </c>
      <c r="I10" s="12">
        <f>'Catalogo Maestro'!M145</f>
        <v>0</v>
      </c>
    </row>
    <row r="11" spans="1:9">
      <c r="A11" s="11" t="str">
        <f>'Catalogo Maestro'!E146</f>
        <v>BCP1-006</v>
      </c>
      <c r="B11" s="7" t="str">
        <f>'Catalogo Maestro'!C146</f>
        <v>Implementación de respaldos</v>
      </c>
      <c r="C11" s="7" t="str">
        <f>'Catalogo Maestro'!D146</f>
        <v>Implementación</v>
      </c>
      <c r="D11" s="7" t="str">
        <f>'Catalogo Maestro'!F146</f>
        <v>Copia externa o segunda ubicación</v>
      </c>
      <c r="E11" s="7" t="str">
        <f>'Catalogo Maestro'!G146</f>
        <v>Opcional</v>
      </c>
      <c r="F11" s="16">
        <f>'Catalogo Maestro'!J146</f>
        <v>2</v>
      </c>
      <c r="G11" s="16">
        <f>'Catalogo Maestro'!K146</f>
        <v>1.4</v>
      </c>
      <c r="H11" s="7" t="str">
        <f>'Catalogo Maestro'!L146</f>
        <v>Transferencia, validación y retención</v>
      </c>
      <c r="I11" s="12">
        <f>'Catalogo Maestro'!M146</f>
        <v>0</v>
      </c>
    </row>
    <row r="12" spans="1:9">
      <c r="A12" s="11" t="str">
        <f>'Catalogo Maestro'!E147</f>
        <v>BCP1-007</v>
      </c>
      <c r="B12" s="7" t="str">
        <f>'Catalogo Maestro'!C147</f>
        <v>Implementación de respaldos</v>
      </c>
      <c r="C12" s="7" t="str">
        <f>'Catalogo Maestro'!D147</f>
        <v>Validación</v>
      </c>
      <c r="D12" s="7" t="str">
        <f>'Catalogo Maestro'!F147</f>
        <v>Prueba de respaldo completo</v>
      </c>
      <c r="E12" s="7" t="str">
        <f>'Catalogo Maestro'!G147</f>
        <v>Base obligatorio</v>
      </c>
      <c r="F12" s="16">
        <f>'Catalogo Maestro'!J147</f>
        <v>0.75</v>
      </c>
      <c r="G12" s="16">
        <f>'Catalogo Maestro'!K147</f>
        <v>0.52499999999999991</v>
      </c>
      <c r="H12" s="7" t="str">
        <f>'Catalogo Maestro'!L147</f>
        <v>Ejecución, duración y resultado</v>
      </c>
      <c r="I12" s="12">
        <f>'Catalogo Maestro'!M147</f>
        <v>0</v>
      </c>
    </row>
    <row r="13" spans="1:9">
      <c r="A13" s="11" t="str">
        <f>'Catalogo Maestro'!E148</f>
        <v>BCP1-008</v>
      </c>
      <c r="B13" s="7" t="str">
        <f>'Catalogo Maestro'!C148</f>
        <v>Implementación de respaldos</v>
      </c>
      <c r="C13" s="7" t="str">
        <f>'Catalogo Maestro'!D148</f>
        <v>Restauración</v>
      </c>
      <c r="D13" s="7" t="str">
        <f>'Catalogo Maestro'!F148</f>
        <v>Prueba de restauración</v>
      </c>
      <c r="E13" s="7" t="str">
        <f>'Catalogo Maestro'!G148</f>
        <v>Base obligatorio</v>
      </c>
      <c r="F13" s="16">
        <f>'Catalogo Maestro'!J148</f>
        <v>2</v>
      </c>
      <c r="G13" s="16">
        <f>'Catalogo Maestro'!K148</f>
        <v>1.4</v>
      </c>
      <c r="H13" s="7" t="str">
        <f>'Catalogo Maestro'!L148</f>
        <v>Recuperación y validación de integridad</v>
      </c>
      <c r="I13" s="12">
        <f>'Catalogo Maestro'!M148</f>
        <v>0</v>
      </c>
    </row>
    <row r="14" spans="1:9">
      <c r="A14" s="11" t="str">
        <f>'Catalogo Maestro'!E149</f>
        <v>BCP1-009</v>
      </c>
      <c r="B14" s="7" t="str">
        <f>'Catalogo Maestro'!C149</f>
        <v>Implementación de respaldos</v>
      </c>
      <c r="C14" s="7" t="str">
        <f>'Catalogo Maestro'!D149</f>
        <v>Alertas</v>
      </c>
      <c r="D14" s="7" t="str">
        <f>'Catalogo Maestro'!F149</f>
        <v>Configuración de alerta de fallo</v>
      </c>
      <c r="E14" s="7" t="str">
        <f>'Catalogo Maestro'!G149</f>
        <v>Base incluido</v>
      </c>
      <c r="F14" s="16">
        <f>'Catalogo Maestro'!J149</f>
        <v>0.75</v>
      </c>
      <c r="G14" s="16">
        <f>'Catalogo Maestro'!K149</f>
        <v>0.52499999999999991</v>
      </c>
      <c r="H14" s="7" t="str">
        <f>'Catalogo Maestro'!L149</f>
        <v>Fallo, retraso o ausencia de respaldo</v>
      </c>
      <c r="I14" s="12">
        <f>'Catalogo Maestro'!M149</f>
        <v>0</v>
      </c>
    </row>
    <row r="15" spans="1:9" ht="24">
      <c r="A15" s="11" t="str">
        <f>'Catalogo Maestro'!E150</f>
        <v>BCP1-010</v>
      </c>
      <c r="B15" s="7" t="str">
        <f>'Catalogo Maestro'!C150</f>
        <v>Implementación de respaldos</v>
      </c>
      <c r="C15" s="7" t="str">
        <f>'Catalogo Maestro'!D150</f>
        <v>Operación</v>
      </c>
      <c r="D15" s="7" t="str">
        <f>'Catalogo Maestro'!F150</f>
        <v>Runbook de respaldo y restauración</v>
      </c>
      <c r="E15" s="7" t="str">
        <f>'Catalogo Maestro'!G150</f>
        <v>Base obligatorio</v>
      </c>
      <c r="F15" s="16">
        <f>'Catalogo Maestro'!J150</f>
        <v>2</v>
      </c>
      <c r="G15" s="16">
        <f>'Catalogo Maestro'!K150</f>
        <v>1.4</v>
      </c>
      <c r="H15" s="7" t="str">
        <f>'Catalogo Maestro'!L150</f>
        <v>Procedimiento operativo del job, validación, alertas y restauración del respaldo.</v>
      </c>
      <c r="I15" s="12" t="str">
        <f>'Catalogo Maestro'!M150</f>
        <v>No reemplaza el procedimiento integral de recuperación ante desastres de BCP2-005.</v>
      </c>
    </row>
    <row r="16" spans="1:9">
      <c r="A16" s="11" t="str">
        <f>'Catalogo Maestro'!E151</f>
        <v>BCP2-001</v>
      </c>
      <c r="B16" s="7" t="str">
        <f>'Catalogo Maestro'!C151</f>
        <v>Plan de recuperación ante desastres</v>
      </c>
      <c r="C16" s="7" t="str">
        <f>'Catalogo Maestro'!D151</f>
        <v>Análisis</v>
      </c>
      <c r="D16" s="7" t="str">
        <f>'Catalogo Maestro'!F151</f>
        <v>Análisis de impacto del negocio</v>
      </c>
      <c r="E16" s="7" t="str">
        <f>'Catalogo Maestro'!G151</f>
        <v>Base obligatorio</v>
      </c>
      <c r="F16" s="16">
        <f>'Catalogo Maestro'!J151</f>
        <v>1.25</v>
      </c>
      <c r="G16" s="16">
        <f>'Catalogo Maestro'!K151</f>
        <v>0.875</v>
      </c>
      <c r="H16" s="7" t="str">
        <f>'Catalogo Maestro'!L151</f>
        <v>Criticidad, dependencia e impacto</v>
      </c>
      <c r="I16" s="12">
        <f>'Catalogo Maestro'!M151</f>
        <v>0</v>
      </c>
    </row>
    <row r="17" spans="1:9">
      <c r="A17" s="11" t="str">
        <f>'Catalogo Maestro'!E152</f>
        <v>BCP2-002</v>
      </c>
      <c r="B17" s="7" t="str">
        <f>'Catalogo Maestro'!C152</f>
        <v>Plan de recuperación ante desastres</v>
      </c>
      <c r="C17" s="7" t="str">
        <f>'Catalogo Maestro'!D152</f>
        <v>Análisis</v>
      </c>
      <c r="D17" s="7" t="str">
        <f>'Catalogo Maestro'!F152</f>
        <v>Inventario de dependencias críticas</v>
      </c>
      <c r="E17" s="7" t="str">
        <f>'Catalogo Maestro'!G152</f>
        <v>Base obligatorio</v>
      </c>
      <c r="F17" s="16">
        <f>'Catalogo Maestro'!J152</f>
        <v>0.75</v>
      </c>
      <c r="G17" s="16">
        <f>'Catalogo Maestro'!K152</f>
        <v>0.52499999999999991</v>
      </c>
      <c r="H17" s="7" t="str">
        <f>'Catalogo Maestro'!L152</f>
        <v>Infraestructura, datos, terceros y personas</v>
      </c>
      <c r="I17" s="12">
        <f>'Catalogo Maestro'!M152</f>
        <v>0</v>
      </c>
    </row>
    <row r="18" spans="1:9" ht="24">
      <c r="A18" s="11" t="str">
        <f>'Catalogo Maestro'!E153</f>
        <v>BCP2-003</v>
      </c>
      <c r="B18" s="7" t="str">
        <f>'Catalogo Maestro'!C153</f>
        <v>Plan de recuperación ante desastres</v>
      </c>
      <c r="C18" s="7" t="str">
        <f>'Catalogo Maestro'!D153</f>
        <v>Objetivos</v>
      </c>
      <c r="D18" s="7" t="str">
        <f>'Catalogo Maestro'!F153</f>
        <v>Definición formal de RPO y RTO por servicio</v>
      </c>
      <c r="E18" s="7" t="str">
        <f>'Catalogo Maestro'!G153</f>
        <v>Base obligatorio</v>
      </c>
      <c r="F18" s="16">
        <f>'Catalogo Maestro'!J153</f>
        <v>1</v>
      </c>
      <c r="G18" s="16">
        <f>'Catalogo Maestro'!K153</f>
        <v>0.7</v>
      </c>
      <c r="H18" s="7" t="str">
        <f>'Catalogo Maestro'!L153</f>
        <v>Objetivos aprobados por servicio crítico, alineados con impacto, dependencias y estrategia de recuperación.</v>
      </c>
      <c r="I18" s="12" t="str">
        <f>'Catalogo Maestro'!M153</f>
        <v>Sustituye la definición básica de BCP1-002 cuando ambos servicios forman parte de la misma propuesta.</v>
      </c>
    </row>
    <row r="19" spans="1:9">
      <c r="A19" s="11" t="str">
        <f>'Catalogo Maestro'!E154</f>
        <v>BCP2-004</v>
      </c>
      <c r="B19" s="7" t="str">
        <f>'Catalogo Maestro'!C154</f>
        <v>Plan de recuperación ante desastres</v>
      </c>
      <c r="C19" s="7" t="str">
        <f>'Catalogo Maestro'!D154</f>
        <v>Estrategia</v>
      </c>
      <c r="D19" s="7" t="str">
        <f>'Catalogo Maestro'!F154</f>
        <v>Diseño de estrategia de recuperación</v>
      </c>
      <c r="E19" s="7" t="str">
        <f>'Catalogo Maestro'!G154</f>
        <v>Base obligatorio</v>
      </c>
      <c r="F19" s="16">
        <f>'Catalogo Maestro'!J154</f>
        <v>2</v>
      </c>
      <c r="G19" s="16">
        <f>'Catalogo Maestro'!K154</f>
        <v>1.4</v>
      </c>
      <c r="H19" s="7" t="str">
        <f>'Catalogo Maestro'!L154</f>
        <v>Sitio, restauración, prioridades y secuencia</v>
      </c>
      <c r="I19" s="12">
        <f>'Catalogo Maestro'!M154</f>
        <v>0</v>
      </c>
    </row>
    <row r="20" spans="1:9" ht="24">
      <c r="A20" s="11" t="str">
        <f>'Catalogo Maestro'!E155</f>
        <v>BCP2-005</v>
      </c>
      <c r="B20" s="7" t="str">
        <f>'Catalogo Maestro'!C155</f>
        <v>Plan de recuperación ante desastres</v>
      </c>
      <c r="C20" s="7" t="str">
        <f>'Catalogo Maestro'!D155</f>
        <v>Procedimientos</v>
      </c>
      <c r="D20" s="7" t="str">
        <f>'Catalogo Maestro'!F155</f>
        <v>Creación de procedimiento de recuperación</v>
      </c>
      <c r="E20" s="7" t="str">
        <f>'Catalogo Maestro'!G155</f>
        <v>Base incluido</v>
      </c>
      <c r="F20" s="16">
        <f>'Catalogo Maestro'!J155</f>
        <v>2.5</v>
      </c>
      <c r="G20" s="16">
        <f>'Catalogo Maestro'!K155</f>
        <v>1.75</v>
      </c>
      <c r="H20" s="7" t="str">
        <f>'Catalogo Maestro'!L155</f>
        <v>Secuencia integral para recuperar servicios, dependencias, datos y responsables después de un desastre.</v>
      </c>
      <c r="I20" s="12" t="str">
        <f>'Catalogo Maestro'!M155</f>
        <v>No duplica el procedimiento operativo del job de respaldo documentado en BCP1-010.</v>
      </c>
    </row>
    <row r="21" spans="1:9">
      <c r="A21" s="11" t="str">
        <f>'Catalogo Maestro'!E156</f>
        <v>BCP2-006</v>
      </c>
      <c r="B21" s="7" t="str">
        <f>'Catalogo Maestro'!C156</f>
        <v>Plan de recuperación ante desastres</v>
      </c>
      <c r="C21" s="7" t="str">
        <f>'Catalogo Maestro'!D156</f>
        <v>Comunicación</v>
      </c>
      <c r="D21" s="7" t="str">
        <f>'Catalogo Maestro'!F156</f>
        <v>Plan de comunicación y escalamiento</v>
      </c>
      <c r="E21" s="7" t="str">
        <f>'Catalogo Maestro'!G156</f>
        <v>Base obligatorio</v>
      </c>
      <c r="F21" s="16">
        <f>'Catalogo Maestro'!J156</f>
        <v>1.5</v>
      </c>
      <c r="G21" s="16">
        <f>'Catalogo Maestro'!K156</f>
        <v>1.0499999999999998</v>
      </c>
      <c r="H21" s="7" t="str">
        <f>'Catalogo Maestro'!L156</f>
        <v>Contactos, severidad y mensajes</v>
      </c>
      <c r="I21" s="12">
        <f>'Catalogo Maestro'!M156</f>
        <v>0</v>
      </c>
    </row>
    <row r="22" spans="1:9">
      <c r="A22" s="11" t="str">
        <f>'Catalogo Maestro'!E157</f>
        <v>BCP2-007</v>
      </c>
      <c r="B22" s="7" t="str">
        <f>'Catalogo Maestro'!C157</f>
        <v>Plan de recuperación ante desastres</v>
      </c>
      <c r="C22" s="7" t="str">
        <f>'Catalogo Maestro'!D157</f>
        <v>Pruebas</v>
      </c>
      <c r="D22" s="7" t="str">
        <f>'Catalogo Maestro'!F157</f>
        <v>Diseño de escenario de simulación</v>
      </c>
      <c r="E22" s="7" t="str">
        <f>'Catalogo Maestro'!G157</f>
        <v>Base obligatorio</v>
      </c>
      <c r="F22" s="16">
        <f>'Catalogo Maestro'!J157</f>
        <v>2</v>
      </c>
      <c r="G22" s="16">
        <f>'Catalogo Maestro'!K157</f>
        <v>1.4</v>
      </c>
      <c r="H22" s="7" t="str">
        <f>'Catalogo Maestro'!L157</f>
        <v>Alcance, éxito y riesgos</v>
      </c>
      <c r="I22" s="12">
        <f>'Catalogo Maestro'!M157</f>
        <v>0</v>
      </c>
    </row>
    <row r="23" spans="1:9">
      <c r="A23" s="11" t="str">
        <f>'Catalogo Maestro'!E158</f>
        <v>BCP2-008</v>
      </c>
      <c r="B23" s="7" t="str">
        <f>'Catalogo Maestro'!C158</f>
        <v>Plan de recuperación ante desastres</v>
      </c>
      <c r="C23" s="7" t="str">
        <f>'Catalogo Maestro'!D158</f>
        <v>Pruebas</v>
      </c>
      <c r="D23" s="7" t="str">
        <f>'Catalogo Maestro'!F158</f>
        <v>Ejecución de simulación</v>
      </c>
      <c r="E23" s="7" t="str">
        <f>'Catalogo Maestro'!G158</f>
        <v>Base obligatorio</v>
      </c>
      <c r="F23" s="16">
        <f>'Catalogo Maestro'!J158</f>
        <v>4</v>
      </c>
      <c r="G23" s="16">
        <f>'Catalogo Maestro'!K158</f>
        <v>2.8</v>
      </c>
      <c r="H23" s="7" t="str">
        <f>'Catalogo Maestro'!L158</f>
        <v>Tiempos, decisiones y evidencias</v>
      </c>
      <c r="I23" s="12">
        <f>'Catalogo Maestro'!M158</f>
        <v>0</v>
      </c>
    </row>
    <row r="24" spans="1:9">
      <c r="A24" s="11" t="str">
        <f>'Catalogo Maestro'!E159</f>
        <v>BCP2-009</v>
      </c>
      <c r="B24" s="7" t="str">
        <f>'Catalogo Maestro'!C159</f>
        <v>Plan de recuperación ante desastres</v>
      </c>
      <c r="C24" s="7" t="str">
        <f>'Catalogo Maestro'!D159</f>
        <v>Mejora</v>
      </c>
      <c r="D24" s="7" t="str">
        <f>'Catalogo Maestro'!F159</f>
        <v>Informe de brechas y plan de mejora</v>
      </c>
      <c r="E24" s="7" t="str">
        <f>'Catalogo Maestro'!G159</f>
        <v>Base obligatorio</v>
      </c>
      <c r="F24" s="16">
        <f>'Catalogo Maestro'!J159</f>
        <v>2</v>
      </c>
      <c r="G24" s="16">
        <f>'Catalogo Maestro'!K159</f>
        <v>1.4</v>
      </c>
      <c r="H24" s="7" t="str">
        <f>'Catalogo Maestro'!L159</f>
        <v>Hallazgos, responsables y fechas</v>
      </c>
      <c r="I24" s="12">
        <f>'Catalogo Maestro'!M159</f>
        <v>0</v>
      </c>
    </row>
    <row r="25" spans="1:9">
      <c r="A25" s="11" t="str">
        <f>'Catalogo Maestro'!E160</f>
        <v>BCP2-010</v>
      </c>
      <c r="B25" s="7" t="str">
        <f>'Catalogo Maestro'!C160</f>
        <v>Plan de recuperación ante desastres</v>
      </c>
      <c r="C25" s="7" t="str">
        <f>'Catalogo Maestro'!D160</f>
        <v>Operación</v>
      </c>
      <c r="D25" s="7" t="str">
        <f>'Catalogo Maestro'!F160</f>
        <v>Calendario de pruebas y revisión</v>
      </c>
      <c r="E25" s="7" t="str">
        <f>'Catalogo Maestro'!G160</f>
        <v>Base incluido</v>
      </c>
      <c r="F25" s="16">
        <f>'Catalogo Maestro'!J160</f>
        <v>1</v>
      </c>
      <c r="G25" s="16">
        <f>'Catalogo Maestro'!K160</f>
        <v>0.7</v>
      </c>
      <c r="H25" s="7" t="str">
        <f>'Catalogo Maestro'!L160</f>
        <v>Periodicidad y responsables</v>
      </c>
      <c r="I25" s="12">
        <f>'Catalogo Maestro'!M160</f>
        <v>0</v>
      </c>
    </row>
    <row r="26" spans="1:9">
      <c r="A26" s="11" t="str">
        <f>'Catalogo Maestro'!E161</f>
        <v>BCP3-001</v>
      </c>
      <c r="B26" s="7" t="str">
        <f>'Catalogo Maestro'!C161</f>
        <v>Retención y ciclo de vida de datos</v>
      </c>
      <c r="C26" s="7" t="str">
        <f>'Catalogo Maestro'!D161</f>
        <v>Diagnóstico</v>
      </c>
      <c r="D26" s="7" t="str">
        <f>'Catalogo Maestro'!F161</f>
        <v>Inventario y clasificación de información</v>
      </c>
      <c r="E26" s="7" t="str">
        <f>'Catalogo Maestro'!G161</f>
        <v>Base obligatorio</v>
      </c>
      <c r="F26" s="16">
        <f>'Catalogo Maestro'!J161</f>
        <v>0.75</v>
      </c>
      <c r="G26" s="16">
        <f>'Catalogo Maestro'!K161</f>
        <v>0.52499999999999991</v>
      </c>
      <c r="H26" s="7" t="str">
        <f>'Catalogo Maestro'!L161</f>
        <v>Tipo, criticidad y propietario</v>
      </c>
      <c r="I26" s="12">
        <f>'Catalogo Maestro'!M161</f>
        <v>0</v>
      </c>
    </row>
    <row r="27" spans="1:9">
      <c r="A27" s="11" t="str">
        <f>'Catalogo Maestro'!E162</f>
        <v>BCP3-002</v>
      </c>
      <c r="B27" s="7" t="str">
        <f>'Catalogo Maestro'!C162</f>
        <v>Retención y ciclo de vida de datos</v>
      </c>
      <c r="C27" s="7" t="str">
        <f>'Catalogo Maestro'!D162</f>
        <v>Requisitos</v>
      </c>
      <c r="D27" s="7" t="str">
        <f>'Catalogo Maestro'!F162</f>
        <v>Levantamiento de obligaciones de retención</v>
      </c>
      <c r="E27" s="7" t="str">
        <f>'Catalogo Maestro'!G162</f>
        <v>Base obligatorio</v>
      </c>
      <c r="F27" s="16">
        <f>'Catalogo Maestro'!J162</f>
        <v>1</v>
      </c>
      <c r="G27" s="16">
        <f>'Catalogo Maestro'!K162</f>
        <v>0.7</v>
      </c>
      <c r="H27" s="7" t="str">
        <f>'Catalogo Maestro'!L162</f>
        <v>Necesidades contractuales y operativas</v>
      </c>
      <c r="I27" s="12">
        <f>'Catalogo Maestro'!M162</f>
        <v>0</v>
      </c>
    </row>
    <row r="28" spans="1:9">
      <c r="A28" s="11" t="str">
        <f>'Catalogo Maestro'!E163</f>
        <v>BCP3-003</v>
      </c>
      <c r="B28" s="7" t="str">
        <f>'Catalogo Maestro'!C163</f>
        <v>Retención y ciclo de vida de datos</v>
      </c>
      <c r="C28" s="7" t="str">
        <f>'Catalogo Maestro'!D163</f>
        <v>Diseño</v>
      </c>
      <c r="D28" s="7" t="str">
        <f>'Catalogo Maestro'!F163</f>
        <v>Diseño de matriz de retención</v>
      </c>
      <c r="E28" s="7" t="str">
        <f>'Catalogo Maestro'!G163</f>
        <v>Base obligatorio</v>
      </c>
      <c r="F28" s="16">
        <f>'Catalogo Maestro'!J163</f>
        <v>1</v>
      </c>
      <c r="G28" s="16">
        <f>'Catalogo Maestro'!K163</f>
        <v>0.7</v>
      </c>
      <c r="H28" s="7" t="str">
        <f>'Catalogo Maestro'!L163</f>
        <v>Periodo, evento inicial y disposición</v>
      </c>
      <c r="I28" s="12">
        <f>'Catalogo Maestro'!M163</f>
        <v>0</v>
      </c>
    </row>
    <row r="29" spans="1:9">
      <c r="A29" s="11" t="str">
        <f>'Catalogo Maestro'!E164</f>
        <v>BCP3-004</v>
      </c>
      <c r="B29" s="7" t="str">
        <f>'Catalogo Maestro'!C164</f>
        <v>Retención y ciclo de vida de datos</v>
      </c>
      <c r="C29" s="7" t="str">
        <f>'Catalogo Maestro'!D164</f>
        <v>Implementación</v>
      </c>
      <c r="D29" s="7" t="str">
        <f>'Catalogo Maestro'!F164</f>
        <v>Configuración de política de retención</v>
      </c>
      <c r="E29" s="7" t="str">
        <f>'Catalogo Maestro'!G164</f>
        <v>Base incluido</v>
      </c>
      <c r="F29" s="16">
        <f>'Catalogo Maestro'!J164</f>
        <v>2</v>
      </c>
      <c r="G29" s="16">
        <f>'Catalogo Maestro'!K164</f>
        <v>1.4</v>
      </c>
      <c r="H29" s="7" t="str">
        <f>'Catalogo Maestro'!L164</f>
        <v>Archivado, conservación y eliminación</v>
      </c>
      <c r="I29" s="12">
        <f>'Catalogo Maestro'!M164</f>
        <v>0</v>
      </c>
    </row>
    <row r="30" spans="1:9">
      <c r="A30" s="11" t="str">
        <f>'Catalogo Maestro'!E165</f>
        <v>BCP3-005</v>
      </c>
      <c r="B30" s="7" t="str">
        <f>'Catalogo Maestro'!C165</f>
        <v>Retención y ciclo de vida de datos</v>
      </c>
      <c r="C30" s="7" t="str">
        <f>'Catalogo Maestro'!D165</f>
        <v>Implementación</v>
      </c>
      <c r="D30" s="7" t="str">
        <f>'Catalogo Maestro'!F165</f>
        <v>Configuración de almacenamiento de archivo</v>
      </c>
      <c r="E30" s="7" t="str">
        <f>'Catalogo Maestro'!G165</f>
        <v>Opcional</v>
      </c>
      <c r="F30" s="16">
        <f>'Catalogo Maestro'!J165</f>
        <v>2</v>
      </c>
      <c r="G30" s="16">
        <f>'Catalogo Maestro'!K165</f>
        <v>1.4</v>
      </c>
      <c r="H30" s="7" t="str">
        <f>'Catalogo Maestro'!L165</f>
        <v>Ubicación, acceso y costos</v>
      </c>
      <c r="I30" s="12">
        <f>'Catalogo Maestro'!M165</f>
        <v>0</v>
      </c>
    </row>
    <row r="31" spans="1:9">
      <c r="A31" s="11" t="str">
        <f>'Catalogo Maestro'!E166</f>
        <v>BCP3-006</v>
      </c>
      <c r="B31" s="7" t="str">
        <f>'Catalogo Maestro'!C166</f>
        <v>Retención y ciclo de vida de datos</v>
      </c>
      <c r="C31" s="7" t="str">
        <f>'Catalogo Maestro'!D166</f>
        <v>Control</v>
      </c>
      <c r="D31" s="7" t="str">
        <f>'Catalogo Maestro'!F166</f>
        <v>Revisión de excepciones y bloqueos</v>
      </c>
      <c r="E31" s="7" t="str">
        <f>'Catalogo Maestro'!G166</f>
        <v>Base incluido</v>
      </c>
      <c r="F31" s="16">
        <f>'Catalogo Maestro'!J166</f>
        <v>0.75</v>
      </c>
      <c r="G31" s="16">
        <f>'Catalogo Maestro'!K166</f>
        <v>0.52499999999999991</v>
      </c>
      <c r="H31" s="7" t="str">
        <f>'Catalogo Maestro'!L166</f>
        <v>Litigio, auditoría o necesidad especial</v>
      </c>
      <c r="I31" s="12">
        <f>'Catalogo Maestro'!M166</f>
        <v>0</v>
      </c>
    </row>
    <row r="32" spans="1:9">
      <c r="A32" s="11" t="str">
        <f>'Catalogo Maestro'!E167</f>
        <v>BCP3-007</v>
      </c>
      <c r="B32" s="7" t="str">
        <f>'Catalogo Maestro'!C167</f>
        <v>Retención y ciclo de vida de datos</v>
      </c>
      <c r="C32" s="7" t="str">
        <f>'Catalogo Maestro'!D167</f>
        <v>Validación</v>
      </c>
      <c r="D32" s="7" t="str">
        <f>'Catalogo Maestro'!F167</f>
        <v>Prueba de aplicación de política</v>
      </c>
      <c r="E32" s="7" t="str">
        <f>'Catalogo Maestro'!G167</f>
        <v>Base obligatorio</v>
      </c>
      <c r="F32" s="16">
        <f>'Catalogo Maestro'!J167</f>
        <v>1</v>
      </c>
      <c r="G32" s="16">
        <f>'Catalogo Maestro'!K167</f>
        <v>0.7</v>
      </c>
      <c r="H32" s="7" t="str">
        <f>'Catalogo Maestro'!L167</f>
        <v>Conservación, archivo y eliminación</v>
      </c>
      <c r="I32" s="12">
        <f>'Catalogo Maestro'!M167</f>
        <v>0</v>
      </c>
    </row>
    <row r="33" spans="1:9">
      <c r="A33" s="11" t="str">
        <f>'Catalogo Maestro'!E168</f>
        <v>BCP3-008</v>
      </c>
      <c r="B33" s="7" t="str">
        <f>'Catalogo Maestro'!C168</f>
        <v>Retención y ciclo de vida de datos</v>
      </c>
      <c r="C33" s="7" t="str">
        <f>'Catalogo Maestro'!D168</f>
        <v>Gobierno</v>
      </c>
      <c r="D33" s="7" t="str">
        <f>'Catalogo Maestro'!F168</f>
        <v>Definición de responsables y revisión</v>
      </c>
      <c r="E33" s="7" t="str">
        <f>'Catalogo Maestro'!G168</f>
        <v>Base obligatorio</v>
      </c>
      <c r="F33" s="16">
        <f>'Catalogo Maestro'!J168</f>
        <v>1</v>
      </c>
      <c r="G33" s="16">
        <f>'Catalogo Maestro'!K168</f>
        <v>0.7</v>
      </c>
      <c r="H33" s="7" t="str">
        <f>'Catalogo Maestro'!L168</f>
        <v>Propietario, aprobador y periodicidad</v>
      </c>
      <c r="I33" s="12">
        <f>'Catalogo Maestro'!M168</f>
        <v>0</v>
      </c>
    </row>
    <row r="34" spans="1:9">
      <c r="A34" s="13" t="str">
        <f>'Catalogo Maestro'!E169</f>
        <v>BCP3-009</v>
      </c>
      <c r="B34" s="14" t="str">
        <f>'Catalogo Maestro'!C169</f>
        <v>Retención y ciclo de vida de datos</v>
      </c>
      <c r="C34" s="14" t="str">
        <f>'Catalogo Maestro'!D169</f>
        <v>Cierre</v>
      </c>
      <c r="D34" s="14" t="str">
        <f>'Catalogo Maestro'!F169</f>
        <v>Documentación y entrega</v>
      </c>
      <c r="E34" s="14" t="str">
        <f>'Catalogo Maestro'!G169</f>
        <v>Base obligatorio</v>
      </c>
      <c r="F34" s="22">
        <f>'Catalogo Maestro'!J169</f>
        <v>1.5</v>
      </c>
      <c r="G34" s="22">
        <f>'Catalogo Maestro'!K169</f>
        <v>1.0499999999999998</v>
      </c>
      <c r="H34" s="14" t="str">
        <f>'Catalogo Maestro'!L169</f>
        <v>Matriz, reglas y operación</v>
      </c>
      <c r="I34" s="15">
        <f>'Catalogo Maestro'!M169</f>
        <v>0</v>
      </c>
    </row>
  </sheetData>
  <mergeCells count="2">
    <mergeCell ref="A1:I1"/>
    <mergeCell ref="A3:I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1"/>
  <sheetViews>
    <sheetView workbookViewId="0"/>
  </sheetViews>
  <sheetFormatPr baseColWidth="10" defaultColWidth="9" defaultRowHeight="14.25"/>
  <cols>
    <col min="1" max="1" width="14" customWidth="1"/>
    <col min="2" max="2" width="42" customWidth="1"/>
    <col min="3" max="3" width="18" customWidth="1"/>
    <col min="4" max="4" width="48" customWidth="1"/>
    <col min="5" max="5" width="18" customWidth="1"/>
    <col min="6" max="7" width="16" customWidth="1"/>
    <col min="8" max="8" width="62" customWidth="1"/>
    <col min="9" max="9" width="52" customWidth="1"/>
  </cols>
  <sheetData>
    <row r="1" spans="1:9" ht="33.950000000000003" customHeight="1">
      <c r="A1" s="36" t="s">
        <v>1147</v>
      </c>
      <c r="B1" s="36"/>
      <c r="C1" s="36"/>
      <c r="D1" s="36"/>
      <c r="E1" s="36"/>
      <c r="F1" s="36"/>
      <c r="G1" s="36"/>
      <c r="H1" s="36"/>
      <c r="I1" s="36"/>
    </row>
    <row r="3" spans="1:9" ht="33.950000000000003" customHeight="1">
      <c r="A3" s="37" t="s">
        <v>1142</v>
      </c>
      <c r="B3" s="37"/>
      <c r="C3" s="37"/>
      <c r="D3" s="37"/>
      <c r="E3" s="37"/>
      <c r="F3" s="37"/>
      <c r="G3" s="37"/>
      <c r="H3" s="37"/>
      <c r="I3" s="37"/>
    </row>
    <row r="5" spans="1:9" ht="27.95" customHeight="1">
      <c r="A5" s="6" t="s">
        <v>95</v>
      </c>
      <c r="B5" s="6" t="s">
        <v>499</v>
      </c>
      <c r="C5" s="6" t="s">
        <v>149</v>
      </c>
      <c r="D5" s="6" t="s">
        <v>151</v>
      </c>
      <c r="E5" s="6" t="s">
        <v>152</v>
      </c>
      <c r="F5" s="6" t="s">
        <v>1143</v>
      </c>
      <c r="G5" s="6" t="s">
        <v>99</v>
      </c>
      <c r="H5" s="6" t="s">
        <v>156</v>
      </c>
      <c r="I5" s="6" t="s">
        <v>157</v>
      </c>
    </row>
    <row r="6" spans="1:9">
      <c r="A6" s="8" t="str">
        <f>'Catalogo Maestro'!E170</f>
        <v>SEC1-001</v>
      </c>
      <c r="B6" s="9" t="str">
        <f>'Catalogo Maestro'!C170</f>
        <v>Hardening de plataforma</v>
      </c>
      <c r="C6" s="9" t="str">
        <f>'Catalogo Maestro'!D170</f>
        <v>Diagnóstico</v>
      </c>
      <c r="D6" s="9" t="str">
        <f>'Catalogo Maestro'!F170</f>
        <v>Inventario de componentes, versiones y servicios</v>
      </c>
      <c r="E6" s="9" t="str">
        <f>'Catalogo Maestro'!G170</f>
        <v>Base obligatorio</v>
      </c>
      <c r="F6" s="21">
        <f>'Catalogo Maestro'!J170</f>
        <v>0.75</v>
      </c>
      <c r="G6" s="21">
        <f>'Catalogo Maestro'!K170</f>
        <v>0.52499999999999991</v>
      </c>
      <c r="H6" s="9" t="str">
        <f>'Catalogo Maestro'!L170</f>
        <v>Sistemas, aplicaciones, bases y servicios</v>
      </c>
      <c r="I6" s="10">
        <f>'Catalogo Maestro'!M170</f>
        <v>0</v>
      </c>
    </row>
    <row r="7" spans="1:9">
      <c r="A7" s="11" t="str">
        <f>'Catalogo Maestro'!E171</f>
        <v>SEC1-002</v>
      </c>
      <c r="B7" s="7" t="str">
        <f>'Catalogo Maestro'!C171</f>
        <v>Hardening de plataforma</v>
      </c>
      <c r="C7" s="7" t="str">
        <f>'Catalogo Maestro'!D171</f>
        <v>Diagnóstico</v>
      </c>
      <c r="D7" s="7" t="str">
        <f>'Catalogo Maestro'!F171</f>
        <v>Levantamiento de línea base de configuración</v>
      </c>
      <c r="E7" s="7" t="str">
        <f>'Catalogo Maestro'!G171</f>
        <v>Base obligatorio</v>
      </c>
      <c r="F7" s="16">
        <f>'Catalogo Maestro'!J171</f>
        <v>1.5</v>
      </c>
      <c r="G7" s="16">
        <f>'Catalogo Maestro'!K171</f>
        <v>1.0499999999999998</v>
      </c>
      <c r="H7" s="7" t="str">
        <f>'Catalogo Maestro'!L171</f>
        <v>Configuraciones, puertos, cuentas y políticas</v>
      </c>
      <c r="I7" s="12">
        <f>'Catalogo Maestro'!M171</f>
        <v>0</v>
      </c>
    </row>
    <row r="8" spans="1:9">
      <c r="A8" s="11" t="str">
        <f>'Catalogo Maestro'!E172</f>
        <v>SEC1-003</v>
      </c>
      <c r="B8" s="7" t="str">
        <f>'Catalogo Maestro'!C172</f>
        <v>Hardening de plataforma</v>
      </c>
      <c r="C8" s="7" t="str">
        <f>'Catalogo Maestro'!D172</f>
        <v>Accesos</v>
      </c>
      <c r="D8" s="7" t="str">
        <f>'Catalogo Maestro'!F172</f>
        <v>Revisión de cuentas y privilegios</v>
      </c>
      <c r="E8" s="7" t="str">
        <f>'Catalogo Maestro'!G172</f>
        <v>Base obligatorio</v>
      </c>
      <c r="F8" s="16">
        <f>'Catalogo Maestro'!J172</f>
        <v>0.25</v>
      </c>
      <c r="G8" s="16">
        <f>'Catalogo Maestro'!K172</f>
        <v>0.17499999999999999</v>
      </c>
      <c r="H8" s="7" t="str">
        <f>'Catalogo Maestro'!L172</f>
        <v>Cuentas activas, privilegios y propietarios</v>
      </c>
      <c r="I8" s="12">
        <f>'Catalogo Maestro'!M172</f>
        <v>0</v>
      </c>
    </row>
    <row r="9" spans="1:9">
      <c r="A9" s="11" t="str">
        <f>'Catalogo Maestro'!E173</f>
        <v>SEC1-004</v>
      </c>
      <c r="B9" s="7" t="str">
        <f>'Catalogo Maestro'!C173</f>
        <v>Hardening de plataforma</v>
      </c>
      <c r="C9" s="7" t="str">
        <f>'Catalogo Maestro'!D173</f>
        <v>Accesos</v>
      </c>
      <c r="D9" s="7" t="str">
        <f>'Catalogo Maestro'!F173</f>
        <v>Deshabilitación o corrección de cuentas inseguras</v>
      </c>
      <c r="E9" s="7" t="str">
        <f>'Catalogo Maestro'!G173</f>
        <v>Base incluido</v>
      </c>
      <c r="F9" s="16">
        <f>'Catalogo Maestro'!J173</f>
        <v>0.25</v>
      </c>
      <c r="G9" s="16">
        <f>'Catalogo Maestro'!K173</f>
        <v>0.17499999999999999</v>
      </c>
      <c r="H9" s="7" t="str">
        <f>'Catalogo Maestro'!L173</f>
        <v>Cuentas por defecto, huérfanas o excesivas</v>
      </c>
      <c r="I9" s="12">
        <f>'Catalogo Maestro'!M173</f>
        <v>0</v>
      </c>
    </row>
    <row r="10" spans="1:9">
      <c r="A10" s="11" t="str">
        <f>'Catalogo Maestro'!E174</f>
        <v>SEC1-005</v>
      </c>
      <c r="B10" s="7" t="str">
        <f>'Catalogo Maestro'!C174</f>
        <v>Hardening de plataforma</v>
      </c>
      <c r="C10" s="7" t="str">
        <f>'Catalogo Maestro'!D174</f>
        <v>Configuración</v>
      </c>
      <c r="D10" s="7" t="str">
        <f>'Catalogo Maestro'!F174</f>
        <v>Aplicación de hardening de sistema operativo</v>
      </c>
      <c r="E10" s="7" t="str">
        <f>'Catalogo Maestro'!G174</f>
        <v>Base incluido</v>
      </c>
      <c r="F10" s="16">
        <f>'Catalogo Maestro'!J174</f>
        <v>4</v>
      </c>
      <c r="G10" s="16">
        <f>'Catalogo Maestro'!K174</f>
        <v>2.8</v>
      </c>
      <c r="H10" s="7" t="str">
        <f>'Catalogo Maestro'!L174</f>
        <v>Servicios, políticas, permisos y auditoría</v>
      </c>
      <c r="I10" s="12">
        <f>'Catalogo Maestro'!M174</f>
        <v>0</v>
      </c>
    </row>
    <row r="11" spans="1:9">
      <c r="A11" s="11" t="str">
        <f>'Catalogo Maestro'!E175</f>
        <v>SEC1-006</v>
      </c>
      <c r="B11" s="7" t="str">
        <f>'Catalogo Maestro'!C175</f>
        <v>Hardening de plataforma</v>
      </c>
      <c r="C11" s="7" t="str">
        <f>'Catalogo Maestro'!D175</f>
        <v>Configuración</v>
      </c>
      <c r="D11" s="7" t="str">
        <f>'Catalogo Maestro'!F175</f>
        <v>Aplicación de hardening de aplicación</v>
      </c>
      <c r="E11" s="7" t="str">
        <f>'Catalogo Maestro'!G175</f>
        <v>Opcional</v>
      </c>
      <c r="F11" s="16">
        <f>'Catalogo Maestro'!J175</f>
        <v>3</v>
      </c>
      <c r="G11" s="16">
        <f>'Catalogo Maestro'!K175</f>
        <v>2.0999999999999996</v>
      </c>
      <c r="H11" s="7" t="str">
        <f>'Catalogo Maestro'!L175</f>
        <v>Cabeceras, configuración, secretos y errores</v>
      </c>
      <c r="I11" s="12">
        <f>'Catalogo Maestro'!M175</f>
        <v>0</v>
      </c>
    </row>
    <row r="12" spans="1:9">
      <c r="A12" s="11" t="str">
        <f>'Catalogo Maestro'!E176</f>
        <v>SEC1-007</v>
      </c>
      <c r="B12" s="7" t="str">
        <f>'Catalogo Maestro'!C176</f>
        <v>Hardening de plataforma</v>
      </c>
      <c r="C12" s="7" t="str">
        <f>'Catalogo Maestro'!D176</f>
        <v>Configuración</v>
      </c>
      <c r="D12" s="7" t="str">
        <f>'Catalogo Maestro'!F176</f>
        <v>Aplicación de hardening de base de datos</v>
      </c>
      <c r="E12" s="7" t="str">
        <f>'Catalogo Maestro'!G176</f>
        <v>Opcional</v>
      </c>
      <c r="F12" s="16">
        <f>'Catalogo Maestro'!J176</f>
        <v>3</v>
      </c>
      <c r="G12" s="16">
        <f>'Catalogo Maestro'!K176</f>
        <v>2.0999999999999996</v>
      </c>
      <c r="H12" s="7" t="str">
        <f>'Catalogo Maestro'!L176</f>
        <v>Usuarios, red, cifrado y auditoría</v>
      </c>
      <c r="I12" s="12">
        <f>'Catalogo Maestro'!M176</f>
        <v>0</v>
      </c>
    </row>
    <row r="13" spans="1:9">
      <c r="A13" s="11" t="str">
        <f>'Catalogo Maestro'!E177</f>
        <v>SEC1-008</v>
      </c>
      <c r="B13" s="7" t="str">
        <f>'Catalogo Maestro'!C177</f>
        <v>Hardening de plataforma</v>
      </c>
      <c r="C13" s="7" t="str">
        <f>'Catalogo Maestro'!D177</f>
        <v>Red</v>
      </c>
      <c r="D13" s="7" t="str">
        <f>'Catalogo Maestro'!F177</f>
        <v>Cierre de puertos y servicios no requeridos</v>
      </c>
      <c r="E13" s="7" t="str">
        <f>'Catalogo Maestro'!G177</f>
        <v>Base incluido</v>
      </c>
      <c r="F13" s="16">
        <f>'Catalogo Maestro'!J177</f>
        <v>1.5</v>
      </c>
      <c r="G13" s="16">
        <f>'Catalogo Maestro'!K177</f>
        <v>1.0499999999999998</v>
      </c>
      <c r="H13" s="7" t="str">
        <f>'Catalogo Maestro'!L177</f>
        <v>Puertos, protocolos y servicios</v>
      </c>
      <c r="I13" s="12">
        <f>'Catalogo Maestro'!M177</f>
        <v>0</v>
      </c>
    </row>
    <row r="14" spans="1:9">
      <c r="A14" s="11" t="str">
        <f>'Catalogo Maestro'!E178</f>
        <v>SEC1-009</v>
      </c>
      <c r="B14" s="7" t="str">
        <f>'Catalogo Maestro'!C178</f>
        <v>Hardening de plataforma</v>
      </c>
      <c r="C14" s="7" t="str">
        <f>'Catalogo Maestro'!D178</f>
        <v>Criptografía</v>
      </c>
      <c r="D14" s="7" t="str">
        <f>'Catalogo Maestro'!F178</f>
        <v>Configuración de cifrado y protocolos seguros</v>
      </c>
      <c r="E14" s="7" t="str">
        <f>'Catalogo Maestro'!G178</f>
        <v>Base incluido</v>
      </c>
      <c r="F14" s="16">
        <f>'Catalogo Maestro'!J178</f>
        <v>1.5</v>
      </c>
      <c r="G14" s="16">
        <f>'Catalogo Maestro'!K178</f>
        <v>1.0499999999999998</v>
      </c>
      <c r="H14" s="7" t="str">
        <f>'Catalogo Maestro'!L178</f>
        <v>TLS, algoritmos y configuración</v>
      </c>
      <c r="I14" s="12">
        <f>'Catalogo Maestro'!M178</f>
        <v>0</v>
      </c>
    </row>
    <row r="15" spans="1:9">
      <c r="A15" s="11" t="str">
        <f>'Catalogo Maestro'!E179</f>
        <v>SEC1-010</v>
      </c>
      <c r="B15" s="7" t="str">
        <f>'Catalogo Maestro'!C179</f>
        <v>Hardening de plataforma</v>
      </c>
      <c r="C15" s="7" t="str">
        <f>'Catalogo Maestro'!D179</f>
        <v>Auditoría</v>
      </c>
      <c r="D15" s="7" t="str">
        <f>'Catalogo Maestro'!F179</f>
        <v>Configuración de logs de seguridad</v>
      </c>
      <c r="E15" s="7" t="str">
        <f>'Catalogo Maestro'!G179</f>
        <v>Base incluido</v>
      </c>
      <c r="F15" s="16">
        <f>'Catalogo Maestro'!J179</f>
        <v>1.5</v>
      </c>
      <c r="G15" s="16">
        <f>'Catalogo Maestro'!K179</f>
        <v>1.0499999999999998</v>
      </c>
      <c r="H15" s="7" t="str">
        <f>'Catalogo Maestro'!L179</f>
        <v>Accesos, cambios y eventos críticos</v>
      </c>
      <c r="I15" s="12">
        <f>'Catalogo Maestro'!M179</f>
        <v>0</v>
      </c>
    </row>
    <row r="16" spans="1:9">
      <c r="A16" s="11" t="str">
        <f>'Catalogo Maestro'!E180</f>
        <v>SEC1-011</v>
      </c>
      <c r="B16" s="7" t="str">
        <f>'Catalogo Maestro'!C180</f>
        <v>Hardening de plataforma</v>
      </c>
      <c r="C16" s="7" t="str">
        <f>'Catalogo Maestro'!D180</f>
        <v>Validación</v>
      </c>
      <c r="D16" s="7" t="str">
        <f>'Catalogo Maestro'!F180</f>
        <v>Revisión posterior contra línea base</v>
      </c>
      <c r="E16" s="7" t="str">
        <f>'Catalogo Maestro'!G180</f>
        <v>Base obligatorio</v>
      </c>
      <c r="F16" s="16">
        <f>'Catalogo Maestro'!J180</f>
        <v>1</v>
      </c>
      <c r="G16" s="16">
        <f>'Catalogo Maestro'!K180</f>
        <v>0.7</v>
      </c>
      <c r="H16" s="7" t="str">
        <f>'Catalogo Maestro'!L180</f>
        <v>Comparación y evidencias</v>
      </c>
      <c r="I16" s="12">
        <f>'Catalogo Maestro'!M180</f>
        <v>0</v>
      </c>
    </row>
    <row r="17" spans="1:9">
      <c r="A17" s="11" t="str">
        <f>'Catalogo Maestro'!E181</f>
        <v>SEC1-012</v>
      </c>
      <c r="B17" s="7" t="str">
        <f>'Catalogo Maestro'!C181</f>
        <v>Hardening de plataforma</v>
      </c>
      <c r="C17" s="7" t="str">
        <f>'Catalogo Maestro'!D181</f>
        <v>Calidad</v>
      </c>
      <c r="D17" s="7" t="str">
        <f>'Catalogo Maestro'!F181</f>
        <v>Pruebas de acceso y operación</v>
      </c>
      <c r="E17" s="7" t="str">
        <f>'Catalogo Maestro'!G181</f>
        <v>Base obligatorio</v>
      </c>
      <c r="F17" s="16">
        <f>'Catalogo Maestro'!J181</f>
        <v>0.5</v>
      </c>
      <c r="G17" s="16">
        <f>'Catalogo Maestro'!K181</f>
        <v>0.35</v>
      </c>
      <c r="H17" s="7" t="str">
        <f>'Catalogo Maestro'!L181</f>
        <v>Operación posterior al hardening</v>
      </c>
      <c r="I17" s="12">
        <f>'Catalogo Maestro'!M181</f>
        <v>0</v>
      </c>
    </row>
    <row r="18" spans="1:9">
      <c r="A18" s="11" t="str">
        <f>'Catalogo Maestro'!E182</f>
        <v>SEC1-013</v>
      </c>
      <c r="B18" s="7" t="str">
        <f>'Catalogo Maestro'!C182</f>
        <v>Hardening de plataforma</v>
      </c>
      <c r="C18" s="7" t="str">
        <f>'Catalogo Maestro'!D182</f>
        <v>Cierre</v>
      </c>
      <c r="D18" s="7" t="str">
        <f>'Catalogo Maestro'!F182</f>
        <v>Informe de cambios y riesgos pendientes</v>
      </c>
      <c r="E18" s="7" t="str">
        <f>'Catalogo Maestro'!G182</f>
        <v>Base obligatorio</v>
      </c>
      <c r="F18" s="16">
        <f>'Catalogo Maestro'!J182</f>
        <v>2</v>
      </c>
      <c r="G18" s="16">
        <f>'Catalogo Maestro'!K182</f>
        <v>1.4</v>
      </c>
      <c r="H18" s="7" t="str">
        <f>'Catalogo Maestro'!L182</f>
        <v>Cambios, excepciones y recomendaciones</v>
      </c>
      <c r="I18" s="12">
        <f>'Catalogo Maestro'!M182</f>
        <v>0</v>
      </c>
    </row>
    <row r="19" spans="1:9">
      <c r="A19" s="11" t="str">
        <f>'Catalogo Maestro'!E183</f>
        <v>SEC2-001</v>
      </c>
      <c r="B19" s="7" t="str">
        <f>'Catalogo Maestro'!C183</f>
        <v>Gestión de vulnerabilidades y parches</v>
      </c>
      <c r="C19" s="7" t="str">
        <f>'Catalogo Maestro'!D183</f>
        <v>Alcance</v>
      </c>
      <c r="D19" s="7" t="str">
        <f>'Catalogo Maestro'!F183</f>
        <v>Inventario de activos y alcance de revisión</v>
      </c>
      <c r="E19" s="7" t="str">
        <f>'Catalogo Maestro'!G183</f>
        <v>Base obligatorio</v>
      </c>
      <c r="F19" s="16">
        <f>'Catalogo Maestro'!J183</f>
        <v>0.5</v>
      </c>
      <c r="G19" s="16">
        <f>'Catalogo Maestro'!K183</f>
        <v>0.35</v>
      </c>
      <c r="H19" s="7" t="str">
        <f>'Catalogo Maestro'!L183</f>
        <v>Activos, propietarios y criticidad</v>
      </c>
      <c r="I19" s="12">
        <f>'Catalogo Maestro'!M183</f>
        <v>0</v>
      </c>
    </row>
    <row r="20" spans="1:9">
      <c r="A20" s="11" t="str">
        <f>'Catalogo Maestro'!E184</f>
        <v>SEC2-002</v>
      </c>
      <c r="B20" s="7" t="str">
        <f>'Catalogo Maestro'!C184</f>
        <v>Gestión de vulnerabilidades y parches</v>
      </c>
      <c r="C20" s="7" t="str">
        <f>'Catalogo Maestro'!D184</f>
        <v>Preparación</v>
      </c>
      <c r="D20" s="7" t="str">
        <f>'Catalogo Maestro'!F184</f>
        <v>Configuración de credenciales y ventanas</v>
      </c>
      <c r="E20" s="7" t="str">
        <f>'Catalogo Maestro'!G184</f>
        <v>Base obligatorio</v>
      </c>
      <c r="F20" s="16">
        <f>'Catalogo Maestro'!J184</f>
        <v>0.75</v>
      </c>
      <c r="G20" s="16">
        <f>'Catalogo Maestro'!K184</f>
        <v>0.52499999999999991</v>
      </c>
      <c r="H20" s="7" t="str">
        <f>'Catalogo Maestro'!L184</f>
        <v>Credenciales, horarios y respaldo</v>
      </c>
      <c r="I20" s="12">
        <f>'Catalogo Maestro'!M184</f>
        <v>0</v>
      </c>
    </row>
    <row r="21" spans="1:9">
      <c r="A21" s="11" t="str">
        <f>'Catalogo Maestro'!E185</f>
        <v>SEC2-003</v>
      </c>
      <c r="B21" s="7" t="str">
        <f>'Catalogo Maestro'!C185</f>
        <v>Gestión de vulnerabilidades y parches</v>
      </c>
      <c r="C21" s="7" t="str">
        <f>'Catalogo Maestro'!D185</f>
        <v>Detección</v>
      </c>
      <c r="D21" s="7" t="str">
        <f>'Catalogo Maestro'!F185</f>
        <v>Escaneo de vulnerabilidades</v>
      </c>
      <c r="E21" s="7" t="str">
        <f>'Catalogo Maestro'!G185</f>
        <v>Base incluido</v>
      </c>
      <c r="F21" s="16">
        <f>'Catalogo Maestro'!J185</f>
        <v>2</v>
      </c>
      <c r="G21" s="16">
        <f>'Catalogo Maestro'!K185</f>
        <v>1.4</v>
      </c>
      <c r="H21" s="7" t="str">
        <f>'Catalogo Maestro'!L185</f>
        <v>Hallazgos técnicos y evidencia</v>
      </c>
      <c r="I21" s="12">
        <f>'Catalogo Maestro'!M185</f>
        <v>0</v>
      </c>
    </row>
    <row r="22" spans="1:9">
      <c r="A22" s="11" t="str">
        <f>'Catalogo Maestro'!E186</f>
        <v>SEC2-004</v>
      </c>
      <c r="B22" s="7" t="str">
        <f>'Catalogo Maestro'!C186</f>
        <v>Gestión de vulnerabilidades y parches</v>
      </c>
      <c r="C22" s="7" t="str">
        <f>'Catalogo Maestro'!D186</f>
        <v>Análisis</v>
      </c>
      <c r="D22" s="7" t="str">
        <f>'Catalogo Maestro'!F186</f>
        <v>Validación y descarte de falsos positivos</v>
      </c>
      <c r="E22" s="7" t="str">
        <f>'Catalogo Maestro'!G186</f>
        <v>Base obligatorio</v>
      </c>
      <c r="F22" s="16">
        <f>'Catalogo Maestro'!J186</f>
        <v>0.2</v>
      </c>
      <c r="G22" s="16">
        <f>'Catalogo Maestro'!K186</f>
        <v>0.13999999999999999</v>
      </c>
      <c r="H22" s="7" t="str">
        <f>'Catalogo Maestro'!L186</f>
        <v>Evidencia y aplicabilidad</v>
      </c>
      <c r="I22" s="12">
        <f>'Catalogo Maestro'!M186</f>
        <v>0</v>
      </c>
    </row>
    <row r="23" spans="1:9">
      <c r="A23" s="11" t="str">
        <f>'Catalogo Maestro'!E187</f>
        <v>SEC2-005</v>
      </c>
      <c r="B23" s="7" t="str">
        <f>'Catalogo Maestro'!C187</f>
        <v>Gestión de vulnerabilidades y parches</v>
      </c>
      <c r="C23" s="7" t="str">
        <f>'Catalogo Maestro'!D187</f>
        <v>Riesgo</v>
      </c>
      <c r="D23" s="7" t="str">
        <f>'Catalogo Maestro'!F187</f>
        <v>Priorización por criticidad e impacto</v>
      </c>
      <c r="E23" s="7" t="str">
        <f>'Catalogo Maestro'!G187</f>
        <v>Base obligatorio</v>
      </c>
      <c r="F23" s="16">
        <f>'Catalogo Maestro'!J187</f>
        <v>0.2</v>
      </c>
      <c r="G23" s="16">
        <f>'Catalogo Maestro'!K187</f>
        <v>0.13999999999999999</v>
      </c>
      <c r="H23" s="7" t="str">
        <f>'Catalogo Maestro'!L187</f>
        <v>Severidad, exposición e impacto</v>
      </c>
      <c r="I23" s="12">
        <f>'Catalogo Maestro'!M187</f>
        <v>0</v>
      </c>
    </row>
    <row r="24" spans="1:9">
      <c r="A24" s="11" t="str">
        <f>'Catalogo Maestro'!E188</f>
        <v>SEC2-006</v>
      </c>
      <c r="B24" s="7" t="str">
        <f>'Catalogo Maestro'!C188</f>
        <v>Gestión de vulnerabilidades y parches</v>
      </c>
      <c r="C24" s="7" t="str">
        <f>'Catalogo Maestro'!D188</f>
        <v>Planificación</v>
      </c>
      <c r="D24" s="7" t="str">
        <f>'Catalogo Maestro'!F188</f>
        <v>Plan de remediación y ventanas</v>
      </c>
      <c r="E24" s="7" t="str">
        <f>'Catalogo Maestro'!G188</f>
        <v>Base obligatorio</v>
      </c>
      <c r="F24" s="16">
        <f>'Catalogo Maestro'!J188</f>
        <v>2</v>
      </c>
      <c r="G24" s="16">
        <f>'Catalogo Maestro'!K188</f>
        <v>1.4</v>
      </c>
      <c r="H24" s="7" t="str">
        <f>'Catalogo Maestro'!L188</f>
        <v>Orden, responsables, riesgo y reversa</v>
      </c>
      <c r="I24" s="12">
        <f>'Catalogo Maestro'!M188</f>
        <v>0</v>
      </c>
    </row>
    <row r="25" spans="1:9">
      <c r="A25" s="11" t="str">
        <f>'Catalogo Maestro'!E189</f>
        <v>SEC2-007</v>
      </c>
      <c r="B25" s="7" t="str">
        <f>'Catalogo Maestro'!C189</f>
        <v>Gestión de vulnerabilidades y parches</v>
      </c>
      <c r="C25" s="7" t="str">
        <f>'Catalogo Maestro'!D189</f>
        <v>Remediación</v>
      </c>
      <c r="D25" s="7" t="str">
        <f>'Catalogo Maestro'!F189</f>
        <v>Aplicación de parche estándar</v>
      </c>
      <c r="E25" s="7" t="str">
        <f>'Catalogo Maestro'!G189</f>
        <v>Base incluido</v>
      </c>
      <c r="F25" s="16">
        <f>'Catalogo Maestro'!J189</f>
        <v>1</v>
      </c>
      <c r="G25" s="16">
        <f>'Catalogo Maestro'!K189</f>
        <v>0.7</v>
      </c>
      <c r="H25" s="7" t="str">
        <f>'Catalogo Maestro'!L189</f>
        <v>Respaldo, actualización y validación</v>
      </c>
      <c r="I25" s="12">
        <f>'Catalogo Maestro'!M189</f>
        <v>0</v>
      </c>
    </row>
    <row r="26" spans="1:9">
      <c r="A26" s="11" t="str">
        <f>'Catalogo Maestro'!E190</f>
        <v>SEC2-008</v>
      </c>
      <c r="B26" s="7" t="str">
        <f>'Catalogo Maestro'!C190</f>
        <v>Gestión de vulnerabilidades y parches</v>
      </c>
      <c r="C26" s="7" t="str">
        <f>'Catalogo Maestro'!D190</f>
        <v>Remediación</v>
      </c>
      <c r="D26" s="7" t="str">
        <f>'Catalogo Maestro'!F190</f>
        <v>Aplicación de mitigación de configuración</v>
      </c>
      <c r="E26" s="7" t="str">
        <f>'Catalogo Maestro'!G190</f>
        <v>Opcional</v>
      </c>
      <c r="F26" s="16">
        <f>'Catalogo Maestro'!J190</f>
        <v>1</v>
      </c>
      <c r="G26" s="16">
        <f>'Catalogo Maestro'!K190</f>
        <v>0.7</v>
      </c>
      <c r="H26" s="7" t="str">
        <f>'Catalogo Maestro'!L190</f>
        <v>Cambio compensatorio o configuración</v>
      </c>
      <c r="I26" s="12">
        <f>'Catalogo Maestro'!M190</f>
        <v>0</v>
      </c>
    </row>
    <row r="27" spans="1:9">
      <c r="A27" s="11" t="str">
        <f>'Catalogo Maestro'!E191</f>
        <v>SEC2-009</v>
      </c>
      <c r="B27" s="7" t="str">
        <f>'Catalogo Maestro'!C191</f>
        <v>Gestión de vulnerabilidades y parches</v>
      </c>
      <c r="C27" s="7" t="str">
        <f>'Catalogo Maestro'!D191</f>
        <v>Calidad</v>
      </c>
      <c r="D27" s="7" t="str">
        <f>'Catalogo Maestro'!F191</f>
        <v>Prueba funcional posterior</v>
      </c>
      <c r="E27" s="7" t="str">
        <f>'Catalogo Maestro'!G191</f>
        <v>Base obligatorio</v>
      </c>
      <c r="F27" s="16">
        <f>'Catalogo Maestro'!J191</f>
        <v>0.5</v>
      </c>
      <c r="G27" s="16">
        <f>'Catalogo Maestro'!K191</f>
        <v>0.35</v>
      </c>
      <c r="H27" s="7" t="str">
        <f>'Catalogo Maestro'!L191</f>
        <v>Funciones críticas después del parche</v>
      </c>
      <c r="I27" s="12">
        <f>'Catalogo Maestro'!M191</f>
        <v>0</v>
      </c>
    </row>
    <row r="28" spans="1:9">
      <c r="A28" s="11" t="str">
        <f>'Catalogo Maestro'!E192</f>
        <v>SEC2-010</v>
      </c>
      <c r="B28" s="7" t="str">
        <f>'Catalogo Maestro'!C192</f>
        <v>Gestión de vulnerabilidades y parches</v>
      </c>
      <c r="C28" s="7" t="str">
        <f>'Catalogo Maestro'!D192</f>
        <v>Revalidación</v>
      </c>
      <c r="D28" s="7" t="str">
        <f>'Catalogo Maestro'!F192</f>
        <v>Nuevo escaneo de verificación</v>
      </c>
      <c r="E28" s="7" t="str">
        <f>'Catalogo Maestro'!G192</f>
        <v>Base obligatorio</v>
      </c>
      <c r="F28" s="16">
        <f>'Catalogo Maestro'!J192</f>
        <v>1.5</v>
      </c>
      <c r="G28" s="16">
        <f>'Catalogo Maestro'!K192</f>
        <v>1.0499999999999998</v>
      </c>
      <c r="H28" s="7" t="str">
        <f>'Catalogo Maestro'!L192</f>
        <v>Cierre o riesgo residual</v>
      </c>
      <c r="I28" s="12">
        <f>'Catalogo Maestro'!M192</f>
        <v>0</v>
      </c>
    </row>
    <row r="29" spans="1:9">
      <c r="A29" s="11" t="str">
        <f>'Catalogo Maestro'!E193</f>
        <v>SEC2-011</v>
      </c>
      <c r="B29" s="7" t="str">
        <f>'Catalogo Maestro'!C193</f>
        <v>Gestión de vulnerabilidades y parches</v>
      </c>
      <c r="C29" s="7" t="str">
        <f>'Catalogo Maestro'!D193</f>
        <v>Cierre</v>
      </c>
      <c r="D29" s="7" t="str">
        <f>'Catalogo Maestro'!F193</f>
        <v>Informe ejecutivo y técnico</v>
      </c>
      <c r="E29" s="7" t="str">
        <f>'Catalogo Maestro'!G193</f>
        <v>Base obligatorio</v>
      </c>
      <c r="F29" s="16">
        <f>'Catalogo Maestro'!J193</f>
        <v>2</v>
      </c>
      <c r="G29" s="16">
        <f>'Catalogo Maestro'!K193</f>
        <v>1.4</v>
      </c>
      <c r="H29" s="7" t="str">
        <f>'Catalogo Maestro'!L193</f>
        <v>Estado, riesgo residual y recomendaciones</v>
      </c>
      <c r="I29" s="12">
        <f>'Catalogo Maestro'!M193</f>
        <v>0</v>
      </c>
    </row>
    <row r="30" spans="1:9">
      <c r="A30" s="11" t="str">
        <f>'Catalogo Maestro'!E194</f>
        <v>SEC3-001</v>
      </c>
      <c r="B30" s="7" t="str">
        <f>'Catalogo Maestro'!C194</f>
        <v>Identidad y control de accesos</v>
      </c>
      <c r="C30" s="7" t="str">
        <f>'Catalogo Maestro'!D194</f>
        <v>Diagnóstico</v>
      </c>
      <c r="D30" s="7" t="str">
        <f>'Catalogo Maestro'!F194</f>
        <v>Inventario de usuarios, roles y accesos</v>
      </c>
      <c r="E30" s="7" t="str">
        <f>'Catalogo Maestro'!G194</f>
        <v>Base obligatorio</v>
      </c>
      <c r="F30" s="16">
        <f>'Catalogo Maestro'!J194</f>
        <v>1.5</v>
      </c>
      <c r="G30" s="16">
        <f>'Catalogo Maestro'!K194</f>
        <v>1.0499999999999998</v>
      </c>
      <c r="H30" s="7" t="str">
        <f>'Catalogo Maestro'!L194</f>
        <v>Usuarios, grupos, permisos y propietarios</v>
      </c>
      <c r="I30" s="12">
        <f>'Catalogo Maestro'!M194</f>
        <v>0</v>
      </c>
    </row>
    <row r="31" spans="1:9">
      <c r="A31" s="11" t="str">
        <f>'Catalogo Maestro'!E195</f>
        <v>SEC3-002</v>
      </c>
      <c r="B31" s="7" t="str">
        <f>'Catalogo Maestro'!C195</f>
        <v>Identidad y control de accesos</v>
      </c>
      <c r="C31" s="7" t="str">
        <f>'Catalogo Maestro'!D195</f>
        <v>Diseño</v>
      </c>
      <c r="D31" s="7" t="str">
        <f>'Catalogo Maestro'!F195</f>
        <v>Diseño de roles y segregación de funciones</v>
      </c>
      <c r="E31" s="7" t="str">
        <f>'Catalogo Maestro'!G195</f>
        <v>Base obligatorio</v>
      </c>
      <c r="F31" s="16">
        <f>'Catalogo Maestro'!J195</f>
        <v>1</v>
      </c>
      <c r="G31" s="16">
        <f>'Catalogo Maestro'!K195</f>
        <v>0.7</v>
      </c>
      <c r="H31" s="7" t="str">
        <f>'Catalogo Maestro'!L195</f>
        <v>Responsabilidades, permisos y conflictos</v>
      </c>
      <c r="I31" s="12">
        <f>'Catalogo Maestro'!M195</f>
        <v>0</v>
      </c>
    </row>
    <row r="32" spans="1:9">
      <c r="A32" s="11" t="str">
        <f>'Catalogo Maestro'!E196</f>
        <v>SEC3-003</v>
      </c>
      <c r="B32" s="7" t="str">
        <f>'Catalogo Maestro'!C196</f>
        <v>Identidad y control de accesos</v>
      </c>
      <c r="C32" s="7" t="str">
        <f>'Catalogo Maestro'!D196</f>
        <v>Diseño</v>
      </c>
      <c r="D32" s="7" t="str">
        <f>'Catalogo Maestro'!F196</f>
        <v>Matriz de acceso por recurso</v>
      </c>
      <c r="E32" s="7" t="str">
        <f>'Catalogo Maestro'!G196</f>
        <v>Base obligatorio</v>
      </c>
      <c r="F32" s="16">
        <f>'Catalogo Maestro'!J196</f>
        <v>1</v>
      </c>
      <c r="G32" s="16">
        <f>'Catalogo Maestro'!K196</f>
        <v>0.7</v>
      </c>
      <c r="H32" s="7" t="str">
        <f>'Catalogo Maestro'!L196</f>
        <v>Lectura, edición, aprobación y administración</v>
      </c>
      <c r="I32" s="12">
        <f>'Catalogo Maestro'!M196</f>
        <v>0</v>
      </c>
    </row>
    <row r="33" spans="1:9">
      <c r="A33" s="11" t="str">
        <f>'Catalogo Maestro'!E197</f>
        <v>SEC3-004</v>
      </c>
      <c r="B33" s="7" t="str">
        <f>'Catalogo Maestro'!C197</f>
        <v>Identidad y control de accesos</v>
      </c>
      <c r="C33" s="7" t="str">
        <f>'Catalogo Maestro'!D197</f>
        <v>Autenticación</v>
      </c>
      <c r="D33" s="7" t="str">
        <f>'Catalogo Maestro'!F197</f>
        <v>Configuración de autenticación multifactor</v>
      </c>
      <c r="E33" s="7" t="str">
        <f>'Catalogo Maestro'!G197</f>
        <v>Base incluido</v>
      </c>
      <c r="F33" s="16">
        <f>'Catalogo Maestro'!J197</f>
        <v>3</v>
      </c>
      <c r="G33" s="16">
        <f>'Catalogo Maestro'!K197</f>
        <v>2.0999999999999996</v>
      </c>
      <c r="H33" s="7" t="str">
        <f>'Catalogo Maestro'!L197</f>
        <v>Enrolamiento, recuperación y excepción</v>
      </c>
      <c r="I33" s="12">
        <f>'Catalogo Maestro'!M197</f>
        <v>0</v>
      </c>
    </row>
    <row r="34" spans="1:9">
      <c r="A34" s="11" t="str">
        <f>'Catalogo Maestro'!E198</f>
        <v>SEC3-005</v>
      </c>
      <c r="B34" s="7" t="str">
        <f>'Catalogo Maestro'!C198</f>
        <v>Identidad y control de accesos</v>
      </c>
      <c r="C34" s="7" t="str">
        <f>'Catalogo Maestro'!D198</f>
        <v>Autenticación</v>
      </c>
      <c r="D34" s="7" t="str">
        <f>'Catalogo Maestro'!F198</f>
        <v>Política de contraseñas y sesión</v>
      </c>
      <c r="E34" s="7" t="str">
        <f>'Catalogo Maestro'!G198</f>
        <v>Base incluido</v>
      </c>
      <c r="F34" s="16">
        <f>'Catalogo Maestro'!J198</f>
        <v>1.5</v>
      </c>
      <c r="G34" s="16">
        <f>'Catalogo Maestro'!K198</f>
        <v>1.0499999999999998</v>
      </c>
      <c r="H34" s="7" t="str">
        <f>'Catalogo Maestro'!L198</f>
        <v>Complejidad, bloqueo, duración y recuperación</v>
      </c>
      <c r="I34" s="12">
        <f>'Catalogo Maestro'!M198</f>
        <v>0</v>
      </c>
    </row>
    <row r="35" spans="1:9">
      <c r="A35" s="11" t="str">
        <f>'Catalogo Maestro'!E199</f>
        <v>SEC3-006</v>
      </c>
      <c r="B35" s="7" t="str">
        <f>'Catalogo Maestro'!C199</f>
        <v>Identidad y control de accesos</v>
      </c>
      <c r="C35" s="7" t="str">
        <f>'Catalogo Maestro'!D199</f>
        <v>Autorización</v>
      </c>
      <c r="D35" s="7" t="str">
        <f>'Catalogo Maestro'!F199</f>
        <v>Aplicación de mínimo privilegio</v>
      </c>
      <c r="E35" s="7" t="str">
        <f>'Catalogo Maestro'!G199</f>
        <v>Base incluido</v>
      </c>
      <c r="F35" s="16">
        <f>'Catalogo Maestro'!J199</f>
        <v>1</v>
      </c>
      <c r="G35" s="16">
        <f>'Catalogo Maestro'!K199</f>
        <v>0.7</v>
      </c>
      <c r="H35" s="7" t="str">
        <f>'Catalogo Maestro'!L199</f>
        <v>Reducción de privilegios y accesos heredados</v>
      </c>
      <c r="I35" s="12">
        <f>'Catalogo Maestro'!M199</f>
        <v>0</v>
      </c>
    </row>
    <row r="36" spans="1:9">
      <c r="A36" s="11" t="str">
        <f>'Catalogo Maestro'!E200</f>
        <v>SEC3-007</v>
      </c>
      <c r="B36" s="7" t="str">
        <f>'Catalogo Maestro'!C200</f>
        <v>Identidad y control de accesos</v>
      </c>
      <c r="C36" s="7" t="str">
        <f>'Catalogo Maestro'!D200</f>
        <v>Ciclo de vida</v>
      </c>
      <c r="D36" s="7" t="str">
        <f>'Catalogo Maestro'!F200</f>
        <v>Proceso de alta, cambio y baja de usuarios</v>
      </c>
      <c r="E36" s="7" t="str">
        <f>'Catalogo Maestro'!G200</f>
        <v>Base obligatorio</v>
      </c>
      <c r="F36" s="16">
        <f>'Catalogo Maestro'!J200</f>
        <v>2</v>
      </c>
      <c r="G36" s="16">
        <f>'Catalogo Maestro'!K200</f>
        <v>1.4</v>
      </c>
      <c r="H36" s="7" t="str">
        <f>'Catalogo Maestro'!L200</f>
        <v>Solicitud, aprobación, ejecución y evidencia</v>
      </c>
      <c r="I36" s="12">
        <f>'Catalogo Maestro'!M200</f>
        <v>0</v>
      </c>
    </row>
    <row r="37" spans="1:9">
      <c r="A37" s="11" t="str">
        <f>'Catalogo Maestro'!E201</f>
        <v>SEC3-008</v>
      </c>
      <c r="B37" s="7" t="str">
        <f>'Catalogo Maestro'!C201</f>
        <v>Identidad y control de accesos</v>
      </c>
      <c r="C37" s="7" t="str">
        <f>'Catalogo Maestro'!D201</f>
        <v>Cuentas</v>
      </c>
      <c r="D37" s="7" t="str">
        <f>'Catalogo Maestro'!F201</f>
        <v>Control de cuentas de servicio</v>
      </c>
      <c r="E37" s="7" t="str">
        <f>'Catalogo Maestro'!G201</f>
        <v>Opcional</v>
      </c>
      <c r="F37" s="16">
        <f>'Catalogo Maestro'!J201</f>
        <v>0.5</v>
      </c>
      <c r="G37" s="16">
        <f>'Catalogo Maestro'!K201</f>
        <v>0.35</v>
      </c>
      <c r="H37" s="7" t="str">
        <f>'Catalogo Maestro'!L201</f>
        <v>Propietario, secreto, uso y rotación</v>
      </c>
      <c r="I37" s="12">
        <f>'Catalogo Maestro'!M201</f>
        <v>0</v>
      </c>
    </row>
    <row r="38" spans="1:9">
      <c r="A38" s="11" t="str">
        <f>'Catalogo Maestro'!E202</f>
        <v>SEC3-009</v>
      </c>
      <c r="B38" s="7" t="str">
        <f>'Catalogo Maestro'!C202</f>
        <v>Identidad y control de accesos</v>
      </c>
      <c r="C38" s="7" t="str">
        <f>'Catalogo Maestro'!D202</f>
        <v>Auditoría</v>
      </c>
      <c r="D38" s="7" t="str">
        <f>'Catalogo Maestro'!F202</f>
        <v>Registro de eventos de autenticación</v>
      </c>
      <c r="E38" s="7" t="str">
        <f>'Catalogo Maestro'!G202</f>
        <v>Base incluido</v>
      </c>
      <c r="F38" s="16">
        <f>'Catalogo Maestro'!J202</f>
        <v>1.5</v>
      </c>
      <c r="G38" s="16">
        <f>'Catalogo Maestro'!K202</f>
        <v>1.0499999999999998</v>
      </c>
      <c r="H38" s="7" t="str">
        <f>'Catalogo Maestro'!L202</f>
        <v>Ingreso, fallo, bloqueo y cambios</v>
      </c>
      <c r="I38" s="12">
        <f>'Catalogo Maestro'!M202</f>
        <v>0</v>
      </c>
    </row>
    <row r="39" spans="1:9">
      <c r="A39" s="11" t="str">
        <f>'Catalogo Maestro'!E203</f>
        <v>SEC3-010</v>
      </c>
      <c r="B39" s="7" t="str">
        <f>'Catalogo Maestro'!C203</f>
        <v>Identidad y control de accesos</v>
      </c>
      <c r="C39" s="7" t="str">
        <f>'Catalogo Maestro'!D203</f>
        <v>Calidad</v>
      </c>
      <c r="D39" s="7" t="str">
        <f>'Catalogo Maestro'!F203</f>
        <v>Pruebas de acceso por rol</v>
      </c>
      <c r="E39" s="7" t="str">
        <f>'Catalogo Maestro'!G203</f>
        <v>Base obligatorio</v>
      </c>
      <c r="F39" s="16">
        <f>'Catalogo Maestro'!J203</f>
        <v>0.5</v>
      </c>
      <c r="G39" s="16">
        <f>'Catalogo Maestro'!K203</f>
        <v>0.35</v>
      </c>
      <c r="H39" s="7" t="str">
        <f>'Catalogo Maestro'!L203</f>
        <v>Permitidos, denegados y recuperación</v>
      </c>
      <c r="I39" s="12">
        <f>'Catalogo Maestro'!M203</f>
        <v>0</v>
      </c>
    </row>
    <row r="40" spans="1:9">
      <c r="A40" s="11" t="str">
        <f>'Catalogo Maestro'!E204</f>
        <v>SEC3-011</v>
      </c>
      <c r="B40" s="7" t="str">
        <f>'Catalogo Maestro'!C204</f>
        <v>Identidad y control de accesos</v>
      </c>
      <c r="C40" s="7" t="str">
        <f>'Catalogo Maestro'!D204</f>
        <v>Cierre</v>
      </c>
      <c r="D40" s="7" t="str">
        <f>'Catalogo Maestro'!F204</f>
        <v>Documentación y transferencia</v>
      </c>
      <c r="E40" s="7" t="str">
        <f>'Catalogo Maestro'!G204</f>
        <v>Base obligatorio</v>
      </c>
      <c r="F40" s="16">
        <f>'Catalogo Maestro'!J204</f>
        <v>2</v>
      </c>
      <c r="G40" s="16">
        <f>'Catalogo Maestro'!K204</f>
        <v>1.4</v>
      </c>
      <c r="H40" s="7" t="str">
        <f>'Catalogo Maestro'!L204</f>
        <v>Roles, accesos y operación</v>
      </c>
      <c r="I40" s="12">
        <f>'Catalogo Maestro'!M204</f>
        <v>0</v>
      </c>
    </row>
    <row r="41" spans="1:9">
      <c r="A41" s="11" t="str">
        <f>'Catalogo Maestro'!E205</f>
        <v>SEC4-001</v>
      </c>
      <c r="B41" s="7" t="str">
        <f>'Catalogo Maestro'!C205</f>
        <v>Preparación para respuesta a incidentes</v>
      </c>
      <c r="C41" s="7" t="str">
        <f>'Catalogo Maestro'!D205</f>
        <v>Escenarios</v>
      </c>
      <c r="D41" s="7" t="str">
        <f>'Catalogo Maestro'!F205</f>
        <v>Definición de escenarios prioritarios</v>
      </c>
      <c r="E41" s="7" t="str">
        <f>'Catalogo Maestro'!G205</f>
        <v>Base obligatorio</v>
      </c>
      <c r="F41" s="16">
        <f>'Catalogo Maestro'!J205</f>
        <v>0.75</v>
      </c>
      <c r="G41" s="16">
        <f>'Catalogo Maestro'!K205</f>
        <v>0.52499999999999991</v>
      </c>
      <c r="H41" s="7" t="str">
        <f>'Catalogo Maestro'!L205</f>
        <v>Acceso, malware, fuga e indisponibilidad</v>
      </c>
      <c r="I41" s="12">
        <f>'Catalogo Maestro'!M205</f>
        <v>0</v>
      </c>
    </row>
    <row r="42" spans="1:9">
      <c r="A42" s="11" t="str">
        <f>'Catalogo Maestro'!E206</f>
        <v>SEC4-002</v>
      </c>
      <c r="B42" s="7" t="str">
        <f>'Catalogo Maestro'!C206</f>
        <v>Preparación para respuesta a incidentes</v>
      </c>
      <c r="C42" s="7" t="str">
        <f>'Catalogo Maestro'!D206</f>
        <v>Clasificación</v>
      </c>
      <c r="D42" s="7" t="str">
        <f>'Catalogo Maestro'!F206</f>
        <v>Definición de severidades y criterios</v>
      </c>
      <c r="E42" s="7" t="str">
        <f>'Catalogo Maestro'!G206</f>
        <v>Base obligatorio</v>
      </c>
      <c r="F42" s="16">
        <f>'Catalogo Maestro'!J206</f>
        <v>1.5</v>
      </c>
      <c r="G42" s="16">
        <f>'Catalogo Maestro'!K206</f>
        <v>1.0499999999999998</v>
      </c>
      <c r="H42" s="7" t="str">
        <f>'Catalogo Maestro'!L206</f>
        <v>Impacto, urgencia y escalamiento</v>
      </c>
      <c r="I42" s="12">
        <f>'Catalogo Maestro'!M206</f>
        <v>0</v>
      </c>
    </row>
    <row r="43" spans="1:9">
      <c r="A43" s="11" t="str">
        <f>'Catalogo Maestro'!E207</f>
        <v>SEC4-003</v>
      </c>
      <c r="B43" s="7" t="str">
        <f>'Catalogo Maestro'!C207</f>
        <v>Preparación para respuesta a incidentes</v>
      </c>
      <c r="C43" s="7" t="str">
        <f>'Catalogo Maestro'!D207</f>
        <v>Organización</v>
      </c>
      <c r="D43" s="7" t="str">
        <f>'Catalogo Maestro'!F207</f>
        <v>Definición de roles y contactos</v>
      </c>
      <c r="E43" s="7" t="str">
        <f>'Catalogo Maestro'!G207</f>
        <v>Base obligatorio</v>
      </c>
      <c r="F43" s="16">
        <f>'Catalogo Maestro'!J207</f>
        <v>0.5</v>
      </c>
      <c r="G43" s="16">
        <f>'Catalogo Maestro'!K207</f>
        <v>0.35</v>
      </c>
      <c r="H43" s="7" t="str">
        <f>'Catalogo Maestro'!L207</f>
        <v>Responsables, suplentes y contactos</v>
      </c>
      <c r="I43" s="12">
        <f>'Catalogo Maestro'!M207</f>
        <v>0</v>
      </c>
    </row>
    <row r="44" spans="1:9">
      <c r="A44" s="11" t="str">
        <f>'Catalogo Maestro'!E208</f>
        <v>SEC4-004</v>
      </c>
      <c r="B44" s="7" t="str">
        <f>'Catalogo Maestro'!C208</f>
        <v>Preparación para respuesta a incidentes</v>
      </c>
      <c r="C44" s="7" t="str">
        <f>'Catalogo Maestro'!D208</f>
        <v>Procedimientos</v>
      </c>
      <c r="D44" s="7" t="str">
        <f>'Catalogo Maestro'!F208</f>
        <v>Playbook de detección y análisis</v>
      </c>
      <c r="E44" s="7" t="str">
        <f>'Catalogo Maestro'!G208</f>
        <v>Base incluido</v>
      </c>
      <c r="F44" s="16">
        <f>'Catalogo Maestro'!J208</f>
        <v>1.5</v>
      </c>
      <c r="G44" s="16">
        <f>'Catalogo Maestro'!K208</f>
        <v>1.0499999999999998</v>
      </c>
      <c r="H44" s="7" t="str">
        <f>'Catalogo Maestro'!L208</f>
        <v>Evidencia, validación y clasificación</v>
      </c>
      <c r="I44" s="12">
        <f>'Catalogo Maestro'!M208</f>
        <v>0</v>
      </c>
    </row>
    <row r="45" spans="1:9">
      <c r="A45" s="11" t="str">
        <f>'Catalogo Maestro'!E209</f>
        <v>SEC4-005</v>
      </c>
      <c r="B45" s="7" t="str">
        <f>'Catalogo Maestro'!C209</f>
        <v>Preparación para respuesta a incidentes</v>
      </c>
      <c r="C45" s="7" t="str">
        <f>'Catalogo Maestro'!D209</f>
        <v>Procedimientos</v>
      </c>
      <c r="D45" s="7" t="str">
        <f>'Catalogo Maestro'!F209</f>
        <v>Playbook de contención y erradicación</v>
      </c>
      <c r="E45" s="7" t="str">
        <f>'Catalogo Maestro'!G209</f>
        <v>Base incluido</v>
      </c>
      <c r="F45" s="16">
        <f>'Catalogo Maestro'!J209</f>
        <v>2</v>
      </c>
      <c r="G45" s="16">
        <f>'Catalogo Maestro'!K209</f>
        <v>1.4</v>
      </c>
      <c r="H45" s="7" t="str">
        <f>'Catalogo Maestro'!L209</f>
        <v>Aislamiento, bloqueo y limpieza</v>
      </c>
      <c r="I45" s="12">
        <f>'Catalogo Maestro'!M209</f>
        <v>0</v>
      </c>
    </row>
    <row r="46" spans="1:9">
      <c r="A46" s="11" t="str">
        <f>'Catalogo Maestro'!E210</f>
        <v>SEC4-006</v>
      </c>
      <c r="B46" s="7" t="str">
        <f>'Catalogo Maestro'!C210</f>
        <v>Preparación para respuesta a incidentes</v>
      </c>
      <c r="C46" s="7" t="str">
        <f>'Catalogo Maestro'!D210</f>
        <v>Procedimientos</v>
      </c>
      <c r="D46" s="7" t="str">
        <f>'Catalogo Maestro'!F210</f>
        <v>Playbook de recuperación</v>
      </c>
      <c r="E46" s="7" t="str">
        <f>'Catalogo Maestro'!G210</f>
        <v>Base incluido</v>
      </c>
      <c r="F46" s="16">
        <f>'Catalogo Maestro'!J210</f>
        <v>1.5</v>
      </c>
      <c r="G46" s="16">
        <f>'Catalogo Maestro'!K210</f>
        <v>1.0499999999999998</v>
      </c>
      <c r="H46" s="7" t="str">
        <f>'Catalogo Maestro'!L210</f>
        <v>Restauración, validación y retorno</v>
      </c>
      <c r="I46" s="12">
        <f>'Catalogo Maestro'!M210</f>
        <v>0</v>
      </c>
    </row>
    <row r="47" spans="1:9">
      <c r="A47" s="11" t="str">
        <f>'Catalogo Maestro'!E211</f>
        <v>SEC4-007</v>
      </c>
      <c r="B47" s="7" t="str">
        <f>'Catalogo Maestro'!C211</f>
        <v>Preparación para respuesta a incidentes</v>
      </c>
      <c r="C47" s="7" t="str">
        <f>'Catalogo Maestro'!D211</f>
        <v>Comunicación</v>
      </c>
      <c r="D47" s="7" t="str">
        <f>'Catalogo Maestro'!F211</f>
        <v>Plan de comunicación de incidentes</v>
      </c>
      <c r="E47" s="7" t="str">
        <f>'Catalogo Maestro'!G211</f>
        <v>Base obligatorio</v>
      </c>
      <c r="F47" s="16">
        <f>'Catalogo Maestro'!J211</f>
        <v>1.5</v>
      </c>
      <c r="G47" s="16">
        <f>'Catalogo Maestro'!K211</f>
        <v>1.0499999999999998</v>
      </c>
      <c r="H47" s="7" t="str">
        <f>'Catalogo Maestro'!L211</f>
        <v>Interna, cliente y terceros</v>
      </c>
      <c r="I47" s="12">
        <f>'Catalogo Maestro'!M211</f>
        <v>0</v>
      </c>
    </row>
    <row r="48" spans="1:9">
      <c r="A48" s="11" t="str">
        <f>'Catalogo Maestro'!E212</f>
        <v>SEC4-008</v>
      </c>
      <c r="B48" s="7" t="str">
        <f>'Catalogo Maestro'!C212</f>
        <v>Preparación para respuesta a incidentes</v>
      </c>
      <c r="C48" s="7" t="str">
        <f>'Catalogo Maestro'!D212</f>
        <v>Evidencia</v>
      </c>
      <c r="D48" s="7" t="str">
        <f>'Catalogo Maestro'!F212</f>
        <v>Preparación de fuentes de evidencia</v>
      </c>
      <c r="E48" s="7" t="str">
        <f>'Catalogo Maestro'!G212</f>
        <v>Base incluido</v>
      </c>
      <c r="F48" s="16">
        <f>'Catalogo Maestro'!J212</f>
        <v>0.75</v>
      </c>
      <c r="G48" s="16">
        <f>'Catalogo Maestro'!K212</f>
        <v>0.52499999999999991</v>
      </c>
      <c r="H48" s="7" t="str">
        <f>'Catalogo Maestro'!L212</f>
        <v>Logs, respaldos y auditoría</v>
      </c>
      <c r="I48" s="12">
        <f>'Catalogo Maestro'!M212</f>
        <v>0</v>
      </c>
    </row>
    <row r="49" spans="1:9">
      <c r="A49" s="11" t="str">
        <f>'Catalogo Maestro'!E213</f>
        <v>SEC4-009</v>
      </c>
      <c r="B49" s="7" t="str">
        <f>'Catalogo Maestro'!C213</f>
        <v>Preparación para respuesta a incidentes</v>
      </c>
      <c r="C49" s="7" t="str">
        <f>'Catalogo Maestro'!D213</f>
        <v>Simulación</v>
      </c>
      <c r="D49" s="7" t="str">
        <f>'Catalogo Maestro'!F213</f>
        <v>Diseño de ejercicio de mesa</v>
      </c>
      <c r="E49" s="7" t="str">
        <f>'Catalogo Maestro'!G213</f>
        <v>Base obligatorio</v>
      </c>
      <c r="F49" s="16">
        <f>'Catalogo Maestro'!J213</f>
        <v>2</v>
      </c>
      <c r="G49" s="16">
        <f>'Catalogo Maestro'!K213</f>
        <v>1.4</v>
      </c>
      <c r="H49" s="7" t="str">
        <f>'Catalogo Maestro'!L213</f>
        <v>Escenario, decisiones y criterios</v>
      </c>
      <c r="I49" s="12">
        <f>'Catalogo Maestro'!M213</f>
        <v>0</v>
      </c>
    </row>
    <row r="50" spans="1:9">
      <c r="A50" s="11" t="str">
        <f>'Catalogo Maestro'!E214</f>
        <v>SEC4-010</v>
      </c>
      <c r="B50" s="7" t="str">
        <f>'Catalogo Maestro'!C214</f>
        <v>Preparación para respuesta a incidentes</v>
      </c>
      <c r="C50" s="7" t="str">
        <f>'Catalogo Maestro'!D214</f>
        <v>Simulación</v>
      </c>
      <c r="D50" s="7" t="str">
        <f>'Catalogo Maestro'!F214</f>
        <v>Ejecución de ejercicio de mesa</v>
      </c>
      <c r="E50" s="7" t="str">
        <f>'Catalogo Maestro'!G214</f>
        <v>Base obligatorio</v>
      </c>
      <c r="F50" s="16">
        <f>'Catalogo Maestro'!J214</f>
        <v>3</v>
      </c>
      <c r="G50" s="16">
        <f>'Catalogo Maestro'!K214</f>
        <v>2.0999999999999996</v>
      </c>
      <c r="H50" s="7" t="str">
        <f>'Catalogo Maestro'!L214</f>
        <v>Tiempos, coordinación y evidencia</v>
      </c>
      <c r="I50" s="12">
        <f>'Catalogo Maestro'!M214</f>
        <v>0</v>
      </c>
    </row>
    <row r="51" spans="1:9">
      <c r="A51" s="13" t="str">
        <f>'Catalogo Maestro'!E215</f>
        <v>SEC4-011</v>
      </c>
      <c r="B51" s="14" t="str">
        <f>'Catalogo Maestro'!C215</f>
        <v>Preparación para respuesta a incidentes</v>
      </c>
      <c r="C51" s="14" t="str">
        <f>'Catalogo Maestro'!D215</f>
        <v>Mejora</v>
      </c>
      <c r="D51" s="14" t="str">
        <f>'Catalogo Maestro'!F215</f>
        <v>Informe de brechas y plan de mejora</v>
      </c>
      <c r="E51" s="14" t="str">
        <f>'Catalogo Maestro'!G215</f>
        <v>Base obligatorio</v>
      </c>
      <c r="F51" s="22">
        <f>'Catalogo Maestro'!J215</f>
        <v>2</v>
      </c>
      <c r="G51" s="22">
        <f>'Catalogo Maestro'!K215</f>
        <v>1.4</v>
      </c>
      <c r="H51" s="14" t="str">
        <f>'Catalogo Maestro'!L215</f>
        <v>Hallazgos, acciones y responsables</v>
      </c>
      <c r="I51" s="15">
        <f>'Catalogo Maestro'!M215</f>
        <v>0</v>
      </c>
    </row>
  </sheetData>
  <mergeCells count="2">
    <mergeCell ref="A1:I1"/>
    <mergeCell ref="A3:I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49"/>
  <sheetViews>
    <sheetView workbookViewId="0"/>
  </sheetViews>
  <sheetFormatPr baseColWidth="10" defaultColWidth="9" defaultRowHeight="14.25"/>
  <cols>
    <col min="1" max="1" width="14" customWidth="1"/>
    <col min="2" max="2" width="42" customWidth="1"/>
    <col min="3" max="3" width="18" customWidth="1"/>
    <col min="4" max="4" width="48" customWidth="1"/>
    <col min="5" max="5" width="18" customWidth="1"/>
    <col min="6" max="7" width="16" customWidth="1"/>
    <col min="8" max="8" width="62" customWidth="1"/>
    <col min="9" max="9" width="52" customWidth="1"/>
  </cols>
  <sheetData>
    <row r="1" spans="1:9" ht="33.950000000000003" customHeight="1">
      <c r="A1" s="36" t="s">
        <v>1148</v>
      </c>
      <c r="B1" s="36"/>
      <c r="C1" s="36"/>
      <c r="D1" s="36"/>
      <c r="E1" s="36"/>
      <c r="F1" s="36"/>
      <c r="G1" s="36"/>
      <c r="H1" s="36"/>
      <c r="I1" s="36"/>
    </row>
    <row r="3" spans="1:9" ht="33.950000000000003" customHeight="1">
      <c r="A3" s="37" t="s">
        <v>1142</v>
      </c>
      <c r="B3" s="37"/>
      <c r="C3" s="37"/>
      <c r="D3" s="37"/>
      <c r="E3" s="37"/>
      <c r="F3" s="37"/>
      <c r="G3" s="37"/>
      <c r="H3" s="37"/>
      <c r="I3" s="37"/>
    </row>
    <row r="5" spans="1:9" ht="27.95" customHeight="1">
      <c r="A5" s="6" t="s">
        <v>95</v>
      </c>
      <c r="B5" s="6" t="s">
        <v>499</v>
      </c>
      <c r="C5" s="6" t="s">
        <v>149</v>
      </c>
      <c r="D5" s="6" t="s">
        <v>151</v>
      </c>
      <c r="E5" s="6" t="s">
        <v>152</v>
      </c>
      <c r="F5" s="6" t="s">
        <v>1143</v>
      </c>
      <c r="G5" s="6" t="s">
        <v>99</v>
      </c>
      <c r="H5" s="6" t="s">
        <v>156</v>
      </c>
      <c r="I5" s="6" t="s">
        <v>157</v>
      </c>
    </row>
    <row r="6" spans="1:9">
      <c r="A6" s="8" t="str">
        <f>'Catalogo Maestro'!E216</f>
        <v>SUP1-001</v>
      </c>
      <c r="B6" s="9" t="str">
        <f>'Catalogo Maestro'!C216</f>
        <v>Implementación de mesa de ayuda</v>
      </c>
      <c r="C6" s="9" t="str">
        <f>'Catalogo Maestro'!D216</f>
        <v>Diseño</v>
      </c>
      <c r="D6" s="9" t="str">
        <f>'Catalogo Maestro'!F216</f>
        <v>Definición del catálogo de atención</v>
      </c>
      <c r="E6" s="9" t="str">
        <f>'Catalogo Maestro'!G216</f>
        <v>Base obligatorio</v>
      </c>
      <c r="F6" s="21">
        <f>'Catalogo Maestro'!J216</f>
        <v>0.5</v>
      </c>
      <c r="G6" s="21">
        <f>'Catalogo Maestro'!K216</f>
        <v>0.35</v>
      </c>
      <c r="H6" s="9" t="str">
        <f>'Catalogo Maestro'!L216</f>
        <v>Servicios, solicitudes y exclusiones</v>
      </c>
      <c r="I6" s="10">
        <f>'Catalogo Maestro'!M216</f>
        <v>0</v>
      </c>
    </row>
    <row r="7" spans="1:9">
      <c r="A7" s="11" t="str">
        <f>'Catalogo Maestro'!E217</f>
        <v>SUP1-002</v>
      </c>
      <c r="B7" s="7" t="str">
        <f>'Catalogo Maestro'!C217</f>
        <v>Implementación de mesa de ayuda</v>
      </c>
      <c r="C7" s="7" t="str">
        <f>'Catalogo Maestro'!D217</f>
        <v>Diseño</v>
      </c>
      <c r="D7" s="7" t="str">
        <f>'Catalogo Maestro'!F217</f>
        <v>Definición de canales de ingreso</v>
      </c>
      <c r="E7" s="7" t="str">
        <f>'Catalogo Maestro'!G217</f>
        <v>Base obligatorio</v>
      </c>
      <c r="F7" s="16">
        <f>'Catalogo Maestro'!J217</f>
        <v>0.75</v>
      </c>
      <c r="G7" s="16">
        <f>'Catalogo Maestro'!K217</f>
        <v>0.52499999999999991</v>
      </c>
      <c r="H7" s="7" t="str">
        <f>'Catalogo Maestro'!L217</f>
        <v>Formulario, correo o portal</v>
      </c>
      <c r="I7" s="12">
        <f>'Catalogo Maestro'!M217</f>
        <v>0</v>
      </c>
    </row>
    <row r="8" spans="1:9">
      <c r="A8" s="11" t="str">
        <f>'Catalogo Maestro'!E218</f>
        <v>SUP1-003</v>
      </c>
      <c r="B8" s="7" t="str">
        <f>'Catalogo Maestro'!C218</f>
        <v>Implementación de mesa de ayuda</v>
      </c>
      <c r="C8" s="7" t="str">
        <f>'Catalogo Maestro'!D218</f>
        <v>Proceso</v>
      </c>
      <c r="D8" s="7" t="str">
        <f>'Catalogo Maestro'!F218</f>
        <v>Parametrización del flujo básico de tickets</v>
      </c>
      <c r="E8" s="7" t="str">
        <f>'Catalogo Maestro'!G218</f>
        <v>Base obligatorio</v>
      </c>
      <c r="F8" s="16">
        <f>'Catalogo Maestro'!J218</f>
        <v>2.5</v>
      </c>
      <c r="G8" s="16">
        <f>'Catalogo Maestro'!K218</f>
        <v>1.75</v>
      </c>
      <c r="H8" s="7" t="str">
        <f>'Catalogo Maestro'!L218</f>
        <v>Configuración operativa de estados, asignación y cierre sobre una definición básica.</v>
      </c>
      <c r="I8" s="12" t="str">
        <f>'Catalogo Maestro'!M218</f>
        <v>El diseño formal de procesos ITSM se cotiza en SUP-02.</v>
      </c>
    </row>
    <row r="9" spans="1:9">
      <c r="A9" s="11" t="str">
        <f>'Catalogo Maestro'!E219</f>
        <v>SUP1-004</v>
      </c>
      <c r="B9" s="7" t="str">
        <f>'Catalogo Maestro'!C219</f>
        <v>Implementación de mesa de ayuda</v>
      </c>
      <c r="C9" s="7" t="str">
        <f>'Catalogo Maestro'!D219</f>
        <v>Proceso</v>
      </c>
      <c r="D9" s="7" t="str">
        <f>'Catalogo Maestro'!F219</f>
        <v>Parametrización de prioridades y severidades</v>
      </c>
      <c r="E9" s="7" t="str">
        <f>'Catalogo Maestro'!G219</f>
        <v>Base obligatorio</v>
      </c>
      <c r="F9" s="16">
        <f>'Catalogo Maestro'!J219</f>
        <v>0.5</v>
      </c>
      <c r="G9" s="16">
        <f>'Catalogo Maestro'!K219</f>
        <v>0.35</v>
      </c>
      <c r="H9" s="7" t="str">
        <f>'Catalogo Maestro'!L219</f>
        <v>Configuración en la herramienta de niveles previamente acordados.</v>
      </c>
      <c r="I9" s="12" t="str">
        <f>'Catalogo Maestro'!M219</f>
        <v>La definición metodológica completa se cotiza en SUP-02.</v>
      </c>
    </row>
    <row r="10" spans="1:9">
      <c r="A10" s="11" t="str">
        <f>'Catalogo Maestro'!E220</f>
        <v>SUP1-005</v>
      </c>
      <c r="B10" s="7" t="str">
        <f>'Catalogo Maestro'!C220</f>
        <v>Implementación de mesa de ayuda</v>
      </c>
      <c r="C10" s="7" t="str">
        <f>'Catalogo Maestro'!D220</f>
        <v>SLA</v>
      </c>
      <c r="D10" s="7" t="str">
        <f>'Catalogo Maestro'!F220</f>
        <v>Parametrización de SLA definidos</v>
      </c>
      <c r="E10" s="7" t="str">
        <f>'Catalogo Maestro'!G220</f>
        <v>Base obligatorio</v>
      </c>
      <c r="F10" s="16">
        <f>'Catalogo Maestro'!J220</f>
        <v>0.5</v>
      </c>
      <c r="G10" s="16">
        <f>'Catalogo Maestro'!K220</f>
        <v>0.35</v>
      </c>
      <c r="H10" s="7" t="str">
        <f>'Catalogo Maestro'!L220</f>
        <v>Configuración de tiempos de respuesta, resolución y cobertura en la herramienta.</v>
      </c>
      <c r="I10" s="12" t="str">
        <f>'Catalogo Maestro'!M220</f>
        <v>La definición y gobierno formal de SLA se cotizan en SUP-02.</v>
      </c>
    </row>
    <row r="11" spans="1:9">
      <c r="A11" s="11" t="str">
        <f>'Catalogo Maestro'!E221</f>
        <v>SUP1-006</v>
      </c>
      <c r="B11" s="7" t="str">
        <f>'Catalogo Maestro'!C221</f>
        <v>Implementación de mesa de ayuda</v>
      </c>
      <c r="C11" s="7" t="str">
        <f>'Catalogo Maestro'!D221</f>
        <v>Configuración</v>
      </c>
      <c r="D11" s="7" t="str">
        <f>'Catalogo Maestro'!F221</f>
        <v>Configuración de campos y formularios</v>
      </c>
      <c r="E11" s="7" t="str">
        <f>'Catalogo Maestro'!G221</f>
        <v>Base incluido</v>
      </c>
      <c r="F11" s="16">
        <f>'Catalogo Maestro'!J221</f>
        <v>1</v>
      </c>
      <c r="G11" s="16">
        <f>'Catalogo Maestro'!K221</f>
        <v>0.7</v>
      </c>
      <c r="H11" s="7" t="str">
        <f>'Catalogo Maestro'!L221</f>
        <v>Campos, validaciones y clasificación</v>
      </c>
      <c r="I11" s="12">
        <f>'Catalogo Maestro'!M221</f>
        <v>0</v>
      </c>
    </row>
    <row r="12" spans="1:9">
      <c r="A12" s="11" t="str">
        <f>'Catalogo Maestro'!E222</f>
        <v>SUP1-007</v>
      </c>
      <c r="B12" s="7" t="str">
        <f>'Catalogo Maestro'!C222</f>
        <v>Implementación de mesa de ayuda</v>
      </c>
      <c r="C12" s="7" t="str">
        <f>'Catalogo Maestro'!D222</f>
        <v>Configuración</v>
      </c>
      <c r="D12" s="7" t="str">
        <f>'Catalogo Maestro'!F222</f>
        <v>Configuración de estados y automatizaciones</v>
      </c>
      <c r="E12" s="7" t="str">
        <f>'Catalogo Maestro'!G222</f>
        <v>Base incluido</v>
      </c>
      <c r="F12" s="16">
        <f>'Catalogo Maestro'!J222</f>
        <v>1.5</v>
      </c>
      <c r="G12" s="16">
        <f>'Catalogo Maestro'!K222</f>
        <v>1.0499999999999998</v>
      </c>
      <c r="H12" s="7" t="str">
        <f>'Catalogo Maestro'!L222</f>
        <v>Asignación, notificación y escalamiento</v>
      </c>
      <c r="I12" s="12">
        <f>'Catalogo Maestro'!M222</f>
        <v>0</v>
      </c>
    </row>
    <row r="13" spans="1:9">
      <c r="A13" s="11" t="str">
        <f>'Catalogo Maestro'!E223</f>
        <v>SUP1-008</v>
      </c>
      <c r="B13" s="7" t="str">
        <f>'Catalogo Maestro'!C223</f>
        <v>Implementación de mesa de ayuda</v>
      </c>
      <c r="C13" s="7" t="str">
        <f>'Catalogo Maestro'!D223</f>
        <v>Configuración</v>
      </c>
      <c r="D13" s="7" t="str">
        <f>'Catalogo Maestro'!F223</f>
        <v>Configuración de usuarios y permisos</v>
      </c>
      <c r="E13" s="7" t="str">
        <f>'Catalogo Maestro'!G223</f>
        <v>Base incluido</v>
      </c>
      <c r="F13" s="16">
        <f>'Catalogo Maestro'!J223</f>
        <v>0.75</v>
      </c>
      <c r="G13" s="16">
        <f>'Catalogo Maestro'!K223</f>
        <v>0.52499999999999991</v>
      </c>
      <c r="H13" s="7" t="str">
        <f>'Catalogo Maestro'!L223</f>
        <v>Agentes, administradores y solicitantes</v>
      </c>
      <c r="I13" s="12">
        <f>'Catalogo Maestro'!M223</f>
        <v>0</v>
      </c>
    </row>
    <row r="14" spans="1:9">
      <c r="A14" s="11" t="str">
        <f>'Catalogo Maestro'!E224</f>
        <v>SUP1-009</v>
      </c>
      <c r="B14" s="7" t="str">
        <f>'Catalogo Maestro'!C224</f>
        <v>Implementación de mesa de ayuda</v>
      </c>
      <c r="C14" s="7" t="str">
        <f>'Catalogo Maestro'!D224</f>
        <v>Comunicación</v>
      </c>
      <c r="D14" s="7" t="str">
        <f>'Catalogo Maestro'!F224</f>
        <v>Plantillas de comunicación</v>
      </c>
      <c r="E14" s="7" t="str">
        <f>'Catalogo Maestro'!G224</f>
        <v>Base incluido</v>
      </c>
      <c r="F14" s="16">
        <f>'Catalogo Maestro'!J224</f>
        <v>0.5</v>
      </c>
      <c r="G14" s="16">
        <f>'Catalogo Maestro'!K224</f>
        <v>0.35</v>
      </c>
      <c r="H14" s="7" t="str">
        <f>'Catalogo Maestro'!L224</f>
        <v>Recepción, actualización y cierre</v>
      </c>
      <c r="I14" s="12">
        <f>'Catalogo Maestro'!M224</f>
        <v>0</v>
      </c>
    </row>
    <row r="15" spans="1:9">
      <c r="A15" s="11" t="str">
        <f>'Catalogo Maestro'!E225</f>
        <v>SUP1-010</v>
      </c>
      <c r="B15" s="7" t="str">
        <f>'Catalogo Maestro'!C225</f>
        <v>Implementación de mesa de ayuda</v>
      </c>
      <c r="C15" s="7" t="str">
        <f>'Catalogo Maestro'!D225</f>
        <v>Reportes</v>
      </c>
      <c r="D15" s="7" t="str">
        <f>'Catalogo Maestro'!F225</f>
        <v>Dashboard y reporte inicial de puesta en marcha</v>
      </c>
      <c r="E15" s="7" t="str">
        <f>'Catalogo Maestro'!G225</f>
        <v>Base incluido</v>
      </c>
      <c r="F15" s="16">
        <f>'Catalogo Maestro'!J225</f>
        <v>2</v>
      </c>
      <c r="G15" s="16">
        <f>'Catalogo Maestro'!K225</f>
        <v>1.4</v>
      </c>
      <c r="H15" s="7" t="str">
        <f>'Catalogo Maestro'!L225</f>
        <v>Vista inicial de volumen, tiempos y estado para validar la operación.</v>
      </c>
      <c r="I15" s="12" t="str">
        <f>'Catalogo Maestro'!M225</f>
        <v>La reportería operacional avanzada se contabiliza en SUP2-010.</v>
      </c>
    </row>
    <row r="16" spans="1:9">
      <c r="A16" s="11" t="str">
        <f>'Catalogo Maestro'!E226</f>
        <v>SUP1-011</v>
      </c>
      <c r="B16" s="7" t="str">
        <f>'Catalogo Maestro'!C226</f>
        <v>Implementación de mesa de ayuda</v>
      </c>
      <c r="C16" s="7" t="str">
        <f>'Catalogo Maestro'!D226</f>
        <v>Calidad</v>
      </c>
      <c r="D16" s="7" t="str">
        <f>'Catalogo Maestro'!F226</f>
        <v>Piloto con casos de atención</v>
      </c>
      <c r="E16" s="7" t="str">
        <f>'Catalogo Maestro'!G226</f>
        <v>Base obligatorio</v>
      </c>
      <c r="F16" s="16">
        <f>'Catalogo Maestro'!J226</f>
        <v>0.5</v>
      </c>
      <c r="G16" s="16">
        <f>'Catalogo Maestro'!K226</f>
        <v>0.35</v>
      </c>
      <c r="H16" s="7" t="str">
        <f>'Catalogo Maestro'!L226</f>
        <v>Creación, asignación, atención y cierre</v>
      </c>
      <c r="I16" s="12">
        <f>'Catalogo Maestro'!M226</f>
        <v>0</v>
      </c>
    </row>
    <row r="17" spans="1:9">
      <c r="A17" s="11" t="str">
        <f>'Catalogo Maestro'!E227</f>
        <v>SUP1-012</v>
      </c>
      <c r="B17" s="7" t="str">
        <f>'Catalogo Maestro'!C227</f>
        <v>Implementación de mesa de ayuda</v>
      </c>
      <c r="C17" s="7" t="str">
        <f>'Catalogo Maestro'!D227</f>
        <v>Entrega</v>
      </c>
      <c r="D17" s="7" t="str">
        <f>'Catalogo Maestro'!F227</f>
        <v>Capacitación y documentación</v>
      </c>
      <c r="E17" s="7" t="str">
        <f>'Catalogo Maestro'!G227</f>
        <v>Base obligatorio</v>
      </c>
      <c r="F17" s="16">
        <f>'Catalogo Maestro'!J227</f>
        <v>2</v>
      </c>
      <c r="G17" s="16">
        <f>'Catalogo Maestro'!K227</f>
        <v>1.4</v>
      </c>
      <c r="H17" s="7" t="str">
        <f>'Catalogo Maestro'!L227</f>
        <v>Uso, administración y soporte</v>
      </c>
      <c r="I17" s="12">
        <f>'Catalogo Maestro'!M227</f>
        <v>0</v>
      </c>
    </row>
    <row r="18" spans="1:9">
      <c r="A18" s="11" t="str">
        <f>'Catalogo Maestro'!E228</f>
        <v>SUP2-001</v>
      </c>
      <c r="B18" s="7" t="str">
        <f>'Catalogo Maestro'!C228</f>
        <v>Gestión de incidentes, solicitudes y cambios</v>
      </c>
      <c r="C18" s="7" t="str">
        <f>'Catalogo Maestro'!D228</f>
        <v>Gobierno</v>
      </c>
      <c r="D18" s="7" t="str">
        <f>'Catalogo Maestro'!F228</f>
        <v>Definición de alcance de procesos ITSM</v>
      </c>
      <c r="E18" s="7" t="str">
        <f>'Catalogo Maestro'!G228</f>
        <v>Base obligatorio</v>
      </c>
      <c r="F18" s="16">
        <f>'Catalogo Maestro'!J228</f>
        <v>0.75</v>
      </c>
      <c r="G18" s="16">
        <f>'Catalogo Maestro'!K228</f>
        <v>0.52499999999999991</v>
      </c>
      <c r="H18" s="7" t="str">
        <f>'Catalogo Maestro'!L228</f>
        <v>Incidente, solicitud, problema y cambio</v>
      </c>
      <c r="I18" s="12">
        <f>'Catalogo Maestro'!M228</f>
        <v>0</v>
      </c>
    </row>
    <row r="19" spans="1:9">
      <c r="A19" s="11" t="str">
        <f>'Catalogo Maestro'!E229</f>
        <v>SUP2-002</v>
      </c>
      <c r="B19" s="7" t="str">
        <f>'Catalogo Maestro'!C229</f>
        <v>Gestión de incidentes, solicitudes y cambios</v>
      </c>
      <c r="C19" s="7" t="str">
        <f>'Catalogo Maestro'!D229</f>
        <v>Proceso</v>
      </c>
      <c r="D19" s="7" t="str">
        <f>'Catalogo Maestro'!F229</f>
        <v>Diseño formal del proceso de incidentes</v>
      </c>
      <c r="E19" s="7" t="str">
        <f>'Catalogo Maestro'!G229</f>
        <v>Base obligatorio</v>
      </c>
      <c r="F19" s="16">
        <f>'Catalogo Maestro'!J229</f>
        <v>2</v>
      </c>
      <c r="G19" s="16">
        <f>'Catalogo Maestro'!K229</f>
        <v>1.4</v>
      </c>
      <c r="H19" s="7" t="str">
        <f>'Catalogo Maestro'!L229</f>
        <v>Registro, clasificación, escalamiento y cierre</v>
      </c>
      <c r="I19" s="12">
        <f>'Catalogo Maestro'!M229</f>
        <v>0</v>
      </c>
    </row>
    <row r="20" spans="1:9">
      <c r="A20" s="11" t="str">
        <f>'Catalogo Maestro'!E230</f>
        <v>SUP2-003</v>
      </c>
      <c r="B20" s="7" t="str">
        <f>'Catalogo Maestro'!C230</f>
        <v>Gestión de incidentes, solicitudes y cambios</v>
      </c>
      <c r="C20" s="7" t="str">
        <f>'Catalogo Maestro'!D230</f>
        <v>Proceso</v>
      </c>
      <c r="D20" s="7" t="str">
        <f>'Catalogo Maestro'!F230</f>
        <v>Diseño formal del proceso de solicitudes</v>
      </c>
      <c r="E20" s="7" t="str">
        <f>'Catalogo Maestro'!G230</f>
        <v>Base obligatorio</v>
      </c>
      <c r="F20" s="16">
        <f>'Catalogo Maestro'!J230</f>
        <v>1.5</v>
      </c>
      <c r="G20" s="16">
        <f>'Catalogo Maestro'!K230</f>
        <v>1.0499999999999998</v>
      </c>
      <c r="H20" s="7" t="str">
        <f>'Catalogo Maestro'!L230</f>
        <v>Catálogo, aprobación y entrega</v>
      </c>
      <c r="I20" s="12">
        <f>'Catalogo Maestro'!M230</f>
        <v>0</v>
      </c>
    </row>
    <row r="21" spans="1:9">
      <c r="A21" s="11" t="str">
        <f>'Catalogo Maestro'!E231</f>
        <v>SUP2-004</v>
      </c>
      <c r="B21" s="7" t="str">
        <f>'Catalogo Maestro'!C231</f>
        <v>Gestión de incidentes, solicitudes y cambios</v>
      </c>
      <c r="C21" s="7" t="str">
        <f>'Catalogo Maestro'!D231</f>
        <v>Proceso</v>
      </c>
      <c r="D21" s="7" t="str">
        <f>'Catalogo Maestro'!F231</f>
        <v>Diseño formal del proceso de cambios</v>
      </c>
      <c r="E21" s="7" t="str">
        <f>'Catalogo Maestro'!G231</f>
        <v>Base obligatorio</v>
      </c>
      <c r="F21" s="16">
        <f>'Catalogo Maestro'!J231</f>
        <v>2</v>
      </c>
      <c r="G21" s="16">
        <f>'Catalogo Maestro'!K231</f>
        <v>1.4</v>
      </c>
      <c r="H21" s="7" t="str">
        <f>'Catalogo Maestro'!L231</f>
        <v>Riesgo, aprobación, reversa y validación</v>
      </c>
      <c r="I21" s="12">
        <f>'Catalogo Maestro'!M231</f>
        <v>0</v>
      </c>
    </row>
    <row r="22" spans="1:9">
      <c r="A22" s="11" t="str">
        <f>'Catalogo Maestro'!E232</f>
        <v>SUP2-005</v>
      </c>
      <c r="B22" s="7" t="str">
        <f>'Catalogo Maestro'!C232</f>
        <v>Gestión de incidentes, solicitudes y cambios</v>
      </c>
      <c r="C22" s="7" t="str">
        <f>'Catalogo Maestro'!D232</f>
        <v>Proceso</v>
      </c>
      <c r="D22" s="7" t="str">
        <f>'Catalogo Maestro'!F232</f>
        <v>Diseño formal del proceso de problemas</v>
      </c>
      <c r="E22" s="7" t="str">
        <f>'Catalogo Maestro'!G232</f>
        <v>Opcional</v>
      </c>
      <c r="F22" s="16">
        <f>'Catalogo Maestro'!J232</f>
        <v>1.5</v>
      </c>
      <c r="G22" s="16">
        <f>'Catalogo Maestro'!K232</f>
        <v>1.0499999999999998</v>
      </c>
      <c r="H22" s="7" t="str">
        <f>'Catalogo Maestro'!L232</f>
        <v>Causa raíz y error conocido</v>
      </c>
      <c r="I22" s="12">
        <f>'Catalogo Maestro'!M232</f>
        <v>0</v>
      </c>
    </row>
    <row r="23" spans="1:9">
      <c r="A23" s="11" t="str">
        <f>'Catalogo Maestro'!E233</f>
        <v>SUP2-006</v>
      </c>
      <c r="B23" s="7" t="str">
        <f>'Catalogo Maestro'!C233</f>
        <v>Gestión de incidentes, solicitudes y cambios</v>
      </c>
      <c r="C23" s="7" t="str">
        <f>'Catalogo Maestro'!D233</f>
        <v>Roles</v>
      </c>
      <c r="D23" s="7" t="str">
        <f>'Catalogo Maestro'!F233</f>
        <v>Definición de roles y responsabilidades</v>
      </c>
      <c r="E23" s="7" t="str">
        <f>'Catalogo Maestro'!G233</f>
        <v>Base obligatorio</v>
      </c>
      <c r="F23" s="16">
        <f>'Catalogo Maestro'!J233</f>
        <v>0.5</v>
      </c>
      <c r="G23" s="16">
        <f>'Catalogo Maestro'!K233</f>
        <v>0.35</v>
      </c>
      <c r="H23" s="7" t="str">
        <f>'Catalogo Maestro'!L233</f>
        <v>Responsables y escalamiento</v>
      </c>
      <c r="I23" s="12">
        <f>'Catalogo Maestro'!M233</f>
        <v>0</v>
      </c>
    </row>
    <row r="24" spans="1:9">
      <c r="A24" s="11" t="str">
        <f>'Catalogo Maestro'!E234</f>
        <v>SUP2-007</v>
      </c>
      <c r="B24" s="7" t="str">
        <f>'Catalogo Maestro'!C234</f>
        <v>Gestión de incidentes, solicitudes y cambios</v>
      </c>
      <c r="C24" s="7" t="str">
        <f>'Catalogo Maestro'!D234</f>
        <v>Herramienta</v>
      </c>
      <c r="D24" s="7" t="str">
        <f>'Catalogo Maestro'!F234</f>
        <v>Configuración de herramienta o tablero</v>
      </c>
      <c r="E24" s="7" t="str">
        <f>'Catalogo Maestro'!G234</f>
        <v>Base incluido</v>
      </c>
      <c r="F24" s="16">
        <f>'Catalogo Maestro'!J234</f>
        <v>1.5</v>
      </c>
      <c r="G24" s="16">
        <f>'Catalogo Maestro'!K234</f>
        <v>1.0499999999999998</v>
      </c>
      <c r="H24" s="7" t="str">
        <f>'Catalogo Maestro'!L234</f>
        <v>Campos, vistas, estados y permisos</v>
      </c>
      <c r="I24" s="12">
        <f>'Catalogo Maestro'!M234</f>
        <v>0</v>
      </c>
    </row>
    <row r="25" spans="1:9">
      <c r="A25" s="11" t="str">
        <f>'Catalogo Maestro'!E235</f>
        <v>SUP2-008</v>
      </c>
      <c r="B25" s="7" t="str">
        <f>'Catalogo Maestro'!C235</f>
        <v>Gestión de incidentes, solicitudes y cambios</v>
      </c>
      <c r="C25" s="7" t="str">
        <f>'Catalogo Maestro'!D235</f>
        <v>Automatización</v>
      </c>
      <c r="D25" s="7" t="str">
        <f>'Catalogo Maestro'!F235</f>
        <v>Automatización de asignación y escalamiento</v>
      </c>
      <c r="E25" s="7" t="str">
        <f>'Catalogo Maestro'!G235</f>
        <v>Opcional</v>
      </c>
      <c r="F25" s="16">
        <f>'Catalogo Maestro'!J235</f>
        <v>0.75</v>
      </c>
      <c r="G25" s="16">
        <f>'Catalogo Maestro'!K235</f>
        <v>0.52499999999999991</v>
      </c>
      <c r="H25" s="7" t="str">
        <f>'Catalogo Maestro'!L235</f>
        <v>Condiciones, responsables y avisos</v>
      </c>
      <c r="I25" s="12">
        <f>'Catalogo Maestro'!M235</f>
        <v>0</v>
      </c>
    </row>
    <row r="26" spans="1:9">
      <c r="A26" s="11" t="str">
        <f>'Catalogo Maestro'!E236</f>
        <v>SUP2-009</v>
      </c>
      <c r="B26" s="7" t="str">
        <f>'Catalogo Maestro'!C236</f>
        <v>Gestión de incidentes, solicitudes y cambios</v>
      </c>
      <c r="C26" s="7" t="str">
        <f>'Catalogo Maestro'!D236</f>
        <v>Indicadores</v>
      </c>
      <c r="D26" s="7" t="str">
        <f>'Catalogo Maestro'!F236</f>
        <v>Definición de indicadores de gestión</v>
      </c>
      <c r="E26" s="7" t="str">
        <f>'Catalogo Maestro'!G236</f>
        <v>Base obligatorio</v>
      </c>
      <c r="F26" s="16">
        <f>'Catalogo Maestro'!J236</f>
        <v>0.5</v>
      </c>
      <c r="G26" s="16">
        <f>'Catalogo Maestro'!K236</f>
        <v>0.35</v>
      </c>
      <c r="H26" s="7" t="str">
        <f>'Catalogo Maestro'!L236</f>
        <v>Volumen, cumplimiento y tendencia</v>
      </c>
      <c r="I26" s="12">
        <f>'Catalogo Maestro'!M236</f>
        <v>0</v>
      </c>
    </row>
    <row r="27" spans="1:9">
      <c r="A27" s="11" t="str">
        <f>'Catalogo Maestro'!E237</f>
        <v>SUP2-010</v>
      </c>
      <c r="B27" s="7" t="str">
        <f>'Catalogo Maestro'!C237</f>
        <v>Gestión de incidentes, solicitudes y cambios</v>
      </c>
      <c r="C27" s="7" t="str">
        <f>'Catalogo Maestro'!D237</f>
        <v>Reportes</v>
      </c>
      <c r="D27" s="7" t="str">
        <f>'Catalogo Maestro'!F237</f>
        <v>Configuración de reportes operacionales avanzados</v>
      </c>
      <c r="E27" s="7" t="str">
        <f>'Catalogo Maestro'!G237</f>
        <v>Base incluido</v>
      </c>
      <c r="F27" s="16">
        <f>'Catalogo Maestro'!J237</f>
        <v>1.5</v>
      </c>
      <c r="G27" s="16">
        <f>'Catalogo Maestro'!K237</f>
        <v>1.0499999999999998</v>
      </c>
      <c r="H27" s="7" t="str">
        <f>'Catalogo Maestro'!L237</f>
        <v>Reportes periódicos por estado, SLA, carga, tendencia y cumplimiento.</v>
      </c>
      <c r="I27" s="12" t="str">
        <f>'Catalogo Maestro'!M237</f>
        <v>No vuelve a incluir el reporte inicial de puesta en marcha de SUP1-010.</v>
      </c>
    </row>
    <row r="28" spans="1:9">
      <c r="A28" s="11" t="str">
        <f>'Catalogo Maestro'!E238</f>
        <v>SUP2-011</v>
      </c>
      <c r="B28" s="7" t="str">
        <f>'Catalogo Maestro'!C238</f>
        <v>Gestión de incidentes, solicitudes y cambios</v>
      </c>
      <c r="C28" s="7" t="str">
        <f>'Catalogo Maestro'!D238</f>
        <v>Piloto</v>
      </c>
      <c r="D28" s="7" t="str">
        <f>'Catalogo Maestro'!F238</f>
        <v>Piloto con casos reales</v>
      </c>
      <c r="E28" s="7" t="str">
        <f>'Catalogo Maestro'!G238</f>
        <v>Base obligatorio</v>
      </c>
      <c r="F28" s="16">
        <f>'Catalogo Maestro'!J238</f>
        <v>0.5</v>
      </c>
      <c r="G28" s="16">
        <f>'Catalogo Maestro'!K238</f>
        <v>0.35</v>
      </c>
      <c r="H28" s="7" t="str">
        <f>'Catalogo Maestro'!L238</f>
        <v>Casos y retroalimentación</v>
      </c>
      <c r="I28" s="12">
        <f>'Catalogo Maestro'!M238</f>
        <v>0</v>
      </c>
    </row>
    <row r="29" spans="1:9">
      <c r="A29" s="11" t="str">
        <f>'Catalogo Maestro'!E239</f>
        <v>SUP2-012</v>
      </c>
      <c r="B29" s="7" t="str">
        <f>'Catalogo Maestro'!C239</f>
        <v>Gestión de incidentes, solicitudes y cambios</v>
      </c>
      <c r="C29" s="7" t="str">
        <f>'Catalogo Maestro'!D239</f>
        <v>Cierre</v>
      </c>
      <c r="D29" s="7" t="str">
        <f>'Catalogo Maestro'!F239</f>
        <v>Ajustes y documentación final</v>
      </c>
      <c r="E29" s="7" t="str">
        <f>'Catalogo Maestro'!G239</f>
        <v>Base obligatorio</v>
      </c>
      <c r="F29" s="16">
        <f>'Catalogo Maestro'!J239</f>
        <v>2</v>
      </c>
      <c r="G29" s="16">
        <f>'Catalogo Maestro'!K239</f>
        <v>1.4</v>
      </c>
      <c r="H29" s="7" t="str">
        <f>'Catalogo Maestro'!L239</f>
        <v>Procedimientos y mejoras</v>
      </c>
      <c r="I29" s="12">
        <f>'Catalogo Maestro'!M239</f>
        <v>0</v>
      </c>
    </row>
    <row r="30" spans="1:9">
      <c r="A30" s="11" t="str">
        <f>'Catalogo Maestro'!E240</f>
        <v>SUP3-001</v>
      </c>
      <c r="B30" s="7" t="str">
        <f>'Catalogo Maestro'!C240</f>
        <v>Bolsa mensual de soporte evolutivo</v>
      </c>
      <c r="C30" s="7" t="str">
        <f>'Catalogo Maestro'!D240</f>
        <v>Gestión</v>
      </c>
      <c r="D30" s="7" t="str">
        <f>'Catalogo Maestro'!F240</f>
        <v>Reunión de priorización y planificación</v>
      </c>
      <c r="E30" s="7" t="str">
        <f>'Catalogo Maestro'!G240</f>
        <v>Base obligatorio</v>
      </c>
      <c r="F30" s="16">
        <f>'Catalogo Maestro'!J240</f>
        <v>0.5</v>
      </c>
      <c r="G30" s="16">
        <f>'Catalogo Maestro'!K240</f>
        <v>0.35</v>
      </c>
      <c r="H30" s="7" t="str">
        <f>'Catalogo Maestro'!L240</f>
        <v>Prioridades, responsables y consumo</v>
      </c>
      <c r="I30" s="12">
        <f>'Catalogo Maestro'!M240</f>
        <v>0</v>
      </c>
    </row>
    <row r="31" spans="1:9">
      <c r="A31" s="11" t="str">
        <f>'Catalogo Maestro'!E241</f>
        <v>SUP3-002</v>
      </c>
      <c r="B31" s="7" t="str">
        <f>'Catalogo Maestro'!C241</f>
        <v>Bolsa mensual de soporte evolutivo</v>
      </c>
      <c r="C31" s="7" t="str">
        <f>'Catalogo Maestro'!D241</f>
        <v>Gestión</v>
      </c>
      <c r="D31" s="7" t="str">
        <f>'Catalogo Maestro'!F241</f>
        <v>Triage de solicitudes e incidentes</v>
      </c>
      <c r="E31" s="7" t="str">
        <f>'Catalogo Maestro'!G241</f>
        <v>Base obligatorio</v>
      </c>
      <c r="F31" s="16">
        <f>'Catalogo Maestro'!J241</f>
        <v>0.25</v>
      </c>
      <c r="G31" s="16">
        <f>'Catalogo Maestro'!K241</f>
        <v>0.17499999999999999</v>
      </c>
      <c r="H31" s="7" t="str">
        <f>'Catalogo Maestro'!L241</f>
        <v>Impacto, urgencia y estimación</v>
      </c>
      <c r="I31" s="12">
        <f>'Catalogo Maestro'!M241</f>
        <v>0</v>
      </c>
    </row>
    <row r="32" spans="1:9">
      <c r="A32" s="11" t="str">
        <f>'Catalogo Maestro'!E242</f>
        <v>SUP3-003</v>
      </c>
      <c r="B32" s="7" t="str">
        <f>'Catalogo Maestro'!C242</f>
        <v>Bolsa mensual de soporte evolutivo</v>
      </c>
      <c r="C32" s="7" t="str">
        <f>'Catalogo Maestro'!D242</f>
        <v>Soporte</v>
      </c>
      <c r="D32" s="7" t="str">
        <f>'Catalogo Maestro'!F242</f>
        <v>Atención de incidente menor</v>
      </c>
      <c r="E32" s="7" t="str">
        <f>'Catalogo Maestro'!G242</f>
        <v>Base incluido</v>
      </c>
      <c r="F32" s="16">
        <f>'Catalogo Maestro'!J242</f>
        <v>1.5</v>
      </c>
      <c r="G32" s="16">
        <f>'Catalogo Maestro'!K242</f>
        <v>1.0499999999999998</v>
      </c>
      <c r="H32" s="7" t="str">
        <f>'Catalogo Maestro'!L242</f>
        <v>Diagnóstico, corrección y cierre</v>
      </c>
      <c r="I32" s="12">
        <f>'Catalogo Maestro'!M242</f>
        <v>0</v>
      </c>
    </row>
    <row r="33" spans="1:9">
      <c r="A33" s="11" t="str">
        <f>'Catalogo Maestro'!E243</f>
        <v>SUP3-004</v>
      </c>
      <c r="B33" s="7" t="str">
        <f>'Catalogo Maestro'!C243</f>
        <v>Bolsa mensual de soporte evolutivo</v>
      </c>
      <c r="C33" s="7" t="str">
        <f>'Catalogo Maestro'!D243</f>
        <v>Soporte</v>
      </c>
      <c r="D33" s="7" t="str">
        <f>'Catalogo Maestro'!F243</f>
        <v>Atención de solicitud operativa</v>
      </c>
      <c r="E33" s="7" t="str">
        <f>'Catalogo Maestro'!G243</f>
        <v>Base incluido</v>
      </c>
      <c r="F33" s="16">
        <f>'Catalogo Maestro'!J243</f>
        <v>1</v>
      </c>
      <c r="G33" s="16">
        <f>'Catalogo Maestro'!K243</f>
        <v>0.7</v>
      </c>
      <c r="H33" s="7" t="str">
        <f>'Catalogo Maestro'!L243</f>
        <v>Configuración o apoyo funcional</v>
      </c>
      <c r="I33" s="12">
        <f>'Catalogo Maestro'!M243</f>
        <v>0</v>
      </c>
    </row>
    <row r="34" spans="1:9">
      <c r="A34" s="11" t="str">
        <f>'Catalogo Maestro'!E244</f>
        <v>SUP3-005</v>
      </c>
      <c r="B34" s="7" t="str">
        <f>'Catalogo Maestro'!C244</f>
        <v>Bolsa mensual de soporte evolutivo</v>
      </c>
      <c r="C34" s="7" t="str">
        <f>'Catalogo Maestro'!D244</f>
        <v>Evolución</v>
      </c>
      <c r="D34" s="7" t="str">
        <f>'Catalogo Maestro'!F244</f>
        <v>Cambio menor de aplicación</v>
      </c>
      <c r="E34" s="7" t="str">
        <f>'Catalogo Maestro'!G244</f>
        <v>Base incluido</v>
      </c>
      <c r="F34" s="16">
        <f>'Catalogo Maestro'!J244</f>
        <v>2</v>
      </c>
      <c r="G34" s="16">
        <f>'Catalogo Maestro'!K244</f>
        <v>1.4</v>
      </c>
      <c r="H34" s="7" t="str">
        <f>'Catalogo Maestro'!L244</f>
        <v>Ajuste acotado con pruebas</v>
      </c>
      <c r="I34" s="12">
        <f>'Catalogo Maestro'!M244</f>
        <v>0</v>
      </c>
    </row>
    <row r="35" spans="1:9">
      <c r="A35" s="11" t="str">
        <f>'Catalogo Maestro'!E245</f>
        <v>SUP3-006</v>
      </c>
      <c r="B35" s="7" t="str">
        <f>'Catalogo Maestro'!C245</f>
        <v>Bolsa mensual de soporte evolutivo</v>
      </c>
      <c r="C35" s="7" t="str">
        <f>'Catalogo Maestro'!D245</f>
        <v>Prevención</v>
      </c>
      <c r="D35" s="7" t="str">
        <f>'Catalogo Maestro'!F245</f>
        <v>Revisión preventiva de logs y alertas</v>
      </c>
      <c r="E35" s="7" t="str">
        <f>'Catalogo Maestro'!G245</f>
        <v>Opcional</v>
      </c>
      <c r="F35" s="16">
        <f>'Catalogo Maestro'!J245</f>
        <v>0.5</v>
      </c>
      <c r="G35" s="16">
        <f>'Catalogo Maestro'!K245</f>
        <v>0.35</v>
      </c>
      <c r="H35" s="7" t="str">
        <f>'Catalogo Maestro'!L245</f>
        <v>Eventos y riesgos recurrentes</v>
      </c>
      <c r="I35" s="12">
        <f>'Catalogo Maestro'!M245</f>
        <v>0</v>
      </c>
    </row>
    <row r="36" spans="1:9">
      <c r="A36" s="11" t="str">
        <f>'Catalogo Maestro'!E246</f>
        <v>SUP3-007</v>
      </c>
      <c r="B36" s="7" t="str">
        <f>'Catalogo Maestro'!C246</f>
        <v>Bolsa mensual de soporte evolutivo</v>
      </c>
      <c r="C36" s="7" t="str">
        <f>'Catalogo Maestro'!D246</f>
        <v>Documentación</v>
      </c>
      <c r="D36" s="7" t="str">
        <f>'Catalogo Maestro'!F246</f>
        <v>Actualización de documentación</v>
      </c>
      <c r="E36" s="7" t="str">
        <f>'Catalogo Maestro'!G246</f>
        <v>Base incluido</v>
      </c>
      <c r="F36" s="16">
        <f>'Catalogo Maestro'!J246</f>
        <v>1</v>
      </c>
      <c r="G36" s="16">
        <f>'Catalogo Maestro'!K246</f>
        <v>0.7</v>
      </c>
      <c r="H36" s="7" t="str">
        <f>'Catalogo Maestro'!L246</f>
        <v>Cambios y soluciones recurrentes</v>
      </c>
      <c r="I36" s="12">
        <f>'Catalogo Maestro'!M246</f>
        <v>0</v>
      </c>
    </row>
    <row r="37" spans="1:9">
      <c r="A37" s="11" t="str">
        <f>'Catalogo Maestro'!E247</f>
        <v>SUP3-008</v>
      </c>
      <c r="B37" s="7" t="str">
        <f>'Catalogo Maestro'!C247</f>
        <v>Bolsa mensual de soporte evolutivo</v>
      </c>
      <c r="C37" s="7" t="str">
        <f>'Catalogo Maestro'!D247</f>
        <v>Reporte</v>
      </c>
      <c r="D37" s="7" t="str">
        <f>'Catalogo Maestro'!F247</f>
        <v>Reporte mensual de servicio</v>
      </c>
      <c r="E37" s="7" t="str">
        <f>'Catalogo Maestro'!G247</f>
        <v>Base obligatorio</v>
      </c>
      <c r="F37" s="16">
        <f>'Catalogo Maestro'!J247</f>
        <v>1.5</v>
      </c>
      <c r="G37" s="16">
        <f>'Catalogo Maestro'!K247</f>
        <v>1.0499999999999998</v>
      </c>
      <c r="H37" s="7" t="str">
        <f>'Catalogo Maestro'!L247</f>
        <v>Consumo, cumplimiento y recomendaciones</v>
      </c>
      <c r="I37" s="12">
        <f>'Catalogo Maestro'!M247</f>
        <v>0</v>
      </c>
    </row>
    <row r="38" spans="1:9">
      <c r="A38" s="11" t="str">
        <f>'Catalogo Maestro'!E248</f>
        <v>SUP3-009</v>
      </c>
      <c r="B38" s="7" t="str">
        <f>'Catalogo Maestro'!C248</f>
        <v>Bolsa mensual de soporte evolutivo</v>
      </c>
      <c r="C38" s="7" t="str">
        <f>'Catalogo Maestro'!D248</f>
        <v>Coordinación</v>
      </c>
      <c r="D38" s="7" t="str">
        <f>'Catalogo Maestro'!F248</f>
        <v>Gestión de pendientes y terceros</v>
      </c>
      <c r="E38" s="7" t="str">
        <f>'Catalogo Maestro'!G248</f>
        <v>Base incluido</v>
      </c>
      <c r="F38" s="16">
        <f>'Catalogo Maestro'!J248</f>
        <v>1</v>
      </c>
      <c r="G38" s="16">
        <f>'Catalogo Maestro'!K248</f>
        <v>0.7</v>
      </c>
      <c r="H38" s="7" t="str">
        <f>'Catalogo Maestro'!L248</f>
        <v>Dependencias, accesos y coordinaciones</v>
      </c>
      <c r="I38" s="12">
        <f>'Catalogo Maestro'!M248</f>
        <v>0</v>
      </c>
    </row>
    <row r="39" spans="1:9">
      <c r="A39" s="11" t="str">
        <f>'Catalogo Maestro'!E249</f>
        <v>SUP4-001</v>
      </c>
      <c r="B39" s="7" t="str">
        <f>'Catalogo Maestro'!C249</f>
        <v>Documentación y base de conocimiento</v>
      </c>
      <c r="C39" s="7" t="str">
        <f>'Catalogo Maestro'!D249</f>
        <v>Inventario</v>
      </c>
      <c r="D39" s="7" t="str">
        <f>'Catalogo Maestro'!F249</f>
        <v>Inventario de procesos y documentos existentes</v>
      </c>
      <c r="E39" s="7" t="str">
        <f>'Catalogo Maestro'!G249</f>
        <v>Base obligatorio</v>
      </c>
      <c r="F39" s="16">
        <f>'Catalogo Maestro'!J249</f>
        <v>0.5</v>
      </c>
      <c r="G39" s="16">
        <f>'Catalogo Maestro'!K249</f>
        <v>0.35</v>
      </c>
      <c r="H39" s="7" t="str">
        <f>'Catalogo Maestro'!L249</f>
        <v>Documentos, responsables y vigencia</v>
      </c>
      <c r="I39" s="12">
        <f>'Catalogo Maestro'!M249</f>
        <v>0</v>
      </c>
    </row>
    <row r="40" spans="1:9">
      <c r="A40" s="11" t="str">
        <f>'Catalogo Maestro'!E250</f>
        <v>SUP4-002</v>
      </c>
      <c r="B40" s="7" t="str">
        <f>'Catalogo Maestro'!C250</f>
        <v>Documentación y base de conocimiento</v>
      </c>
      <c r="C40" s="7" t="str">
        <f>'Catalogo Maestro'!D250</f>
        <v>Diseño</v>
      </c>
      <c r="D40" s="7" t="str">
        <f>'Catalogo Maestro'!F250</f>
        <v>Diseño de estructura documental</v>
      </c>
      <c r="E40" s="7" t="str">
        <f>'Catalogo Maestro'!G250</f>
        <v>Base obligatorio</v>
      </c>
      <c r="F40" s="16">
        <f>'Catalogo Maestro'!J250</f>
        <v>1.5</v>
      </c>
      <c r="G40" s="16">
        <f>'Catalogo Maestro'!K250</f>
        <v>1.0499999999999998</v>
      </c>
      <c r="H40" s="7" t="str">
        <f>'Catalogo Maestro'!L250</f>
        <v>Categorías, nomenclatura y acceso</v>
      </c>
      <c r="I40" s="12">
        <f>'Catalogo Maestro'!M250</f>
        <v>0</v>
      </c>
    </row>
    <row r="41" spans="1:9">
      <c r="A41" s="11" t="str">
        <f>'Catalogo Maestro'!E251</f>
        <v>SUP4-003</v>
      </c>
      <c r="B41" s="7" t="str">
        <f>'Catalogo Maestro'!C251</f>
        <v>Documentación y base de conocimiento</v>
      </c>
      <c r="C41" s="7" t="str">
        <f>'Catalogo Maestro'!D251</f>
        <v>Gobierno</v>
      </c>
      <c r="D41" s="7" t="str">
        <f>'Catalogo Maestro'!F251</f>
        <v>Definición de control de versiones y aprobación</v>
      </c>
      <c r="E41" s="7" t="str">
        <f>'Catalogo Maestro'!G251</f>
        <v>Base obligatorio</v>
      </c>
      <c r="F41" s="16">
        <f>'Catalogo Maestro'!J251</f>
        <v>1.5</v>
      </c>
      <c r="G41" s="16">
        <f>'Catalogo Maestro'!K251</f>
        <v>1.0499999999999998</v>
      </c>
      <c r="H41" s="7" t="str">
        <f>'Catalogo Maestro'!L251</f>
        <v>Estados, responsables y publicación</v>
      </c>
      <c r="I41" s="12">
        <f>'Catalogo Maestro'!M251</f>
        <v>0</v>
      </c>
    </row>
    <row r="42" spans="1:9">
      <c r="A42" s="11" t="str">
        <f>'Catalogo Maestro'!E252</f>
        <v>SUP4-004</v>
      </c>
      <c r="B42" s="7" t="str">
        <f>'Catalogo Maestro'!C252</f>
        <v>Documentación y base de conocimiento</v>
      </c>
      <c r="C42" s="7" t="str">
        <f>'Catalogo Maestro'!D252</f>
        <v>Documentación</v>
      </c>
      <c r="D42" s="7" t="str">
        <f>'Catalogo Maestro'!F252</f>
        <v>Creación de manual de usuario</v>
      </c>
      <c r="E42" s="7" t="str">
        <f>'Catalogo Maestro'!G252</f>
        <v>Base incluido</v>
      </c>
      <c r="F42" s="16">
        <f>'Catalogo Maestro'!J252</f>
        <v>4</v>
      </c>
      <c r="G42" s="16">
        <f>'Catalogo Maestro'!K252</f>
        <v>2.8</v>
      </c>
      <c r="H42" s="7" t="str">
        <f>'Catalogo Maestro'!L252</f>
        <v>Flujos, pantallas y preguntas frecuentes</v>
      </c>
      <c r="I42" s="12">
        <f>'Catalogo Maestro'!M252</f>
        <v>0</v>
      </c>
    </row>
    <row r="43" spans="1:9">
      <c r="A43" s="11" t="str">
        <f>'Catalogo Maestro'!E253</f>
        <v>SUP4-005</v>
      </c>
      <c r="B43" s="7" t="str">
        <f>'Catalogo Maestro'!C253</f>
        <v>Documentación y base de conocimiento</v>
      </c>
      <c r="C43" s="7" t="str">
        <f>'Catalogo Maestro'!D253</f>
        <v>Documentación</v>
      </c>
      <c r="D43" s="7" t="str">
        <f>'Catalogo Maestro'!F253</f>
        <v>Creación de manual técnico</v>
      </c>
      <c r="E43" s="7" t="str">
        <f>'Catalogo Maestro'!G253</f>
        <v>Opcional</v>
      </c>
      <c r="F43" s="16">
        <f>'Catalogo Maestro'!J253</f>
        <v>4</v>
      </c>
      <c r="G43" s="16">
        <f>'Catalogo Maestro'!K253</f>
        <v>2.8</v>
      </c>
      <c r="H43" s="7" t="str">
        <f>'Catalogo Maestro'!L253</f>
        <v>Arquitectura, instalación y operación</v>
      </c>
      <c r="I43" s="12">
        <f>'Catalogo Maestro'!M253</f>
        <v>0</v>
      </c>
    </row>
    <row r="44" spans="1:9">
      <c r="A44" s="11" t="str">
        <f>'Catalogo Maestro'!E254</f>
        <v>SUP4-006</v>
      </c>
      <c r="B44" s="7" t="str">
        <f>'Catalogo Maestro'!C254</f>
        <v>Documentación y base de conocimiento</v>
      </c>
      <c r="C44" s="7" t="str">
        <f>'Catalogo Maestro'!D254</f>
        <v>Documentación</v>
      </c>
      <c r="D44" s="7" t="str">
        <f>'Catalogo Maestro'!F254</f>
        <v>Creación de procedimiento operativo</v>
      </c>
      <c r="E44" s="7" t="str">
        <f>'Catalogo Maestro'!G254</f>
        <v>Base incluido</v>
      </c>
      <c r="F44" s="16">
        <f>'Catalogo Maestro'!J254</f>
        <v>2</v>
      </c>
      <c r="G44" s="16">
        <f>'Catalogo Maestro'!K254</f>
        <v>1.4</v>
      </c>
      <c r="H44" s="7" t="str">
        <f>'Catalogo Maestro'!L254</f>
        <v>Objetivo, pasos, responsables y evidencia</v>
      </c>
      <c r="I44" s="12">
        <f>'Catalogo Maestro'!M254</f>
        <v>0</v>
      </c>
    </row>
    <row r="45" spans="1:9">
      <c r="A45" s="11" t="str">
        <f>'Catalogo Maestro'!E255</f>
        <v>SUP4-007</v>
      </c>
      <c r="B45" s="7" t="str">
        <f>'Catalogo Maestro'!C255</f>
        <v>Documentación y base de conocimiento</v>
      </c>
      <c r="C45" s="7" t="str">
        <f>'Catalogo Maestro'!D255</f>
        <v>Documentación</v>
      </c>
      <c r="D45" s="7" t="str">
        <f>'Catalogo Maestro'!F255</f>
        <v>Creación de runbook</v>
      </c>
      <c r="E45" s="7" t="str">
        <f>'Catalogo Maestro'!G255</f>
        <v>Base incluido</v>
      </c>
      <c r="F45" s="16">
        <f>'Catalogo Maestro'!J255</f>
        <v>2.5</v>
      </c>
      <c r="G45" s="16">
        <f>'Catalogo Maestro'!K255</f>
        <v>1.75</v>
      </c>
      <c r="H45" s="7" t="str">
        <f>'Catalogo Maestro'!L255</f>
        <v>Eventos frecuentes, diagnóstico y escalamiento</v>
      </c>
      <c r="I45" s="12">
        <f>'Catalogo Maestro'!M255</f>
        <v>0</v>
      </c>
    </row>
    <row r="46" spans="1:9">
      <c r="A46" s="11" t="str">
        <f>'Catalogo Maestro'!E256</f>
        <v>SUP4-008</v>
      </c>
      <c r="B46" s="7" t="str">
        <f>'Catalogo Maestro'!C256</f>
        <v>Documentación y base de conocimiento</v>
      </c>
      <c r="C46" s="7" t="str">
        <f>'Catalogo Maestro'!D256</f>
        <v>Contenido</v>
      </c>
      <c r="D46" s="7" t="str">
        <f>'Catalogo Maestro'!F256</f>
        <v>Creación de artículo de conocimiento</v>
      </c>
      <c r="E46" s="7" t="str">
        <f>'Catalogo Maestro'!G256</f>
        <v>Base incluido</v>
      </c>
      <c r="F46" s="16">
        <f>'Catalogo Maestro'!J256</f>
        <v>0.75</v>
      </c>
      <c r="G46" s="16">
        <f>'Catalogo Maestro'!K256</f>
        <v>0.52499999999999991</v>
      </c>
      <c r="H46" s="7" t="str">
        <f>'Catalogo Maestro'!L256</f>
        <v>Problema, solución y palabras clave</v>
      </c>
      <c r="I46" s="12">
        <f>'Catalogo Maestro'!M256</f>
        <v>0</v>
      </c>
    </row>
    <row r="47" spans="1:9">
      <c r="A47" s="11" t="str">
        <f>'Catalogo Maestro'!E257</f>
        <v>SUP4-009</v>
      </c>
      <c r="B47" s="7" t="str">
        <f>'Catalogo Maestro'!C257</f>
        <v>Documentación y base de conocimiento</v>
      </c>
      <c r="C47" s="7" t="str">
        <f>'Catalogo Maestro'!D257</f>
        <v>Publicación</v>
      </c>
      <c r="D47" s="7" t="str">
        <f>'Catalogo Maestro'!F257</f>
        <v>Configuración de repositorio o portal</v>
      </c>
      <c r="E47" s="7" t="str">
        <f>'Catalogo Maestro'!G257</f>
        <v>Opcional</v>
      </c>
      <c r="F47" s="16">
        <f>'Catalogo Maestro'!J257</f>
        <v>2</v>
      </c>
      <c r="G47" s="16">
        <f>'Catalogo Maestro'!K257</f>
        <v>1.4</v>
      </c>
      <c r="H47" s="7" t="str">
        <f>'Catalogo Maestro'!L257</f>
        <v>Estructura, permisos y búsqueda</v>
      </c>
      <c r="I47" s="12">
        <f>'Catalogo Maestro'!M257</f>
        <v>0</v>
      </c>
    </row>
    <row r="48" spans="1:9">
      <c r="A48" s="11" t="str">
        <f>'Catalogo Maestro'!E258</f>
        <v>SUP4-010</v>
      </c>
      <c r="B48" s="7" t="str">
        <f>'Catalogo Maestro'!C258</f>
        <v>Documentación y base de conocimiento</v>
      </c>
      <c r="C48" s="7" t="str">
        <f>'Catalogo Maestro'!D258</f>
        <v>Calidad</v>
      </c>
      <c r="D48" s="7" t="str">
        <f>'Catalogo Maestro'!F258</f>
        <v>Revisión técnica y funcional</v>
      </c>
      <c r="E48" s="7" t="str">
        <f>'Catalogo Maestro'!G258</f>
        <v>Base obligatorio</v>
      </c>
      <c r="F48" s="16">
        <f>'Catalogo Maestro'!J258</f>
        <v>0.5</v>
      </c>
      <c r="G48" s="16">
        <f>'Catalogo Maestro'!K258</f>
        <v>0.35</v>
      </c>
      <c r="H48" s="7" t="str">
        <f>'Catalogo Maestro'!L258</f>
        <v>Exactitud, claridad y vigencia</v>
      </c>
      <c r="I48" s="12">
        <f>'Catalogo Maestro'!M258</f>
        <v>0</v>
      </c>
    </row>
    <row r="49" spans="1:9">
      <c r="A49" s="13" t="str">
        <f>'Catalogo Maestro'!E259</f>
        <v>SUP4-011</v>
      </c>
      <c r="B49" s="14" t="str">
        <f>'Catalogo Maestro'!C259</f>
        <v>Documentación y base de conocimiento</v>
      </c>
      <c r="C49" s="14" t="str">
        <f>'Catalogo Maestro'!D259</f>
        <v>Entrega</v>
      </c>
      <c r="D49" s="14" t="str">
        <f>'Catalogo Maestro'!F259</f>
        <v>Capacitación y transferencia</v>
      </c>
      <c r="E49" s="14" t="str">
        <f>'Catalogo Maestro'!G259</f>
        <v>Base obligatorio</v>
      </c>
      <c r="F49" s="22">
        <f>'Catalogo Maestro'!J259</f>
        <v>1.5</v>
      </c>
      <c r="G49" s="22">
        <f>'Catalogo Maestro'!K259</f>
        <v>1.0499999999999998</v>
      </c>
      <c r="H49" s="14" t="str">
        <f>'Catalogo Maestro'!L259</f>
        <v>Uso, mantenimiento y responsabilidades</v>
      </c>
      <c r="I49" s="15">
        <f>'Catalogo Maestro'!M259</f>
        <v>0</v>
      </c>
    </row>
  </sheetData>
  <mergeCells count="2">
    <mergeCell ref="A1:I1"/>
    <mergeCell ref="A3:I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7"/>
  <sheetViews>
    <sheetView workbookViewId="0"/>
  </sheetViews>
  <sheetFormatPr baseColWidth="10" defaultColWidth="9" defaultRowHeight="14.25"/>
  <cols>
    <col min="1" max="1" width="32" customWidth="1"/>
    <col min="2" max="2" width="18" customWidth="1"/>
    <col min="3" max="3" width="72" customWidth="1"/>
  </cols>
  <sheetData>
    <row r="1" spans="1:3" ht="33.950000000000003" customHeight="1">
      <c r="A1" s="36" t="s">
        <v>1149</v>
      </c>
      <c r="B1" s="36"/>
      <c r="C1" s="36"/>
    </row>
    <row r="3" spans="1:3" ht="33.950000000000003" customHeight="1">
      <c r="A3" s="37" t="s">
        <v>1150</v>
      </c>
      <c r="B3" s="37"/>
      <c r="C3" s="37"/>
    </row>
    <row r="5" spans="1:3" ht="27.95" customHeight="1">
      <c r="A5" s="6" t="s">
        <v>1151</v>
      </c>
      <c r="B5" s="6" t="s">
        <v>53</v>
      </c>
      <c r="C5" s="6" t="s">
        <v>1152</v>
      </c>
    </row>
    <row r="6" spans="1:3">
      <c r="A6" s="8" t="s">
        <v>1153</v>
      </c>
      <c r="B6" s="23">
        <v>0</v>
      </c>
      <c r="C6" s="10" t="s">
        <v>1154</v>
      </c>
    </row>
    <row r="7" spans="1:3">
      <c r="A7" s="11" t="s">
        <v>84</v>
      </c>
      <c r="B7" s="24">
        <v>1</v>
      </c>
      <c r="C7" s="12" t="s">
        <v>1155</v>
      </c>
    </row>
    <row r="8" spans="1:3">
      <c r="A8" s="11" t="s">
        <v>1156</v>
      </c>
      <c r="B8" s="25">
        <f>Parametros!$B$9</f>
        <v>0.7</v>
      </c>
      <c r="C8" s="12" t="s">
        <v>1157</v>
      </c>
    </row>
    <row r="9" spans="1:3">
      <c r="A9" s="13" t="s">
        <v>77</v>
      </c>
      <c r="B9" s="26">
        <f>Parametros!$B$10</f>
        <v>0.2</v>
      </c>
      <c r="C9" s="15" t="s">
        <v>80</v>
      </c>
    </row>
    <row r="11" spans="1:3" ht="27.95" customHeight="1">
      <c r="A11" s="6" t="s">
        <v>1158</v>
      </c>
      <c r="B11" s="6" t="s">
        <v>53</v>
      </c>
      <c r="C11" s="6" t="s">
        <v>1159</v>
      </c>
    </row>
    <row r="12" spans="1:3">
      <c r="A12" s="8" t="s">
        <v>1160</v>
      </c>
      <c r="B12" s="21">
        <f>B6*B7</f>
        <v>0</v>
      </c>
      <c r="C12" s="10" t="s">
        <v>1161</v>
      </c>
    </row>
    <row r="13" spans="1:3">
      <c r="A13" s="11" t="s">
        <v>1162</v>
      </c>
      <c r="B13" s="16">
        <f>B12*B8</f>
        <v>0</v>
      </c>
      <c r="C13" s="12" t="s">
        <v>1163</v>
      </c>
    </row>
    <row r="14" spans="1:3">
      <c r="A14" s="11" t="s">
        <v>1164</v>
      </c>
      <c r="B14" s="16">
        <f>B13*B9</f>
        <v>0</v>
      </c>
      <c r="C14" s="12" t="s">
        <v>1165</v>
      </c>
    </row>
    <row r="15" spans="1:3">
      <c r="A15" s="27" t="s">
        <v>1166</v>
      </c>
      <c r="B15" s="28">
        <f>B13+B14</f>
        <v>0</v>
      </c>
      <c r="C15" s="29" t="s">
        <v>1167</v>
      </c>
    </row>
    <row r="17" spans="1:3">
      <c r="A17" s="44" t="s">
        <v>1168</v>
      </c>
      <c r="B17" s="44"/>
      <c r="C17" s="44"/>
    </row>
  </sheetData>
  <mergeCells count="3">
    <mergeCell ref="A1:C1"/>
    <mergeCell ref="A3:C3"/>
    <mergeCell ref="A17:C17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L45"/>
  <sheetViews>
    <sheetView workbookViewId="0"/>
  </sheetViews>
  <sheetFormatPr baseColWidth="10" defaultColWidth="9" defaultRowHeight="14.25"/>
  <cols>
    <col min="1" max="1" width="13" customWidth="1"/>
    <col min="2" max="3" width="24" customWidth="1"/>
    <col min="4" max="4" width="14" customWidth="1"/>
    <col min="5" max="5" width="48" customWidth="1"/>
    <col min="6" max="6" width="16" customWidth="1"/>
    <col min="7" max="9" width="14" customWidth="1"/>
    <col min="10" max="10" width="40" customWidth="1"/>
    <col min="11" max="11" width="18" customWidth="1"/>
    <col min="12" max="12" width="14" customWidth="1"/>
  </cols>
  <sheetData>
    <row r="1" spans="1:12" ht="33.950000000000003" customHeight="1">
      <c r="A1" s="36" t="s">
        <v>1169</v>
      </c>
      <c r="B1" s="36"/>
      <c r="C1" s="36"/>
      <c r="D1" s="36"/>
      <c r="E1" s="36"/>
      <c r="F1" s="36"/>
      <c r="G1" s="36"/>
      <c r="H1" s="36"/>
      <c r="I1" s="36"/>
      <c r="J1" s="36"/>
      <c r="K1" s="36"/>
      <c r="L1" s="36"/>
    </row>
    <row r="3" spans="1:12" ht="33.950000000000003" customHeight="1">
      <c r="A3" s="37" t="s">
        <v>1170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</row>
    <row r="5" spans="1:12" ht="27.95" customHeight="1">
      <c r="A5" s="6" t="s">
        <v>1171</v>
      </c>
      <c r="B5" s="6" t="s">
        <v>163</v>
      </c>
      <c r="C5" s="6" t="s">
        <v>1172</v>
      </c>
      <c r="D5" s="6" t="s">
        <v>95</v>
      </c>
      <c r="E5" s="6" t="s">
        <v>151</v>
      </c>
      <c r="F5" s="6" t="s">
        <v>1173</v>
      </c>
      <c r="G5" s="6" t="s">
        <v>1174</v>
      </c>
      <c r="H5" s="6" t="s">
        <v>1175</v>
      </c>
      <c r="I5" s="6" t="s">
        <v>1176</v>
      </c>
      <c r="J5" s="6" t="s">
        <v>1177</v>
      </c>
      <c r="K5" s="6" t="s">
        <v>1178</v>
      </c>
      <c r="L5" s="6" t="s">
        <v>100</v>
      </c>
    </row>
    <row r="6" spans="1:12">
      <c r="A6" s="30"/>
      <c r="B6" s="9"/>
      <c r="C6" s="9"/>
      <c r="D6" s="9"/>
      <c r="E6" s="9"/>
      <c r="F6" s="21"/>
      <c r="G6" s="21"/>
      <c r="H6" s="21" t="str">
        <f t="shared" ref="H6:H45" si="0">IF(OR(F6="",G6=""),"",G6-F6)</f>
        <v/>
      </c>
      <c r="I6" s="33" t="str">
        <f t="shared" ref="I6:I45" si="1">IF(OR(F6="",F6=0,H6=""),"",H6/F6)</f>
        <v/>
      </c>
      <c r="J6" s="9"/>
      <c r="K6" s="21"/>
      <c r="L6" s="10" t="s">
        <v>1179</v>
      </c>
    </row>
    <row r="7" spans="1:12">
      <c r="A7" s="31"/>
      <c r="B7" s="7"/>
      <c r="C7" s="7"/>
      <c r="D7" s="7"/>
      <c r="E7" s="7"/>
      <c r="F7" s="16"/>
      <c r="G7" s="16"/>
      <c r="H7" s="16" t="str">
        <f t="shared" si="0"/>
        <v/>
      </c>
      <c r="I7" s="34" t="str">
        <f t="shared" si="1"/>
        <v/>
      </c>
      <c r="J7" s="7"/>
      <c r="K7" s="16"/>
      <c r="L7" s="12" t="s">
        <v>1179</v>
      </c>
    </row>
    <row r="8" spans="1:12">
      <c r="A8" s="31"/>
      <c r="B8" s="7"/>
      <c r="C8" s="7"/>
      <c r="D8" s="7"/>
      <c r="E8" s="7"/>
      <c r="F8" s="16"/>
      <c r="G8" s="16"/>
      <c r="H8" s="16" t="str">
        <f t="shared" si="0"/>
        <v/>
      </c>
      <c r="I8" s="34" t="str">
        <f t="shared" si="1"/>
        <v/>
      </c>
      <c r="J8" s="7"/>
      <c r="K8" s="16"/>
      <c r="L8" s="12" t="s">
        <v>1179</v>
      </c>
    </row>
    <row r="9" spans="1:12">
      <c r="A9" s="31"/>
      <c r="B9" s="7"/>
      <c r="C9" s="7"/>
      <c r="D9" s="7"/>
      <c r="E9" s="7"/>
      <c r="F9" s="16"/>
      <c r="G9" s="16"/>
      <c r="H9" s="16" t="str">
        <f t="shared" si="0"/>
        <v/>
      </c>
      <c r="I9" s="34" t="str">
        <f t="shared" si="1"/>
        <v/>
      </c>
      <c r="J9" s="7"/>
      <c r="K9" s="16"/>
      <c r="L9" s="12" t="s">
        <v>1179</v>
      </c>
    </row>
    <row r="10" spans="1:12">
      <c r="A10" s="31"/>
      <c r="B10" s="7"/>
      <c r="C10" s="7"/>
      <c r="D10" s="7"/>
      <c r="E10" s="7"/>
      <c r="F10" s="16"/>
      <c r="G10" s="16"/>
      <c r="H10" s="16" t="str">
        <f t="shared" si="0"/>
        <v/>
      </c>
      <c r="I10" s="34" t="str">
        <f t="shared" si="1"/>
        <v/>
      </c>
      <c r="J10" s="7"/>
      <c r="K10" s="16"/>
      <c r="L10" s="12" t="s">
        <v>1179</v>
      </c>
    </row>
    <row r="11" spans="1:12">
      <c r="A11" s="31"/>
      <c r="B11" s="7"/>
      <c r="C11" s="7"/>
      <c r="D11" s="7"/>
      <c r="E11" s="7"/>
      <c r="F11" s="16"/>
      <c r="G11" s="16"/>
      <c r="H11" s="16" t="str">
        <f t="shared" si="0"/>
        <v/>
      </c>
      <c r="I11" s="34" t="str">
        <f t="shared" si="1"/>
        <v/>
      </c>
      <c r="J11" s="7"/>
      <c r="K11" s="16"/>
      <c r="L11" s="12" t="s">
        <v>1179</v>
      </c>
    </row>
    <row r="12" spans="1:12">
      <c r="A12" s="31"/>
      <c r="B12" s="7"/>
      <c r="C12" s="7"/>
      <c r="D12" s="7"/>
      <c r="E12" s="7"/>
      <c r="F12" s="16"/>
      <c r="G12" s="16"/>
      <c r="H12" s="16" t="str">
        <f t="shared" si="0"/>
        <v/>
      </c>
      <c r="I12" s="34" t="str">
        <f t="shared" si="1"/>
        <v/>
      </c>
      <c r="J12" s="7"/>
      <c r="K12" s="16"/>
      <c r="L12" s="12" t="s">
        <v>1179</v>
      </c>
    </row>
    <row r="13" spans="1:12">
      <c r="A13" s="31"/>
      <c r="B13" s="7"/>
      <c r="C13" s="7"/>
      <c r="D13" s="7"/>
      <c r="E13" s="7"/>
      <c r="F13" s="16"/>
      <c r="G13" s="16"/>
      <c r="H13" s="16" t="str">
        <f t="shared" si="0"/>
        <v/>
      </c>
      <c r="I13" s="34" t="str">
        <f t="shared" si="1"/>
        <v/>
      </c>
      <c r="J13" s="7"/>
      <c r="K13" s="16"/>
      <c r="L13" s="12" t="s">
        <v>1179</v>
      </c>
    </row>
    <row r="14" spans="1:12">
      <c r="A14" s="31"/>
      <c r="B14" s="7"/>
      <c r="C14" s="7"/>
      <c r="D14" s="7"/>
      <c r="E14" s="7"/>
      <c r="F14" s="16"/>
      <c r="G14" s="16"/>
      <c r="H14" s="16" t="str">
        <f t="shared" si="0"/>
        <v/>
      </c>
      <c r="I14" s="34" t="str">
        <f t="shared" si="1"/>
        <v/>
      </c>
      <c r="J14" s="7"/>
      <c r="K14" s="16"/>
      <c r="L14" s="12" t="s">
        <v>1179</v>
      </c>
    </row>
    <row r="15" spans="1:12">
      <c r="A15" s="31"/>
      <c r="B15" s="7"/>
      <c r="C15" s="7"/>
      <c r="D15" s="7"/>
      <c r="E15" s="7"/>
      <c r="F15" s="16"/>
      <c r="G15" s="16"/>
      <c r="H15" s="16" t="str">
        <f t="shared" si="0"/>
        <v/>
      </c>
      <c r="I15" s="34" t="str">
        <f t="shared" si="1"/>
        <v/>
      </c>
      <c r="J15" s="7"/>
      <c r="K15" s="16"/>
      <c r="L15" s="12" t="s">
        <v>1179</v>
      </c>
    </row>
    <row r="16" spans="1:12">
      <c r="A16" s="31"/>
      <c r="B16" s="7"/>
      <c r="C16" s="7"/>
      <c r="D16" s="7"/>
      <c r="E16" s="7"/>
      <c r="F16" s="16"/>
      <c r="G16" s="16"/>
      <c r="H16" s="16" t="str">
        <f t="shared" si="0"/>
        <v/>
      </c>
      <c r="I16" s="34" t="str">
        <f t="shared" si="1"/>
        <v/>
      </c>
      <c r="J16" s="7"/>
      <c r="K16" s="16"/>
      <c r="L16" s="12" t="s">
        <v>1179</v>
      </c>
    </row>
    <row r="17" spans="1:12">
      <c r="A17" s="31"/>
      <c r="B17" s="7"/>
      <c r="C17" s="7"/>
      <c r="D17" s="7"/>
      <c r="E17" s="7"/>
      <c r="F17" s="16"/>
      <c r="G17" s="16"/>
      <c r="H17" s="16" t="str">
        <f t="shared" si="0"/>
        <v/>
      </c>
      <c r="I17" s="34" t="str">
        <f t="shared" si="1"/>
        <v/>
      </c>
      <c r="J17" s="7"/>
      <c r="K17" s="16"/>
      <c r="L17" s="12" t="s">
        <v>1179</v>
      </c>
    </row>
    <row r="18" spans="1:12">
      <c r="A18" s="31"/>
      <c r="B18" s="7"/>
      <c r="C18" s="7"/>
      <c r="D18" s="7"/>
      <c r="E18" s="7"/>
      <c r="F18" s="16"/>
      <c r="G18" s="16"/>
      <c r="H18" s="16" t="str">
        <f t="shared" si="0"/>
        <v/>
      </c>
      <c r="I18" s="34" t="str">
        <f t="shared" si="1"/>
        <v/>
      </c>
      <c r="J18" s="7"/>
      <c r="K18" s="16"/>
      <c r="L18" s="12" t="s">
        <v>1179</v>
      </c>
    </row>
    <row r="19" spans="1:12">
      <c r="A19" s="31"/>
      <c r="B19" s="7"/>
      <c r="C19" s="7"/>
      <c r="D19" s="7"/>
      <c r="E19" s="7"/>
      <c r="F19" s="16"/>
      <c r="G19" s="16"/>
      <c r="H19" s="16" t="str">
        <f t="shared" si="0"/>
        <v/>
      </c>
      <c r="I19" s="34" t="str">
        <f t="shared" si="1"/>
        <v/>
      </c>
      <c r="J19" s="7"/>
      <c r="K19" s="16"/>
      <c r="L19" s="12" t="s">
        <v>1179</v>
      </c>
    </row>
    <row r="20" spans="1:12">
      <c r="A20" s="31"/>
      <c r="B20" s="7"/>
      <c r="C20" s="7"/>
      <c r="D20" s="7"/>
      <c r="E20" s="7"/>
      <c r="F20" s="16"/>
      <c r="G20" s="16"/>
      <c r="H20" s="16" t="str">
        <f t="shared" si="0"/>
        <v/>
      </c>
      <c r="I20" s="34" t="str">
        <f t="shared" si="1"/>
        <v/>
      </c>
      <c r="J20" s="7"/>
      <c r="K20" s="16"/>
      <c r="L20" s="12" t="s">
        <v>1179</v>
      </c>
    </row>
    <row r="21" spans="1:12">
      <c r="A21" s="31"/>
      <c r="B21" s="7"/>
      <c r="C21" s="7"/>
      <c r="D21" s="7"/>
      <c r="E21" s="7"/>
      <c r="F21" s="16"/>
      <c r="G21" s="16"/>
      <c r="H21" s="16" t="str">
        <f t="shared" si="0"/>
        <v/>
      </c>
      <c r="I21" s="34" t="str">
        <f t="shared" si="1"/>
        <v/>
      </c>
      <c r="J21" s="7"/>
      <c r="K21" s="16"/>
      <c r="L21" s="12" t="s">
        <v>1179</v>
      </c>
    </row>
    <row r="22" spans="1:12">
      <c r="A22" s="31"/>
      <c r="B22" s="7"/>
      <c r="C22" s="7"/>
      <c r="D22" s="7"/>
      <c r="E22" s="7"/>
      <c r="F22" s="16"/>
      <c r="G22" s="16"/>
      <c r="H22" s="16" t="str">
        <f t="shared" si="0"/>
        <v/>
      </c>
      <c r="I22" s="34" t="str">
        <f t="shared" si="1"/>
        <v/>
      </c>
      <c r="J22" s="7"/>
      <c r="K22" s="16"/>
      <c r="L22" s="12" t="s">
        <v>1179</v>
      </c>
    </row>
    <row r="23" spans="1:12">
      <c r="A23" s="31"/>
      <c r="B23" s="7"/>
      <c r="C23" s="7"/>
      <c r="D23" s="7"/>
      <c r="E23" s="7"/>
      <c r="F23" s="16"/>
      <c r="G23" s="16"/>
      <c r="H23" s="16" t="str">
        <f t="shared" si="0"/>
        <v/>
      </c>
      <c r="I23" s="34" t="str">
        <f t="shared" si="1"/>
        <v/>
      </c>
      <c r="J23" s="7"/>
      <c r="K23" s="16"/>
      <c r="L23" s="12" t="s">
        <v>1179</v>
      </c>
    </row>
    <row r="24" spans="1:12">
      <c r="A24" s="31"/>
      <c r="B24" s="7"/>
      <c r="C24" s="7"/>
      <c r="D24" s="7"/>
      <c r="E24" s="7"/>
      <c r="F24" s="16"/>
      <c r="G24" s="16"/>
      <c r="H24" s="16" t="str">
        <f t="shared" si="0"/>
        <v/>
      </c>
      <c r="I24" s="34" t="str">
        <f t="shared" si="1"/>
        <v/>
      </c>
      <c r="J24" s="7"/>
      <c r="K24" s="16"/>
      <c r="L24" s="12" t="s">
        <v>1179</v>
      </c>
    </row>
    <row r="25" spans="1:12">
      <c r="A25" s="31"/>
      <c r="B25" s="7"/>
      <c r="C25" s="7"/>
      <c r="D25" s="7"/>
      <c r="E25" s="7"/>
      <c r="F25" s="16"/>
      <c r="G25" s="16"/>
      <c r="H25" s="16" t="str">
        <f t="shared" si="0"/>
        <v/>
      </c>
      <c r="I25" s="34" t="str">
        <f t="shared" si="1"/>
        <v/>
      </c>
      <c r="J25" s="7"/>
      <c r="K25" s="16"/>
      <c r="L25" s="12" t="s">
        <v>1179</v>
      </c>
    </row>
    <row r="26" spans="1:12">
      <c r="A26" s="31"/>
      <c r="B26" s="7"/>
      <c r="C26" s="7"/>
      <c r="D26" s="7"/>
      <c r="E26" s="7"/>
      <c r="F26" s="16"/>
      <c r="G26" s="16"/>
      <c r="H26" s="16" t="str">
        <f t="shared" si="0"/>
        <v/>
      </c>
      <c r="I26" s="34" t="str">
        <f t="shared" si="1"/>
        <v/>
      </c>
      <c r="J26" s="7"/>
      <c r="K26" s="16"/>
      <c r="L26" s="12" t="s">
        <v>1179</v>
      </c>
    </row>
    <row r="27" spans="1:12">
      <c r="A27" s="31"/>
      <c r="B27" s="7"/>
      <c r="C27" s="7"/>
      <c r="D27" s="7"/>
      <c r="E27" s="7"/>
      <c r="F27" s="16"/>
      <c r="G27" s="16"/>
      <c r="H27" s="16" t="str">
        <f t="shared" si="0"/>
        <v/>
      </c>
      <c r="I27" s="34" t="str">
        <f t="shared" si="1"/>
        <v/>
      </c>
      <c r="J27" s="7"/>
      <c r="K27" s="16"/>
      <c r="L27" s="12" t="s">
        <v>1179</v>
      </c>
    </row>
    <row r="28" spans="1:12">
      <c r="A28" s="31"/>
      <c r="B28" s="7"/>
      <c r="C28" s="7"/>
      <c r="D28" s="7"/>
      <c r="E28" s="7"/>
      <c r="F28" s="16"/>
      <c r="G28" s="16"/>
      <c r="H28" s="16" t="str">
        <f t="shared" si="0"/>
        <v/>
      </c>
      <c r="I28" s="34" t="str">
        <f t="shared" si="1"/>
        <v/>
      </c>
      <c r="J28" s="7"/>
      <c r="K28" s="16"/>
      <c r="L28" s="12" t="s">
        <v>1179</v>
      </c>
    </row>
    <row r="29" spans="1:12">
      <c r="A29" s="31"/>
      <c r="B29" s="7"/>
      <c r="C29" s="7"/>
      <c r="D29" s="7"/>
      <c r="E29" s="7"/>
      <c r="F29" s="16"/>
      <c r="G29" s="16"/>
      <c r="H29" s="16" t="str">
        <f t="shared" si="0"/>
        <v/>
      </c>
      <c r="I29" s="34" t="str">
        <f t="shared" si="1"/>
        <v/>
      </c>
      <c r="J29" s="7"/>
      <c r="K29" s="16"/>
      <c r="L29" s="12" t="s">
        <v>1179</v>
      </c>
    </row>
    <row r="30" spans="1:12">
      <c r="A30" s="31"/>
      <c r="B30" s="7"/>
      <c r="C30" s="7"/>
      <c r="D30" s="7"/>
      <c r="E30" s="7"/>
      <c r="F30" s="16"/>
      <c r="G30" s="16"/>
      <c r="H30" s="16" t="str">
        <f t="shared" si="0"/>
        <v/>
      </c>
      <c r="I30" s="34" t="str">
        <f t="shared" si="1"/>
        <v/>
      </c>
      <c r="J30" s="7"/>
      <c r="K30" s="16"/>
      <c r="L30" s="12" t="s">
        <v>1179</v>
      </c>
    </row>
    <row r="31" spans="1:12">
      <c r="A31" s="31"/>
      <c r="B31" s="7"/>
      <c r="C31" s="7"/>
      <c r="D31" s="7"/>
      <c r="E31" s="7"/>
      <c r="F31" s="16"/>
      <c r="G31" s="16"/>
      <c r="H31" s="16" t="str">
        <f t="shared" si="0"/>
        <v/>
      </c>
      <c r="I31" s="34" t="str">
        <f t="shared" si="1"/>
        <v/>
      </c>
      <c r="J31" s="7"/>
      <c r="K31" s="16"/>
      <c r="L31" s="12" t="s">
        <v>1179</v>
      </c>
    </row>
    <row r="32" spans="1:12">
      <c r="A32" s="31"/>
      <c r="B32" s="7"/>
      <c r="C32" s="7"/>
      <c r="D32" s="7"/>
      <c r="E32" s="7"/>
      <c r="F32" s="16"/>
      <c r="G32" s="16"/>
      <c r="H32" s="16" t="str">
        <f t="shared" si="0"/>
        <v/>
      </c>
      <c r="I32" s="34" t="str">
        <f t="shared" si="1"/>
        <v/>
      </c>
      <c r="J32" s="7"/>
      <c r="K32" s="16"/>
      <c r="L32" s="12" t="s">
        <v>1179</v>
      </c>
    </row>
    <row r="33" spans="1:12">
      <c r="A33" s="31"/>
      <c r="B33" s="7"/>
      <c r="C33" s="7"/>
      <c r="D33" s="7"/>
      <c r="E33" s="7"/>
      <c r="F33" s="16"/>
      <c r="G33" s="16"/>
      <c r="H33" s="16" t="str">
        <f t="shared" si="0"/>
        <v/>
      </c>
      <c r="I33" s="34" t="str">
        <f t="shared" si="1"/>
        <v/>
      </c>
      <c r="J33" s="7"/>
      <c r="K33" s="16"/>
      <c r="L33" s="12" t="s">
        <v>1179</v>
      </c>
    </row>
    <row r="34" spans="1:12">
      <c r="A34" s="31"/>
      <c r="B34" s="7"/>
      <c r="C34" s="7"/>
      <c r="D34" s="7"/>
      <c r="E34" s="7"/>
      <c r="F34" s="16"/>
      <c r="G34" s="16"/>
      <c r="H34" s="16" t="str">
        <f t="shared" si="0"/>
        <v/>
      </c>
      <c r="I34" s="34" t="str">
        <f t="shared" si="1"/>
        <v/>
      </c>
      <c r="J34" s="7"/>
      <c r="K34" s="16"/>
      <c r="L34" s="12" t="s">
        <v>1179</v>
      </c>
    </row>
    <row r="35" spans="1:12">
      <c r="A35" s="31"/>
      <c r="B35" s="7"/>
      <c r="C35" s="7"/>
      <c r="D35" s="7"/>
      <c r="E35" s="7"/>
      <c r="F35" s="16"/>
      <c r="G35" s="16"/>
      <c r="H35" s="16" t="str">
        <f t="shared" si="0"/>
        <v/>
      </c>
      <c r="I35" s="34" t="str">
        <f t="shared" si="1"/>
        <v/>
      </c>
      <c r="J35" s="7"/>
      <c r="K35" s="16"/>
      <c r="L35" s="12" t="s">
        <v>1179</v>
      </c>
    </row>
    <row r="36" spans="1:12">
      <c r="A36" s="31"/>
      <c r="B36" s="7"/>
      <c r="C36" s="7"/>
      <c r="D36" s="7"/>
      <c r="E36" s="7"/>
      <c r="F36" s="16"/>
      <c r="G36" s="16"/>
      <c r="H36" s="16" t="str">
        <f t="shared" si="0"/>
        <v/>
      </c>
      <c r="I36" s="34" t="str">
        <f t="shared" si="1"/>
        <v/>
      </c>
      <c r="J36" s="7"/>
      <c r="K36" s="16"/>
      <c r="L36" s="12" t="s">
        <v>1179</v>
      </c>
    </row>
    <row r="37" spans="1:12">
      <c r="A37" s="31"/>
      <c r="B37" s="7"/>
      <c r="C37" s="7"/>
      <c r="D37" s="7"/>
      <c r="E37" s="7"/>
      <c r="F37" s="16"/>
      <c r="G37" s="16"/>
      <c r="H37" s="16" t="str">
        <f t="shared" si="0"/>
        <v/>
      </c>
      <c r="I37" s="34" t="str">
        <f t="shared" si="1"/>
        <v/>
      </c>
      <c r="J37" s="7"/>
      <c r="K37" s="16"/>
      <c r="L37" s="12" t="s">
        <v>1179</v>
      </c>
    </row>
    <row r="38" spans="1:12">
      <c r="A38" s="31"/>
      <c r="B38" s="7"/>
      <c r="C38" s="7"/>
      <c r="D38" s="7"/>
      <c r="E38" s="7"/>
      <c r="F38" s="16"/>
      <c r="G38" s="16"/>
      <c r="H38" s="16" t="str">
        <f t="shared" si="0"/>
        <v/>
      </c>
      <c r="I38" s="34" t="str">
        <f t="shared" si="1"/>
        <v/>
      </c>
      <c r="J38" s="7"/>
      <c r="K38" s="16"/>
      <c r="L38" s="12" t="s">
        <v>1179</v>
      </c>
    </row>
    <row r="39" spans="1:12">
      <c r="A39" s="31"/>
      <c r="B39" s="7"/>
      <c r="C39" s="7"/>
      <c r="D39" s="7"/>
      <c r="E39" s="7"/>
      <c r="F39" s="16"/>
      <c r="G39" s="16"/>
      <c r="H39" s="16" t="str">
        <f t="shared" si="0"/>
        <v/>
      </c>
      <c r="I39" s="34" t="str">
        <f t="shared" si="1"/>
        <v/>
      </c>
      <c r="J39" s="7"/>
      <c r="K39" s="16"/>
      <c r="L39" s="12" t="s">
        <v>1179</v>
      </c>
    </row>
    <row r="40" spans="1:12">
      <c r="A40" s="31"/>
      <c r="B40" s="7"/>
      <c r="C40" s="7"/>
      <c r="D40" s="7"/>
      <c r="E40" s="7"/>
      <c r="F40" s="16"/>
      <c r="G40" s="16"/>
      <c r="H40" s="16" t="str">
        <f t="shared" si="0"/>
        <v/>
      </c>
      <c r="I40" s="34" t="str">
        <f t="shared" si="1"/>
        <v/>
      </c>
      <c r="J40" s="7"/>
      <c r="K40" s="16"/>
      <c r="L40" s="12" t="s">
        <v>1179</v>
      </c>
    </row>
    <row r="41" spans="1:12">
      <c r="A41" s="31"/>
      <c r="B41" s="7"/>
      <c r="C41" s="7"/>
      <c r="D41" s="7"/>
      <c r="E41" s="7"/>
      <c r="F41" s="16"/>
      <c r="G41" s="16"/>
      <c r="H41" s="16" t="str">
        <f t="shared" si="0"/>
        <v/>
      </c>
      <c r="I41" s="34" t="str">
        <f t="shared" si="1"/>
        <v/>
      </c>
      <c r="J41" s="7"/>
      <c r="K41" s="16"/>
      <c r="L41" s="12" t="s">
        <v>1179</v>
      </c>
    </row>
    <row r="42" spans="1:12">
      <c r="A42" s="31"/>
      <c r="B42" s="7"/>
      <c r="C42" s="7"/>
      <c r="D42" s="7"/>
      <c r="E42" s="7"/>
      <c r="F42" s="16"/>
      <c r="G42" s="16"/>
      <c r="H42" s="16" t="str">
        <f t="shared" si="0"/>
        <v/>
      </c>
      <c r="I42" s="34" t="str">
        <f t="shared" si="1"/>
        <v/>
      </c>
      <c r="J42" s="7"/>
      <c r="K42" s="16"/>
      <c r="L42" s="12" t="s">
        <v>1179</v>
      </c>
    </row>
    <row r="43" spans="1:12">
      <c r="A43" s="31"/>
      <c r="B43" s="7"/>
      <c r="C43" s="7"/>
      <c r="D43" s="7"/>
      <c r="E43" s="7"/>
      <c r="F43" s="16"/>
      <c r="G43" s="16"/>
      <c r="H43" s="16" t="str">
        <f t="shared" si="0"/>
        <v/>
      </c>
      <c r="I43" s="34" t="str">
        <f t="shared" si="1"/>
        <v/>
      </c>
      <c r="J43" s="7"/>
      <c r="K43" s="16"/>
      <c r="L43" s="12" t="s">
        <v>1179</v>
      </c>
    </row>
    <row r="44" spans="1:12">
      <c r="A44" s="31"/>
      <c r="B44" s="7"/>
      <c r="C44" s="7"/>
      <c r="D44" s="7"/>
      <c r="E44" s="7"/>
      <c r="F44" s="16"/>
      <c r="G44" s="16"/>
      <c r="H44" s="16" t="str">
        <f t="shared" si="0"/>
        <v/>
      </c>
      <c r="I44" s="34" t="str">
        <f t="shared" si="1"/>
        <v/>
      </c>
      <c r="J44" s="7"/>
      <c r="K44" s="16"/>
      <c r="L44" s="12" t="s">
        <v>1179</v>
      </c>
    </row>
    <row r="45" spans="1:12">
      <c r="A45" s="32"/>
      <c r="B45" s="14"/>
      <c r="C45" s="14"/>
      <c r="D45" s="14"/>
      <c r="E45" s="14"/>
      <c r="F45" s="22"/>
      <c r="G45" s="22"/>
      <c r="H45" s="22" t="str">
        <f t="shared" si="0"/>
        <v/>
      </c>
      <c r="I45" s="35" t="str">
        <f t="shared" si="1"/>
        <v/>
      </c>
      <c r="J45" s="14"/>
      <c r="K45" s="22"/>
      <c r="L45" s="15" t="s">
        <v>1179</v>
      </c>
    </row>
  </sheetData>
  <mergeCells count="2">
    <mergeCell ref="A1:L1"/>
    <mergeCell ref="A3:L3"/>
  </mergeCells>
  <dataValidations count="1">
    <dataValidation type="list" sqref="L6:L45" xr:uid="{00000000-0002-0000-0B00-000000000000}">
      <formula1>"Pendiente,Validado,Ajustar"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</vt:i4>
      </vt:variant>
    </vt:vector>
  </HeadingPairs>
  <TitlesOfParts>
    <vt:vector size="12" baseType="lpstr">
      <vt:lpstr>Inicio</vt:lpstr>
      <vt:lpstr>Parametros</vt:lpstr>
      <vt:lpstr>Resumen</vt:lpstr>
      <vt:lpstr>Catalogo Maestro</vt:lpstr>
      <vt:lpstr>Desarrollo</vt:lpstr>
      <vt:lpstr>Mantenimiento</vt:lpstr>
      <vt:lpstr>Monitoreo</vt:lpstr>
      <vt:lpstr>Continuidad</vt:lpstr>
      <vt:lpstr>Ciberseguridad</vt:lpstr>
      <vt:lpstr>Soporte</vt:lpstr>
      <vt:lpstr>Calculo Final</vt:lpstr>
      <vt:lpstr>Validacion HH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Ignacio Andrés Sepúlveda</cp:lastModifiedBy>
  <dcterms:modified xsi:type="dcterms:W3CDTF">2026-08-15T06:35:22Z</dcterms:modified>
</cp:coreProperties>
</file>